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nervivo.sharepoint.com/Documents partages/14-R&amp;D/Modélisation de cycles de cultures/Stage Loïc/"/>
    </mc:Choice>
  </mc:AlternateContent>
  <xr:revisionPtr revIDLastSave="1104966" documentId="8_{FE7ED8DD-2A8E-425D-BD9D-479F69140FAA}" xr6:coauthVersionLast="47" xr6:coauthVersionMax="47" xr10:uidLastSave="{DB888157-730D-46A3-8488-FB61EF132F9D}"/>
  <bookViews>
    <workbookView xWindow="-110" yWindow="-110" windowWidth="19420" windowHeight="11620" tabRatio="619" activeTab="1" xr2:uid="{1F8F32C7-C0EF-4DF7-A797-62FD8BE97D99}"/>
  </bookViews>
  <sheets>
    <sheet name="Notice" sheetId="3" r:id="rId1"/>
    <sheet name="Initialisation" sheetId="1" r:id="rId2"/>
    <sheet name="Resultat" sheetId="7" r:id="rId3"/>
    <sheet name="TeneurSol" sheetId="2" r:id="rId4"/>
    <sheet name="BdD_Kc" sheetId="12" r:id="rId5"/>
    <sheet name="Meteo" sheetId="4" r:id="rId6"/>
    <sheet name="MeteoJ" sheetId="10" r:id="rId7"/>
    <sheet name="ETR" sheetId="5" r:id="rId8"/>
    <sheet name="Bilan_hydrique" sheetId="8" r:id="rId9"/>
    <sheet name="BH_Mois" sheetId="11" r:id="rId1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/>
  <c r="F11" i="1"/>
  <c r="C11" i="1"/>
  <c r="F5" i="12"/>
  <c r="F4" i="12"/>
  <c r="F3" i="12"/>
  <c r="F2" i="12"/>
  <c r="F1" i="12"/>
  <c r="C157" i="8"/>
  <c r="A2" i="5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B367" i="5"/>
  <c r="C367" i="5" s="1"/>
  <c r="D367" i="5"/>
  <c r="I367" i="5"/>
  <c r="B362" i="5"/>
  <c r="C362" i="5" s="1"/>
  <c r="D362" i="5"/>
  <c r="I362" i="5" s="1"/>
  <c r="B363" i="5"/>
  <c r="C363" i="5" s="1"/>
  <c r="D363" i="5"/>
  <c r="I363" i="5" s="1"/>
  <c r="B364" i="5"/>
  <c r="C364" i="5"/>
  <c r="H364" i="5" s="1"/>
  <c r="D364" i="5"/>
  <c r="I364" i="5" s="1"/>
  <c r="E364" i="5"/>
  <c r="B365" i="5"/>
  <c r="C365" i="5" s="1"/>
  <c r="D365" i="5"/>
  <c r="I365" i="5" s="1"/>
  <c r="B366" i="5"/>
  <c r="C366" i="5" s="1"/>
  <c r="D366" i="5"/>
  <c r="I366" i="5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2" i="8"/>
  <c r="I156" i="5"/>
  <c r="I157" i="5"/>
  <c r="I159" i="5"/>
  <c r="I169" i="5"/>
  <c r="I173" i="5"/>
  <c r="I175" i="5"/>
  <c r="I177" i="5"/>
  <c r="I179" i="5"/>
  <c r="I181" i="5"/>
  <c r="I188" i="5"/>
  <c r="I191" i="5"/>
  <c r="I193" i="5"/>
  <c r="I201" i="5"/>
  <c r="I204" i="5"/>
  <c r="I205" i="5"/>
  <c r="I207" i="5"/>
  <c r="I209" i="5"/>
  <c r="I217" i="5"/>
  <c r="I221" i="5"/>
  <c r="I225" i="5"/>
  <c r="I233" i="5"/>
  <c r="I239" i="5"/>
  <c r="I249" i="5"/>
  <c r="I252" i="5"/>
  <c r="I253" i="5"/>
  <c r="I255" i="5"/>
  <c r="I257" i="5"/>
  <c r="I259" i="5"/>
  <c r="I261" i="5"/>
  <c r="I269" i="5"/>
  <c r="I273" i="5"/>
  <c r="I281" i="5"/>
  <c r="I284" i="5"/>
  <c r="I285" i="5"/>
  <c r="I287" i="5"/>
  <c r="I297" i="5"/>
  <c r="I301" i="5"/>
  <c r="I303" i="5"/>
  <c r="I305" i="5"/>
  <c r="I307" i="5"/>
  <c r="I309" i="5"/>
  <c r="I310" i="5"/>
  <c r="I316" i="5"/>
  <c r="I319" i="5"/>
  <c r="I321" i="5"/>
  <c r="I329" i="5"/>
  <c r="I332" i="5"/>
  <c r="I333" i="5"/>
  <c r="I335" i="5"/>
  <c r="I337" i="5"/>
  <c r="I345" i="5"/>
  <c r="I349" i="5"/>
  <c r="I353" i="5"/>
  <c r="I361" i="5"/>
  <c r="B2" i="5"/>
  <c r="E169" i="5"/>
  <c r="E188" i="5"/>
  <c r="D142" i="5"/>
  <c r="I142" i="5" s="1"/>
  <c r="D143" i="5"/>
  <c r="D144" i="5"/>
  <c r="I144" i="5" s="1"/>
  <c r="D145" i="5"/>
  <c r="I145" i="5" s="1"/>
  <c r="D146" i="5"/>
  <c r="I146" i="5" s="1"/>
  <c r="D147" i="5"/>
  <c r="D148" i="5"/>
  <c r="I148" i="5" s="1"/>
  <c r="D149" i="5"/>
  <c r="D150" i="5"/>
  <c r="I150" i="5" s="1"/>
  <c r="D151" i="5"/>
  <c r="D152" i="5"/>
  <c r="I152" i="5" s="1"/>
  <c r="D153" i="5"/>
  <c r="I153" i="5" s="1"/>
  <c r="D154" i="5"/>
  <c r="I154" i="5" s="1"/>
  <c r="D155" i="5"/>
  <c r="I155" i="5" s="1"/>
  <c r="D156" i="5"/>
  <c r="D157" i="5"/>
  <c r="D158" i="5"/>
  <c r="I158" i="5" s="1"/>
  <c r="D159" i="5"/>
  <c r="D160" i="5"/>
  <c r="I160" i="5" s="1"/>
  <c r="D161" i="5"/>
  <c r="I161" i="5" s="1"/>
  <c r="D162" i="5"/>
  <c r="I162" i="5" s="1"/>
  <c r="D163" i="5"/>
  <c r="I163" i="5" s="1"/>
  <c r="D164" i="5"/>
  <c r="I164" i="5" s="1"/>
  <c r="D165" i="5"/>
  <c r="I165" i="5" s="1"/>
  <c r="D166" i="5"/>
  <c r="I166" i="5" s="1"/>
  <c r="D167" i="5"/>
  <c r="I167" i="5" s="1"/>
  <c r="D168" i="5"/>
  <c r="I168" i="5" s="1"/>
  <c r="D169" i="5"/>
  <c r="D170" i="5"/>
  <c r="I170" i="5" s="1"/>
  <c r="D171" i="5"/>
  <c r="I171" i="5" s="1"/>
  <c r="D172" i="5"/>
  <c r="I172" i="5" s="1"/>
  <c r="D173" i="5"/>
  <c r="D174" i="5"/>
  <c r="I174" i="5" s="1"/>
  <c r="D175" i="5"/>
  <c r="D176" i="5"/>
  <c r="I176" i="5" s="1"/>
  <c r="D177" i="5"/>
  <c r="D178" i="5"/>
  <c r="I178" i="5" s="1"/>
  <c r="D179" i="5"/>
  <c r="D180" i="5"/>
  <c r="I180" i="5" s="1"/>
  <c r="D181" i="5"/>
  <c r="D182" i="5"/>
  <c r="I182" i="5" s="1"/>
  <c r="D183" i="5"/>
  <c r="I183" i="5" s="1"/>
  <c r="D184" i="5"/>
  <c r="I184" i="5" s="1"/>
  <c r="D185" i="5"/>
  <c r="I185" i="5" s="1"/>
  <c r="D186" i="5"/>
  <c r="I186" i="5" s="1"/>
  <c r="D187" i="5"/>
  <c r="I187" i="5" s="1"/>
  <c r="D188" i="5"/>
  <c r="D189" i="5"/>
  <c r="I189" i="5" s="1"/>
  <c r="D190" i="5"/>
  <c r="I190" i="5" s="1"/>
  <c r="D191" i="5"/>
  <c r="D192" i="5"/>
  <c r="I192" i="5" s="1"/>
  <c r="D193" i="5"/>
  <c r="D194" i="5"/>
  <c r="I194" i="5" s="1"/>
  <c r="D195" i="5"/>
  <c r="I195" i="5" s="1"/>
  <c r="D196" i="5"/>
  <c r="I196" i="5" s="1"/>
  <c r="D197" i="5"/>
  <c r="I197" i="5" s="1"/>
  <c r="D198" i="5"/>
  <c r="I198" i="5" s="1"/>
  <c r="D199" i="5"/>
  <c r="I199" i="5" s="1"/>
  <c r="D200" i="5"/>
  <c r="I200" i="5" s="1"/>
  <c r="D201" i="5"/>
  <c r="D202" i="5"/>
  <c r="I202" i="5" s="1"/>
  <c r="D203" i="5"/>
  <c r="I203" i="5" s="1"/>
  <c r="D204" i="5"/>
  <c r="D205" i="5"/>
  <c r="D206" i="5"/>
  <c r="I206" i="5" s="1"/>
  <c r="D207" i="5"/>
  <c r="D208" i="5"/>
  <c r="I208" i="5" s="1"/>
  <c r="D209" i="5"/>
  <c r="D210" i="5"/>
  <c r="I210" i="5" s="1"/>
  <c r="D211" i="5"/>
  <c r="I211" i="5" s="1"/>
  <c r="D212" i="5"/>
  <c r="I212" i="5" s="1"/>
  <c r="D213" i="5"/>
  <c r="I213" i="5" s="1"/>
  <c r="D214" i="5"/>
  <c r="I214" i="5" s="1"/>
  <c r="D215" i="5"/>
  <c r="I215" i="5" s="1"/>
  <c r="D216" i="5"/>
  <c r="I216" i="5" s="1"/>
  <c r="D217" i="5"/>
  <c r="D218" i="5"/>
  <c r="I218" i="5" s="1"/>
  <c r="D219" i="5"/>
  <c r="I219" i="5" s="1"/>
  <c r="D220" i="5"/>
  <c r="I220" i="5" s="1"/>
  <c r="D221" i="5"/>
  <c r="D222" i="5"/>
  <c r="I222" i="5" s="1"/>
  <c r="D223" i="5"/>
  <c r="I223" i="5" s="1"/>
  <c r="D224" i="5"/>
  <c r="I224" i="5" s="1"/>
  <c r="D225" i="5"/>
  <c r="D226" i="5"/>
  <c r="I226" i="5" s="1"/>
  <c r="D227" i="5"/>
  <c r="I227" i="5" s="1"/>
  <c r="D228" i="5"/>
  <c r="I228" i="5" s="1"/>
  <c r="D229" i="5"/>
  <c r="I229" i="5" s="1"/>
  <c r="D230" i="5"/>
  <c r="I230" i="5" s="1"/>
  <c r="D231" i="5"/>
  <c r="I231" i="5" s="1"/>
  <c r="D232" i="5"/>
  <c r="I232" i="5" s="1"/>
  <c r="D233" i="5"/>
  <c r="D234" i="5"/>
  <c r="I234" i="5" s="1"/>
  <c r="D235" i="5"/>
  <c r="I235" i="5" s="1"/>
  <c r="D236" i="5"/>
  <c r="I236" i="5" s="1"/>
  <c r="D237" i="5"/>
  <c r="I237" i="5" s="1"/>
  <c r="D238" i="5"/>
  <c r="I238" i="5" s="1"/>
  <c r="D239" i="5"/>
  <c r="D240" i="5"/>
  <c r="I240" i="5" s="1"/>
  <c r="D241" i="5"/>
  <c r="I241" i="5" s="1"/>
  <c r="D242" i="5"/>
  <c r="I242" i="5" s="1"/>
  <c r="D243" i="5"/>
  <c r="I243" i="5" s="1"/>
  <c r="D244" i="5"/>
  <c r="I244" i="5" s="1"/>
  <c r="D245" i="5"/>
  <c r="I245" i="5" s="1"/>
  <c r="D246" i="5"/>
  <c r="I246" i="5" s="1"/>
  <c r="D247" i="5"/>
  <c r="I247" i="5" s="1"/>
  <c r="D248" i="5"/>
  <c r="I248" i="5" s="1"/>
  <c r="D249" i="5"/>
  <c r="D250" i="5"/>
  <c r="I250" i="5" s="1"/>
  <c r="D251" i="5"/>
  <c r="I251" i="5" s="1"/>
  <c r="D252" i="5"/>
  <c r="D253" i="5"/>
  <c r="D254" i="5"/>
  <c r="I254" i="5" s="1"/>
  <c r="D255" i="5"/>
  <c r="D256" i="5"/>
  <c r="I256" i="5" s="1"/>
  <c r="D257" i="5"/>
  <c r="D258" i="5"/>
  <c r="I258" i="5" s="1"/>
  <c r="D259" i="5"/>
  <c r="D260" i="5"/>
  <c r="I260" i="5" s="1"/>
  <c r="D261" i="5"/>
  <c r="D262" i="5"/>
  <c r="I262" i="5" s="1"/>
  <c r="D263" i="5"/>
  <c r="I263" i="5" s="1"/>
  <c r="D264" i="5"/>
  <c r="I264" i="5" s="1"/>
  <c r="D265" i="5"/>
  <c r="I265" i="5" s="1"/>
  <c r="D266" i="5"/>
  <c r="I266" i="5" s="1"/>
  <c r="D267" i="5"/>
  <c r="I267" i="5" s="1"/>
  <c r="D268" i="5"/>
  <c r="I268" i="5" s="1"/>
  <c r="D269" i="5"/>
  <c r="D270" i="5"/>
  <c r="I270" i="5" s="1"/>
  <c r="D271" i="5"/>
  <c r="I271" i="5" s="1"/>
  <c r="D272" i="5"/>
  <c r="I272" i="5" s="1"/>
  <c r="D273" i="5"/>
  <c r="D274" i="5"/>
  <c r="I274" i="5" s="1"/>
  <c r="D275" i="5"/>
  <c r="I275" i="5" s="1"/>
  <c r="D276" i="5"/>
  <c r="I276" i="5" s="1"/>
  <c r="D277" i="5"/>
  <c r="I277" i="5" s="1"/>
  <c r="D278" i="5"/>
  <c r="I278" i="5" s="1"/>
  <c r="D279" i="5"/>
  <c r="I279" i="5" s="1"/>
  <c r="D280" i="5"/>
  <c r="I280" i="5" s="1"/>
  <c r="D281" i="5"/>
  <c r="D282" i="5"/>
  <c r="I282" i="5" s="1"/>
  <c r="D283" i="5"/>
  <c r="I283" i="5" s="1"/>
  <c r="D284" i="5"/>
  <c r="D285" i="5"/>
  <c r="D286" i="5"/>
  <c r="I286" i="5" s="1"/>
  <c r="D287" i="5"/>
  <c r="D288" i="5"/>
  <c r="I288" i="5" s="1"/>
  <c r="D289" i="5"/>
  <c r="I289" i="5" s="1"/>
  <c r="D290" i="5"/>
  <c r="I290" i="5" s="1"/>
  <c r="D291" i="5"/>
  <c r="I291" i="5" s="1"/>
  <c r="D292" i="5"/>
  <c r="I292" i="5" s="1"/>
  <c r="D293" i="5"/>
  <c r="I293" i="5" s="1"/>
  <c r="D294" i="5"/>
  <c r="I294" i="5" s="1"/>
  <c r="D295" i="5"/>
  <c r="I295" i="5" s="1"/>
  <c r="D296" i="5"/>
  <c r="I296" i="5" s="1"/>
  <c r="D297" i="5"/>
  <c r="D298" i="5"/>
  <c r="I298" i="5" s="1"/>
  <c r="D299" i="5"/>
  <c r="I299" i="5" s="1"/>
  <c r="D300" i="5"/>
  <c r="I300" i="5" s="1"/>
  <c r="D301" i="5"/>
  <c r="D302" i="5"/>
  <c r="I302" i="5" s="1"/>
  <c r="D303" i="5"/>
  <c r="D304" i="5"/>
  <c r="I304" i="5" s="1"/>
  <c r="D305" i="5"/>
  <c r="D306" i="5"/>
  <c r="I306" i="5" s="1"/>
  <c r="D307" i="5"/>
  <c r="D308" i="5"/>
  <c r="I308" i="5" s="1"/>
  <c r="D309" i="5"/>
  <c r="D310" i="5"/>
  <c r="D311" i="5"/>
  <c r="I311" i="5" s="1"/>
  <c r="D312" i="5"/>
  <c r="I312" i="5" s="1"/>
  <c r="D313" i="5"/>
  <c r="I313" i="5" s="1"/>
  <c r="D314" i="5"/>
  <c r="I314" i="5" s="1"/>
  <c r="D315" i="5"/>
  <c r="I315" i="5" s="1"/>
  <c r="D316" i="5"/>
  <c r="D317" i="5"/>
  <c r="I317" i="5" s="1"/>
  <c r="D318" i="5"/>
  <c r="I318" i="5" s="1"/>
  <c r="D319" i="5"/>
  <c r="D320" i="5"/>
  <c r="I320" i="5" s="1"/>
  <c r="D321" i="5"/>
  <c r="D322" i="5"/>
  <c r="I322" i="5" s="1"/>
  <c r="D323" i="5"/>
  <c r="I323" i="5" s="1"/>
  <c r="D324" i="5"/>
  <c r="I324" i="5" s="1"/>
  <c r="D325" i="5"/>
  <c r="I325" i="5" s="1"/>
  <c r="D326" i="5"/>
  <c r="I326" i="5" s="1"/>
  <c r="D327" i="5"/>
  <c r="I327" i="5" s="1"/>
  <c r="D328" i="5"/>
  <c r="I328" i="5" s="1"/>
  <c r="D329" i="5"/>
  <c r="D330" i="5"/>
  <c r="I330" i="5" s="1"/>
  <c r="D331" i="5"/>
  <c r="I331" i="5" s="1"/>
  <c r="D332" i="5"/>
  <c r="D333" i="5"/>
  <c r="D334" i="5"/>
  <c r="I334" i="5" s="1"/>
  <c r="D335" i="5"/>
  <c r="D336" i="5"/>
  <c r="I336" i="5" s="1"/>
  <c r="D337" i="5"/>
  <c r="D338" i="5"/>
  <c r="I338" i="5" s="1"/>
  <c r="D339" i="5"/>
  <c r="I339" i="5" s="1"/>
  <c r="D340" i="5"/>
  <c r="I340" i="5" s="1"/>
  <c r="D341" i="5"/>
  <c r="I341" i="5" s="1"/>
  <c r="D342" i="5"/>
  <c r="I342" i="5" s="1"/>
  <c r="D343" i="5"/>
  <c r="I343" i="5" s="1"/>
  <c r="D344" i="5"/>
  <c r="I344" i="5" s="1"/>
  <c r="D345" i="5"/>
  <c r="D346" i="5"/>
  <c r="I346" i="5" s="1"/>
  <c r="D347" i="5"/>
  <c r="I347" i="5" s="1"/>
  <c r="D348" i="5"/>
  <c r="I348" i="5" s="1"/>
  <c r="D349" i="5"/>
  <c r="D350" i="5"/>
  <c r="I350" i="5" s="1"/>
  <c r="D351" i="5"/>
  <c r="I351" i="5" s="1"/>
  <c r="D352" i="5"/>
  <c r="I352" i="5" s="1"/>
  <c r="D353" i="5"/>
  <c r="D354" i="5"/>
  <c r="I354" i="5" s="1"/>
  <c r="D355" i="5"/>
  <c r="I355" i="5" s="1"/>
  <c r="D356" i="5"/>
  <c r="I356" i="5" s="1"/>
  <c r="D357" i="5"/>
  <c r="I357" i="5" s="1"/>
  <c r="D358" i="5"/>
  <c r="I358" i="5" s="1"/>
  <c r="D359" i="5"/>
  <c r="I359" i="5" s="1"/>
  <c r="D360" i="5"/>
  <c r="I360" i="5" s="1"/>
  <c r="D361" i="5"/>
  <c r="D3" i="5"/>
  <c r="I3" i="5" s="1"/>
  <c r="D4" i="5"/>
  <c r="I4" i="5" s="1"/>
  <c r="D5" i="5"/>
  <c r="I5" i="5" s="1"/>
  <c r="D6" i="5"/>
  <c r="I6" i="5" s="1"/>
  <c r="D7" i="5"/>
  <c r="I7" i="5" s="1"/>
  <c r="D8" i="5"/>
  <c r="I8" i="5" s="1"/>
  <c r="D9" i="5"/>
  <c r="I9" i="5" s="1"/>
  <c r="D10" i="5"/>
  <c r="I10" i="5" s="1"/>
  <c r="D11" i="5"/>
  <c r="I11" i="5" s="1"/>
  <c r="D12" i="5"/>
  <c r="I12" i="5" s="1"/>
  <c r="D13" i="5"/>
  <c r="I13" i="5" s="1"/>
  <c r="D14" i="5"/>
  <c r="I14" i="5" s="1"/>
  <c r="D15" i="5"/>
  <c r="I15" i="5" s="1"/>
  <c r="D16" i="5"/>
  <c r="I16" i="5" s="1"/>
  <c r="D17" i="5"/>
  <c r="I17" i="5" s="1"/>
  <c r="D18" i="5"/>
  <c r="I18" i="5" s="1"/>
  <c r="D19" i="5"/>
  <c r="D20" i="5"/>
  <c r="I20" i="5" s="1"/>
  <c r="D21" i="5"/>
  <c r="I21" i="5" s="1"/>
  <c r="D22" i="5"/>
  <c r="I22" i="5" s="1"/>
  <c r="D23" i="5"/>
  <c r="I23" i="5" s="1"/>
  <c r="D24" i="5"/>
  <c r="I24" i="5" s="1"/>
  <c r="D25" i="5"/>
  <c r="D26" i="5"/>
  <c r="D27" i="5"/>
  <c r="D28" i="5"/>
  <c r="D29" i="5"/>
  <c r="I29" i="5" s="1"/>
  <c r="D30" i="5"/>
  <c r="I30" i="5" s="1"/>
  <c r="D31" i="5"/>
  <c r="I31" i="5" s="1"/>
  <c r="D32" i="5"/>
  <c r="I32" i="5" s="1"/>
  <c r="D33" i="5"/>
  <c r="I33" i="5" s="1"/>
  <c r="D34" i="5"/>
  <c r="I34" i="5" s="1"/>
  <c r="D35" i="5"/>
  <c r="D36" i="5"/>
  <c r="D37" i="5"/>
  <c r="D38" i="5"/>
  <c r="I38" i="5" s="1"/>
  <c r="D39" i="5"/>
  <c r="I39" i="5" s="1"/>
  <c r="D40" i="5"/>
  <c r="D41" i="5"/>
  <c r="I41" i="5" s="1"/>
  <c r="D42" i="5"/>
  <c r="I42" i="5" s="1"/>
  <c r="D43" i="5"/>
  <c r="D44" i="5"/>
  <c r="I44" i="5" s="1"/>
  <c r="D45" i="5"/>
  <c r="I45" i="5" s="1"/>
  <c r="D46" i="5"/>
  <c r="I46" i="5" s="1"/>
  <c r="D47" i="5"/>
  <c r="I47" i="5" s="1"/>
  <c r="D48" i="5"/>
  <c r="I48" i="5" s="1"/>
  <c r="D49" i="5"/>
  <c r="I49" i="5" s="1"/>
  <c r="D50" i="5"/>
  <c r="I50" i="5" s="1"/>
  <c r="D51" i="5"/>
  <c r="I51" i="5" s="1"/>
  <c r="D52" i="5"/>
  <c r="D53" i="5"/>
  <c r="D54" i="5"/>
  <c r="D55" i="5"/>
  <c r="D56" i="5"/>
  <c r="D57" i="5"/>
  <c r="D58" i="5"/>
  <c r="I58" i="5" s="1"/>
  <c r="D59" i="5"/>
  <c r="D60" i="5"/>
  <c r="D61" i="5"/>
  <c r="D62" i="5"/>
  <c r="I62" i="5" s="1"/>
  <c r="D63" i="5"/>
  <c r="I63" i="5" s="1"/>
  <c r="D64" i="5"/>
  <c r="I64" i="5" s="1"/>
  <c r="D65" i="5"/>
  <c r="I65" i="5" s="1"/>
  <c r="D66" i="5"/>
  <c r="I66" i="5" s="1"/>
  <c r="D67" i="5"/>
  <c r="I67" i="5" s="1"/>
  <c r="D68" i="5"/>
  <c r="I68" i="5" s="1"/>
  <c r="D69" i="5"/>
  <c r="I69" i="5" s="1"/>
  <c r="D70" i="5"/>
  <c r="I70" i="5" s="1"/>
  <c r="D71" i="5"/>
  <c r="I71" i="5" s="1"/>
  <c r="D72" i="5"/>
  <c r="D73" i="5"/>
  <c r="D74" i="5"/>
  <c r="D75" i="5"/>
  <c r="I75" i="5" s="1"/>
  <c r="D76" i="5"/>
  <c r="I76" i="5" s="1"/>
  <c r="D77" i="5"/>
  <c r="I77" i="5" s="1"/>
  <c r="D78" i="5"/>
  <c r="I78" i="5" s="1"/>
  <c r="D79" i="5"/>
  <c r="I79" i="5" s="1"/>
  <c r="D80" i="5"/>
  <c r="I80" i="5" s="1"/>
  <c r="D81" i="5"/>
  <c r="I81" i="5" s="1"/>
  <c r="D82" i="5"/>
  <c r="I82" i="5" s="1"/>
  <c r="D83" i="5"/>
  <c r="I83" i="5" s="1"/>
  <c r="D84" i="5"/>
  <c r="I84" i="5" s="1"/>
  <c r="D85" i="5"/>
  <c r="I85" i="5" s="1"/>
  <c r="D86" i="5"/>
  <c r="D87" i="5"/>
  <c r="D88" i="5"/>
  <c r="D89" i="5"/>
  <c r="I89" i="5" s="1"/>
  <c r="D90" i="5"/>
  <c r="I90" i="5" s="1"/>
  <c r="D91" i="5"/>
  <c r="D92" i="5"/>
  <c r="I92" i="5" s="1"/>
  <c r="D93" i="5"/>
  <c r="D94" i="5"/>
  <c r="I94" i="5" s="1"/>
  <c r="D95" i="5"/>
  <c r="I95" i="5" s="1"/>
  <c r="D96" i="5"/>
  <c r="I96" i="5" s="1"/>
  <c r="D97" i="5"/>
  <c r="I97" i="5" s="1"/>
  <c r="D98" i="5"/>
  <c r="I98" i="5" s="1"/>
  <c r="D99" i="5"/>
  <c r="D100" i="5"/>
  <c r="I100" i="5" s="1"/>
  <c r="D101" i="5"/>
  <c r="D102" i="5"/>
  <c r="I102" i="5" s="1"/>
  <c r="D103" i="5"/>
  <c r="I103" i="5" s="1"/>
  <c r="D104" i="5"/>
  <c r="I104" i="5" s="1"/>
  <c r="D105" i="5"/>
  <c r="I105" i="5" s="1"/>
  <c r="D106" i="5"/>
  <c r="I106" i="5" s="1"/>
  <c r="D107" i="5"/>
  <c r="I107" i="5" s="1"/>
  <c r="D108" i="5"/>
  <c r="I108" i="5" s="1"/>
  <c r="D109" i="5"/>
  <c r="I109" i="5" s="1"/>
  <c r="D110" i="5"/>
  <c r="I110" i="5" s="1"/>
  <c r="D111" i="5"/>
  <c r="I111" i="5" s="1"/>
  <c r="D112" i="5"/>
  <c r="I112" i="5" s="1"/>
  <c r="D113" i="5"/>
  <c r="I113" i="5" s="1"/>
  <c r="D114" i="5"/>
  <c r="I114" i="5" s="1"/>
  <c r="D115" i="5"/>
  <c r="D116" i="5"/>
  <c r="I116" i="5" s="1"/>
  <c r="D117" i="5"/>
  <c r="I117" i="5" s="1"/>
  <c r="D118" i="5"/>
  <c r="I118" i="5" s="1"/>
  <c r="D119" i="5"/>
  <c r="I119" i="5" s="1"/>
  <c r="D120" i="5"/>
  <c r="I120" i="5" s="1"/>
  <c r="D121" i="5"/>
  <c r="I121" i="5" s="1"/>
  <c r="D122" i="5"/>
  <c r="I122" i="5" s="1"/>
  <c r="D123" i="5"/>
  <c r="I123" i="5" s="1"/>
  <c r="D124" i="5"/>
  <c r="I124" i="5" s="1"/>
  <c r="D125" i="5"/>
  <c r="I125" i="5" s="1"/>
  <c r="D126" i="5"/>
  <c r="I126" i="5" s="1"/>
  <c r="D127" i="5"/>
  <c r="I127" i="5" s="1"/>
  <c r="D128" i="5"/>
  <c r="I128" i="5" s="1"/>
  <c r="D129" i="5"/>
  <c r="I129" i="5" s="1"/>
  <c r="D130" i="5"/>
  <c r="I130" i="5" s="1"/>
  <c r="D131" i="5"/>
  <c r="I131" i="5" s="1"/>
  <c r="D132" i="5"/>
  <c r="I132" i="5" s="1"/>
  <c r="D133" i="5"/>
  <c r="D134" i="5"/>
  <c r="D135" i="5"/>
  <c r="D136" i="5"/>
  <c r="I136" i="5" s="1"/>
  <c r="D137" i="5"/>
  <c r="I137" i="5" s="1"/>
  <c r="D138" i="5"/>
  <c r="I138" i="5" s="1"/>
  <c r="D139" i="5"/>
  <c r="I139" i="5" s="1"/>
  <c r="D140" i="5"/>
  <c r="I140" i="5" s="1"/>
  <c r="D141" i="5"/>
  <c r="I141" i="5" s="1"/>
  <c r="C152" i="5"/>
  <c r="H152" i="5" s="1"/>
  <c r="C155" i="5"/>
  <c r="H155" i="5" s="1"/>
  <c r="C156" i="5"/>
  <c r="H156" i="5" s="1"/>
  <c r="J156" i="5" s="1"/>
  <c r="C157" i="5"/>
  <c r="H157" i="5" s="1"/>
  <c r="J157" i="5" s="1"/>
  <c r="C167" i="5"/>
  <c r="H167" i="5" s="1"/>
  <c r="C168" i="5"/>
  <c r="H168" i="5" s="1"/>
  <c r="C169" i="5"/>
  <c r="C170" i="5"/>
  <c r="H170" i="5" s="1"/>
  <c r="J170" i="5" s="1"/>
  <c r="C171" i="5"/>
  <c r="H171" i="5" s="1"/>
  <c r="J171" i="5" s="1"/>
  <c r="C172" i="5"/>
  <c r="H172" i="5" s="1"/>
  <c r="C173" i="5"/>
  <c r="C183" i="5"/>
  <c r="H183" i="5" s="1"/>
  <c r="C184" i="5"/>
  <c r="H184" i="5" s="1"/>
  <c r="C185" i="5"/>
  <c r="H185" i="5" s="1"/>
  <c r="C186" i="5"/>
  <c r="C187" i="5"/>
  <c r="H187" i="5" s="1"/>
  <c r="J187" i="5" s="1"/>
  <c r="C188" i="5"/>
  <c r="H188" i="5" s="1"/>
  <c r="J188" i="5" s="1"/>
  <c r="C189" i="5"/>
  <c r="H189" i="5" s="1"/>
  <c r="C199" i="5"/>
  <c r="H199" i="5" s="1"/>
  <c r="J199" i="5" s="1"/>
  <c r="C200" i="5"/>
  <c r="H200" i="5" s="1"/>
  <c r="J200" i="5" s="1"/>
  <c r="C201" i="5"/>
  <c r="H201" i="5" s="1"/>
  <c r="J201" i="5" s="1"/>
  <c r="C202" i="5"/>
  <c r="H202" i="5" s="1"/>
  <c r="J202" i="5" s="1"/>
  <c r="C203" i="5"/>
  <c r="C204" i="5"/>
  <c r="H204" i="5" s="1"/>
  <c r="J204" i="5" s="1"/>
  <c r="C205" i="5"/>
  <c r="H205" i="5" s="1"/>
  <c r="J205" i="5" s="1"/>
  <c r="C215" i="5"/>
  <c r="H215" i="5" s="1"/>
  <c r="C216" i="5"/>
  <c r="C217" i="5"/>
  <c r="H217" i="5" s="1"/>
  <c r="J217" i="5" s="1"/>
  <c r="C218" i="5"/>
  <c r="H218" i="5" s="1"/>
  <c r="J218" i="5" s="1"/>
  <c r="C219" i="5"/>
  <c r="H219" i="5" s="1"/>
  <c r="J219" i="5" s="1"/>
  <c r="C220" i="5"/>
  <c r="C221" i="5"/>
  <c r="H221" i="5" s="1"/>
  <c r="J221" i="5" s="1"/>
  <c r="C231" i="5"/>
  <c r="H231" i="5" s="1"/>
  <c r="C232" i="5"/>
  <c r="H232" i="5" s="1"/>
  <c r="C233" i="5"/>
  <c r="H233" i="5" s="1"/>
  <c r="J233" i="5" s="1"/>
  <c r="C234" i="5"/>
  <c r="H234" i="5" s="1"/>
  <c r="J234" i="5" s="1"/>
  <c r="C235" i="5"/>
  <c r="H235" i="5" s="1"/>
  <c r="J235" i="5" s="1"/>
  <c r="C236" i="5"/>
  <c r="H236" i="5" s="1"/>
  <c r="C237" i="5"/>
  <c r="C247" i="5"/>
  <c r="H247" i="5" s="1"/>
  <c r="C248" i="5"/>
  <c r="H248" i="5" s="1"/>
  <c r="C249" i="5"/>
  <c r="H249" i="5" s="1"/>
  <c r="J249" i="5" s="1"/>
  <c r="C250" i="5"/>
  <c r="C251" i="5"/>
  <c r="H251" i="5" s="1"/>
  <c r="J251" i="5" s="1"/>
  <c r="C252" i="5"/>
  <c r="H252" i="5" s="1"/>
  <c r="J252" i="5" s="1"/>
  <c r="C253" i="5"/>
  <c r="H253" i="5" s="1"/>
  <c r="J253" i="5" s="1"/>
  <c r="C263" i="5"/>
  <c r="C264" i="5"/>
  <c r="H264" i="5" s="1"/>
  <c r="J264" i="5" s="1"/>
  <c r="C265" i="5"/>
  <c r="H265" i="5" s="1"/>
  <c r="J265" i="5" s="1"/>
  <c r="C266" i="5"/>
  <c r="H266" i="5" s="1"/>
  <c r="J266" i="5" s="1"/>
  <c r="C267" i="5"/>
  <c r="H267" i="5" s="1"/>
  <c r="J267" i="5" s="1"/>
  <c r="C268" i="5"/>
  <c r="H268" i="5" s="1"/>
  <c r="C269" i="5"/>
  <c r="H269" i="5" s="1"/>
  <c r="J269" i="5" s="1"/>
  <c r="C279" i="5"/>
  <c r="H279" i="5" s="1"/>
  <c r="C280" i="5"/>
  <c r="C281" i="5"/>
  <c r="H281" i="5" s="1"/>
  <c r="J281" i="5" s="1"/>
  <c r="C282" i="5"/>
  <c r="H282" i="5" s="1"/>
  <c r="J282" i="5" s="1"/>
  <c r="C283" i="5"/>
  <c r="H283" i="5" s="1"/>
  <c r="J283" i="5" s="1"/>
  <c r="C284" i="5"/>
  <c r="C285" i="5"/>
  <c r="H285" i="5" s="1"/>
  <c r="J285" i="5" s="1"/>
  <c r="C295" i="5"/>
  <c r="H295" i="5" s="1"/>
  <c r="C296" i="5"/>
  <c r="H296" i="5" s="1"/>
  <c r="C297" i="5"/>
  <c r="C298" i="5"/>
  <c r="H298" i="5" s="1"/>
  <c r="J298" i="5" s="1"/>
  <c r="C299" i="5"/>
  <c r="H299" i="5" s="1"/>
  <c r="J299" i="5" s="1"/>
  <c r="C300" i="5"/>
  <c r="H300" i="5" s="1"/>
  <c r="C301" i="5"/>
  <c r="H301" i="5" s="1"/>
  <c r="J301" i="5" s="1"/>
  <c r="C311" i="5"/>
  <c r="H311" i="5" s="1"/>
  <c r="C312" i="5"/>
  <c r="H312" i="5" s="1"/>
  <c r="J312" i="5" s="1"/>
  <c r="C313" i="5"/>
  <c r="H313" i="5" s="1"/>
  <c r="C314" i="5"/>
  <c r="C315" i="5"/>
  <c r="H315" i="5" s="1"/>
  <c r="J315" i="5" s="1"/>
  <c r="C316" i="5"/>
  <c r="H316" i="5" s="1"/>
  <c r="J316" i="5" s="1"/>
  <c r="C317" i="5"/>
  <c r="H317" i="5" s="1"/>
  <c r="C327" i="5"/>
  <c r="C328" i="5"/>
  <c r="H328" i="5" s="1"/>
  <c r="C329" i="5"/>
  <c r="H329" i="5" s="1"/>
  <c r="J329" i="5" s="1"/>
  <c r="C330" i="5"/>
  <c r="H330" i="5" s="1"/>
  <c r="J330" i="5" s="1"/>
  <c r="C331" i="5"/>
  <c r="C332" i="5"/>
  <c r="H332" i="5" s="1"/>
  <c r="J332" i="5" s="1"/>
  <c r="C333" i="5"/>
  <c r="H333" i="5" s="1"/>
  <c r="J333" i="5" s="1"/>
  <c r="C343" i="5"/>
  <c r="H343" i="5" s="1"/>
  <c r="C344" i="5"/>
  <c r="H344" i="5" s="1"/>
  <c r="J344" i="5" s="1"/>
  <c r="C345" i="5"/>
  <c r="H345" i="5" s="1"/>
  <c r="J345" i="5" s="1"/>
  <c r="C346" i="5"/>
  <c r="H346" i="5" s="1"/>
  <c r="J346" i="5" s="1"/>
  <c r="C347" i="5"/>
  <c r="H347" i="5" s="1"/>
  <c r="J347" i="5" s="1"/>
  <c r="C348" i="5"/>
  <c r="C349" i="5"/>
  <c r="H349" i="5" s="1"/>
  <c r="J349" i="5" s="1"/>
  <c r="C359" i="5"/>
  <c r="H359" i="5" s="1"/>
  <c r="C360" i="5"/>
  <c r="H360" i="5" s="1"/>
  <c r="C361" i="5"/>
  <c r="D2" i="5"/>
  <c r="I2" i="5" s="1"/>
  <c r="B3" i="5"/>
  <c r="B4" i="5"/>
  <c r="C4" i="5" s="1"/>
  <c r="H4" i="5" s="1"/>
  <c r="B5" i="5"/>
  <c r="C5" i="5" s="1"/>
  <c r="B6" i="5"/>
  <c r="C6" i="5" s="1"/>
  <c r="H6" i="5" s="1"/>
  <c r="B7" i="5"/>
  <c r="C7" i="5" s="1"/>
  <c r="B8" i="5"/>
  <c r="C8" i="5" s="1"/>
  <c r="B9" i="5"/>
  <c r="C9" i="5" s="1"/>
  <c r="H9" i="5" s="1"/>
  <c r="B10" i="5"/>
  <c r="C10" i="5" s="1"/>
  <c r="H10" i="5" s="1"/>
  <c r="B11" i="5"/>
  <c r="C11" i="5" s="1"/>
  <c r="H11" i="5" s="1"/>
  <c r="B12" i="5"/>
  <c r="C12" i="5" s="1"/>
  <c r="H12" i="5" s="1"/>
  <c r="B13" i="5"/>
  <c r="C13" i="5" s="1"/>
  <c r="B14" i="5"/>
  <c r="C14" i="5" s="1"/>
  <c r="B15" i="5"/>
  <c r="C15" i="5" s="1"/>
  <c r="B16" i="5"/>
  <c r="C16" i="5" s="1"/>
  <c r="H16" i="5" s="1"/>
  <c r="B17" i="5"/>
  <c r="C17" i="5" s="1"/>
  <c r="B18" i="5"/>
  <c r="C18" i="5" s="1"/>
  <c r="H18" i="5" s="1"/>
  <c r="B19" i="5"/>
  <c r="C19" i="5" s="1"/>
  <c r="H19" i="5" s="1"/>
  <c r="B20" i="5"/>
  <c r="C20" i="5" s="1"/>
  <c r="B21" i="5"/>
  <c r="C21" i="5" s="1"/>
  <c r="B22" i="5"/>
  <c r="C22" i="5" s="1"/>
  <c r="B23" i="5"/>
  <c r="C23" i="5" s="1"/>
  <c r="H23" i="5" s="1"/>
  <c r="B24" i="5"/>
  <c r="C24" i="5" s="1"/>
  <c r="H24" i="5" s="1"/>
  <c r="B25" i="5"/>
  <c r="C25" i="5" s="1"/>
  <c r="H25" i="5" s="1"/>
  <c r="B26" i="5"/>
  <c r="C26" i="5" s="1"/>
  <c r="H26" i="5" s="1"/>
  <c r="B27" i="5"/>
  <c r="C27" i="5" s="1"/>
  <c r="H27" i="5" s="1"/>
  <c r="B28" i="5"/>
  <c r="C28" i="5" s="1"/>
  <c r="B29" i="5"/>
  <c r="C29" i="5" s="1"/>
  <c r="B30" i="5"/>
  <c r="C30" i="5" s="1"/>
  <c r="H30" i="5" s="1"/>
  <c r="B31" i="5"/>
  <c r="C31" i="5" s="1"/>
  <c r="H31" i="5" s="1"/>
  <c r="B32" i="5"/>
  <c r="C32" i="5" s="1"/>
  <c r="B33" i="5"/>
  <c r="C33" i="5" s="1"/>
  <c r="B34" i="5"/>
  <c r="C34" i="5" s="1"/>
  <c r="H34" i="5" s="1"/>
  <c r="B35" i="5"/>
  <c r="C35" i="5" s="1"/>
  <c r="H35" i="5" s="1"/>
  <c r="B36" i="5"/>
  <c r="C36" i="5" s="1"/>
  <c r="H36" i="5" s="1"/>
  <c r="B37" i="5"/>
  <c r="C37" i="5" s="1"/>
  <c r="B38" i="5"/>
  <c r="C38" i="5" s="1"/>
  <c r="B39" i="5"/>
  <c r="C39" i="5" s="1"/>
  <c r="B40" i="5"/>
  <c r="C40" i="5" s="1"/>
  <c r="H40" i="5" s="1"/>
  <c r="B41" i="5"/>
  <c r="C41" i="5" s="1"/>
  <c r="H41" i="5" s="1"/>
  <c r="B42" i="5"/>
  <c r="C42" i="5" s="1"/>
  <c r="H42" i="5" s="1"/>
  <c r="B43" i="5"/>
  <c r="C43" i="5" s="1"/>
  <c r="H43" i="5" s="1"/>
  <c r="B44" i="5"/>
  <c r="C44" i="5" s="1"/>
  <c r="H44" i="5" s="1"/>
  <c r="B45" i="5"/>
  <c r="C45" i="5" s="1"/>
  <c r="B46" i="5"/>
  <c r="C46" i="5" s="1"/>
  <c r="B47" i="5"/>
  <c r="C47" i="5" s="1"/>
  <c r="H47" i="5" s="1"/>
  <c r="B48" i="5"/>
  <c r="C48" i="5" s="1"/>
  <c r="H48" i="5" s="1"/>
  <c r="B49" i="5"/>
  <c r="C49" i="5" s="1"/>
  <c r="B50" i="5"/>
  <c r="C50" i="5" s="1"/>
  <c r="H50" i="5" s="1"/>
  <c r="B51" i="5"/>
  <c r="C51" i="5" s="1"/>
  <c r="H51" i="5" s="1"/>
  <c r="B52" i="5"/>
  <c r="C52" i="5" s="1"/>
  <c r="H52" i="5" s="1"/>
  <c r="B53" i="5"/>
  <c r="C53" i="5" s="1"/>
  <c r="B54" i="5"/>
  <c r="C54" i="5" s="1"/>
  <c r="H54" i="5" s="1"/>
  <c r="B55" i="5"/>
  <c r="C55" i="5" s="1"/>
  <c r="H55" i="5" s="1"/>
  <c r="B56" i="5"/>
  <c r="C56" i="5" s="1"/>
  <c r="B57" i="5"/>
  <c r="C57" i="5" s="1"/>
  <c r="H57" i="5" s="1"/>
  <c r="B58" i="5"/>
  <c r="C58" i="5" s="1"/>
  <c r="H58" i="5" s="1"/>
  <c r="B59" i="5"/>
  <c r="C59" i="5" s="1"/>
  <c r="H59" i="5" s="1"/>
  <c r="B60" i="5"/>
  <c r="C60" i="5" s="1"/>
  <c r="H60" i="5" s="1"/>
  <c r="B61" i="5"/>
  <c r="C61" i="5" s="1"/>
  <c r="B62" i="5"/>
  <c r="C62" i="5" s="1"/>
  <c r="B63" i="5"/>
  <c r="C63" i="5" s="1"/>
  <c r="B64" i="5"/>
  <c r="C64" i="5" s="1"/>
  <c r="H64" i="5" s="1"/>
  <c r="B65" i="5"/>
  <c r="C65" i="5" s="1"/>
  <c r="B66" i="5"/>
  <c r="C66" i="5" s="1"/>
  <c r="H66" i="5" s="1"/>
  <c r="B67" i="5"/>
  <c r="C67" i="5" s="1"/>
  <c r="H67" i="5" s="1"/>
  <c r="B68" i="5"/>
  <c r="C68" i="5" s="1"/>
  <c r="H68" i="5" s="1"/>
  <c r="B69" i="5"/>
  <c r="C69" i="5" s="1"/>
  <c r="B70" i="5"/>
  <c r="C70" i="5" s="1"/>
  <c r="B71" i="5"/>
  <c r="C71" i="5" s="1"/>
  <c r="B72" i="5"/>
  <c r="C72" i="5" s="1"/>
  <c r="H72" i="5" s="1"/>
  <c r="B73" i="5"/>
  <c r="C73" i="5" s="1"/>
  <c r="H73" i="5" s="1"/>
  <c r="B74" i="5"/>
  <c r="C74" i="5" s="1"/>
  <c r="H74" i="5" s="1"/>
  <c r="B75" i="5"/>
  <c r="C75" i="5" s="1"/>
  <c r="H75" i="5" s="1"/>
  <c r="B76" i="5"/>
  <c r="C76" i="5" s="1"/>
  <c r="H76" i="5" s="1"/>
  <c r="B77" i="5"/>
  <c r="C77" i="5" s="1"/>
  <c r="B78" i="5"/>
  <c r="C78" i="5" s="1"/>
  <c r="H78" i="5" s="1"/>
  <c r="B79" i="5"/>
  <c r="C79" i="5" s="1"/>
  <c r="H79" i="5" s="1"/>
  <c r="B80" i="5"/>
  <c r="C80" i="5" s="1"/>
  <c r="H80" i="5" s="1"/>
  <c r="B81" i="5"/>
  <c r="C81" i="5" s="1"/>
  <c r="B82" i="5"/>
  <c r="C82" i="5" s="1"/>
  <c r="H82" i="5" s="1"/>
  <c r="B83" i="5"/>
  <c r="C83" i="5" s="1"/>
  <c r="H83" i="5" s="1"/>
  <c r="B84" i="5"/>
  <c r="C84" i="5" s="1"/>
  <c r="H84" i="5" s="1"/>
  <c r="B85" i="5"/>
  <c r="C85" i="5" s="1"/>
  <c r="B86" i="5"/>
  <c r="C86" i="5" s="1"/>
  <c r="H86" i="5" s="1"/>
  <c r="B87" i="5"/>
  <c r="C87" i="5" s="1"/>
  <c r="B88" i="5"/>
  <c r="C88" i="5" s="1"/>
  <c r="H88" i="5" s="1"/>
  <c r="B89" i="5"/>
  <c r="C89" i="5" s="1"/>
  <c r="B90" i="5"/>
  <c r="C90" i="5" s="1"/>
  <c r="H90" i="5" s="1"/>
  <c r="B91" i="5"/>
  <c r="C91" i="5" s="1"/>
  <c r="H91" i="5" s="1"/>
  <c r="B92" i="5"/>
  <c r="C92" i="5" s="1"/>
  <c r="H92" i="5" s="1"/>
  <c r="B93" i="5"/>
  <c r="C93" i="5" s="1"/>
  <c r="B94" i="5"/>
  <c r="C94" i="5" s="1"/>
  <c r="B95" i="5"/>
  <c r="C95" i="5" s="1"/>
  <c r="B96" i="5"/>
  <c r="C96" i="5" s="1"/>
  <c r="B97" i="5"/>
  <c r="C97" i="5" s="1"/>
  <c r="B98" i="5"/>
  <c r="C98" i="5" s="1"/>
  <c r="H98" i="5" s="1"/>
  <c r="B99" i="5"/>
  <c r="C99" i="5" s="1"/>
  <c r="H99" i="5" s="1"/>
  <c r="B100" i="5"/>
  <c r="C100" i="5" s="1"/>
  <c r="H100" i="5" s="1"/>
  <c r="B101" i="5"/>
  <c r="C101" i="5" s="1"/>
  <c r="B102" i="5"/>
  <c r="C102" i="5" s="1"/>
  <c r="H102" i="5" s="1"/>
  <c r="B103" i="5"/>
  <c r="C103" i="5" s="1"/>
  <c r="H103" i="5" s="1"/>
  <c r="B104" i="5"/>
  <c r="C104" i="5" s="1"/>
  <c r="H104" i="5" s="1"/>
  <c r="B105" i="5"/>
  <c r="C105" i="5" s="1"/>
  <c r="B106" i="5"/>
  <c r="C106" i="5" s="1"/>
  <c r="H106" i="5" s="1"/>
  <c r="B107" i="5"/>
  <c r="C107" i="5" s="1"/>
  <c r="H107" i="5" s="1"/>
  <c r="B108" i="5"/>
  <c r="C108" i="5" s="1"/>
  <c r="H108" i="5" s="1"/>
  <c r="B109" i="5"/>
  <c r="C109" i="5" s="1"/>
  <c r="B110" i="5"/>
  <c r="C110" i="5" s="1"/>
  <c r="H110" i="5" s="1"/>
  <c r="B111" i="5"/>
  <c r="C111" i="5" s="1"/>
  <c r="B112" i="5"/>
  <c r="C112" i="5" s="1"/>
  <c r="B113" i="5"/>
  <c r="C113" i="5" s="1"/>
  <c r="B114" i="5"/>
  <c r="C114" i="5" s="1"/>
  <c r="B115" i="5"/>
  <c r="C115" i="5" s="1"/>
  <c r="H115" i="5" s="1"/>
  <c r="B116" i="5"/>
  <c r="C116" i="5" s="1"/>
  <c r="H116" i="5" s="1"/>
  <c r="B117" i="5"/>
  <c r="C117" i="5" s="1"/>
  <c r="B118" i="5"/>
  <c r="C118" i="5" s="1"/>
  <c r="H118" i="5" s="1"/>
  <c r="B119" i="5"/>
  <c r="C119" i="5" s="1"/>
  <c r="B120" i="5"/>
  <c r="C120" i="5" s="1"/>
  <c r="B121" i="5"/>
  <c r="C121" i="5" s="1"/>
  <c r="H121" i="5" s="1"/>
  <c r="B122" i="5"/>
  <c r="C122" i="5" s="1"/>
  <c r="H122" i="5" s="1"/>
  <c r="B123" i="5"/>
  <c r="C123" i="5" s="1"/>
  <c r="H123" i="5" s="1"/>
  <c r="B124" i="5"/>
  <c r="C124" i="5" s="1"/>
  <c r="H124" i="5" s="1"/>
  <c r="B125" i="5"/>
  <c r="C125" i="5" s="1"/>
  <c r="B126" i="5"/>
  <c r="C126" i="5" s="1"/>
  <c r="H126" i="5" s="1"/>
  <c r="B127" i="5"/>
  <c r="C127" i="5" s="1"/>
  <c r="B128" i="5"/>
  <c r="C128" i="5" s="1"/>
  <c r="H128" i="5" s="1"/>
  <c r="B129" i="5"/>
  <c r="C129" i="5" s="1"/>
  <c r="B130" i="5"/>
  <c r="C130" i="5" s="1"/>
  <c r="H130" i="5" s="1"/>
  <c r="B131" i="5"/>
  <c r="C131" i="5" s="1"/>
  <c r="H131" i="5" s="1"/>
  <c r="B132" i="5"/>
  <c r="C132" i="5" s="1"/>
  <c r="H132" i="5" s="1"/>
  <c r="B133" i="5"/>
  <c r="C133" i="5" s="1"/>
  <c r="B134" i="5"/>
  <c r="C134" i="5" s="1"/>
  <c r="H134" i="5" s="1"/>
  <c r="B135" i="5"/>
  <c r="C135" i="5" s="1"/>
  <c r="H135" i="5" s="1"/>
  <c r="B136" i="5"/>
  <c r="C136" i="5" s="1"/>
  <c r="H136" i="5" s="1"/>
  <c r="B137" i="5"/>
  <c r="C137" i="5" s="1"/>
  <c r="B138" i="5"/>
  <c r="C138" i="5" s="1"/>
  <c r="H138" i="5" s="1"/>
  <c r="B139" i="5"/>
  <c r="C139" i="5" s="1"/>
  <c r="H139" i="5" s="1"/>
  <c r="B140" i="5"/>
  <c r="C140" i="5" s="1"/>
  <c r="H140" i="5" s="1"/>
  <c r="B141" i="5"/>
  <c r="C141" i="5" s="1"/>
  <c r="B142" i="5"/>
  <c r="C142" i="5" s="1"/>
  <c r="B143" i="5"/>
  <c r="C143" i="5" s="1"/>
  <c r="H143" i="5" s="1"/>
  <c r="B144" i="5"/>
  <c r="C144" i="5" s="1"/>
  <c r="H144" i="5" s="1"/>
  <c r="B145" i="5"/>
  <c r="C145" i="5" s="1"/>
  <c r="B146" i="5"/>
  <c r="C146" i="5" s="1"/>
  <c r="H146" i="5" s="1"/>
  <c r="B147" i="5"/>
  <c r="C147" i="5" s="1"/>
  <c r="H147" i="5" s="1"/>
  <c r="B148" i="5"/>
  <c r="C148" i="5" s="1"/>
  <c r="B149" i="5"/>
  <c r="C149" i="5" s="1"/>
  <c r="B150" i="5"/>
  <c r="C150" i="5" s="1"/>
  <c r="H150" i="5" s="1"/>
  <c r="B151" i="5"/>
  <c r="C151" i="5" s="1"/>
  <c r="H151" i="5" s="1"/>
  <c r="B152" i="5"/>
  <c r="B153" i="5"/>
  <c r="C153" i="5" s="1"/>
  <c r="H153" i="5" s="1"/>
  <c r="B154" i="5"/>
  <c r="C154" i="5" s="1"/>
  <c r="H154" i="5" s="1"/>
  <c r="B155" i="5"/>
  <c r="B156" i="5"/>
  <c r="B157" i="5"/>
  <c r="B158" i="5"/>
  <c r="C158" i="5" s="1"/>
  <c r="B159" i="5"/>
  <c r="C159" i="5" s="1"/>
  <c r="B160" i="5"/>
  <c r="C160" i="5" s="1"/>
  <c r="B161" i="5"/>
  <c r="C161" i="5" s="1"/>
  <c r="B162" i="5"/>
  <c r="C162" i="5" s="1"/>
  <c r="B163" i="5"/>
  <c r="C163" i="5" s="1"/>
  <c r="B164" i="5"/>
  <c r="C164" i="5" s="1"/>
  <c r="B165" i="5"/>
  <c r="C165" i="5" s="1"/>
  <c r="B166" i="5"/>
  <c r="C166" i="5" s="1"/>
  <c r="B167" i="5"/>
  <c r="B168" i="5"/>
  <c r="B169" i="5"/>
  <c r="B170" i="5"/>
  <c r="B171" i="5"/>
  <c r="B172" i="5"/>
  <c r="B173" i="5"/>
  <c r="B174" i="5"/>
  <c r="C174" i="5" s="1"/>
  <c r="B175" i="5"/>
  <c r="C175" i="5" s="1"/>
  <c r="B176" i="5"/>
  <c r="C176" i="5" s="1"/>
  <c r="B177" i="5"/>
  <c r="C177" i="5" s="1"/>
  <c r="B178" i="5"/>
  <c r="C178" i="5" s="1"/>
  <c r="B179" i="5"/>
  <c r="C179" i="5" s="1"/>
  <c r="B180" i="5"/>
  <c r="C180" i="5" s="1"/>
  <c r="B181" i="5"/>
  <c r="C181" i="5" s="1"/>
  <c r="B182" i="5"/>
  <c r="C182" i="5" s="1"/>
  <c r="B183" i="5"/>
  <c r="B184" i="5"/>
  <c r="B185" i="5"/>
  <c r="B186" i="5"/>
  <c r="B187" i="5"/>
  <c r="B188" i="5"/>
  <c r="B189" i="5"/>
  <c r="B190" i="5"/>
  <c r="C190" i="5" s="1"/>
  <c r="B191" i="5"/>
  <c r="C191" i="5" s="1"/>
  <c r="B192" i="5"/>
  <c r="C192" i="5" s="1"/>
  <c r="B193" i="5"/>
  <c r="C193" i="5" s="1"/>
  <c r="B194" i="5"/>
  <c r="C194" i="5" s="1"/>
  <c r="B195" i="5"/>
  <c r="C195" i="5" s="1"/>
  <c r="B196" i="5"/>
  <c r="C196" i="5" s="1"/>
  <c r="B197" i="5"/>
  <c r="C197" i="5" s="1"/>
  <c r="B198" i="5"/>
  <c r="C198" i="5" s="1"/>
  <c r="B199" i="5"/>
  <c r="B200" i="5"/>
  <c r="B201" i="5"/>
  <c r="B202" i="5"/>
  <c r="B203" i="5"/>
  <c r="B204" i="5"/>
  <c r="B205" i="5"/>
  <c r="B206" i="5"/>
  <c r="C206" i="5" s="1"/>
  <c r="B207" i="5"/>
  <c r="C207" i="5" s="1"/>
  <c r="B208" i="5"/>
  <c r="C208" i="5" s="1"/>
  <c r="B209" i="5"/>
  <c r="C209" i="5" s="1"/>
  <c r="B210" i="5"/>
  <c r="C210" i="5" s="1"/>
  <c r="B211" i="5"/>
  <c r="C211" i="5" s="1"/>
  <c r="B212" i="5"/>
  <c r="C212" i="5" s="1"/>
  <c r="B213" i="5"/>
  <c r="C213" i="5" s="1"/>
  <c r="B214" i="5"/>
  <c r="C214" i="5" s="1"/>
  <c r="B215" i="5"/>
  <c r="B216" i="5"/>
  <c r="B217" i="5"/>
  <c r="B218" i="5"/>
  <c r="B219" i="5"/>
  <c r="B220" i="5"/>
  <c r="B221" i="5"/>
  <c r="B222" i="5"/>
  <c r="C222" i="5" s="1"/>
  <c r="B223" i="5"/>
  <c r="C223" i="5" s="1"/>
  <c r="B224" i="5"/>
  <c r="C224" i="5" s="1"/>
  <c r="B225" i="5"/>
  <c r="C225" i="5" s="1"/>
  <c r="B226" i="5"/>
  <c r="C226" i="5" s="1"/>
  <c r="B227" i="5"/>
  <c r="C227" i="5" s="1"/>
  <c r="B228" i="5"/>
  <c r="C228" i="5" s="1"/>
  <c r="B229" i="5"/>
  <c r="C229" i="5" s="1"/>
  <c r="B230" i="5"/>
  <c r="C230" i="5" s="1"/>
  <c r="B231" i="5"/>
  <c r="B232" i="5"/>
  <c r="B233" i="5"/>
  <c r="B234" i="5"/>
  <c r="B235" i="5"/>
  <c r="B236" i="5"/>
  <c r="B237" i="5"/>
  <c r="B238" i="5"/>
  <c r="C238" i="5" s="1"/>
  <c r="B239" i="5"/>
  <c r="C239" i="5" s="1"/>
  <c r="B240" i="5"/>
  <c r="C240" i="5" s="1"/>
  <c r="B241" i="5"/>
  <c r="C241" i="5" s="1"/>
  <c r="B242" i="5"/>
  <c r="C242" i="5" s="1"/>
  <c r="B243" i="5"/>
  <c r="C243" i="5" s="1"/>
  <c r="B244" i="5"/>
  <c r="C244" i="5" s="1"/>
  <c r="B245" i="5"/>
  <c r="C245" i="5" s="1"/>
  <c r="B246" i="5"/>
  <c r="C246" i="5" s="1"/>
  <c r="B247" i="5"/>
  <c r="B248" i="5"/>
  <c r="B249" i="5"/>
  <c r="B250" i="5"/>
  <c r="B251" i="5"/>
  <c r="B252" i="5"/>
  <c r="B253" i="5"/>
  <c r="B254" i="5"/>
  <c r="C254" i="5" s="1"/>
  <c r="B255" i="5"/>
  <c r="C255" i="5" s="1"/>
  <c r="B256" i="5"/>
  <c r="C256" i="5" s="1"/>
  <c r="B257" i="5"/>
  <c r="C257" i="5" s="1"/>
  <c r="B258" i="5"/>
  <c r="C258" i="5" s="1"/>
  <c r="B259" i="5"/>
  <c r="C259" i="5" s="1"/>
  <c r="B260" i="5"/>
  <c r="C260" i="5" s="1"/>
  <c r="B261" i="5"/>
  <c r="C261" i="5" s="1"/>
  <c r="B262" i="5"/>
  <c r="C262" i="5" s="1"/>
  <c r="B263" i="5"/>
  <c r="B264" i="5"/>
  <c r="B265" i="5"/>
  <c r="B266" i="5"/>
  <c r="B267" i="5"/>
  <c r="B268" i="5"/>
  <c r="B269" i="5"/>
  <c r="B270" i="5"/>
  <c r="C270" i="5" s="1"/>
  <c r="B271" i="5"/>
  <c r="C271" i="5" s="1"/>
  <c r="B272" i="5"/>
  <c r="C272" i="5" s="1"/>
  <c r="B273" i="5"/>
  <c r="C273" i="5" s="1"/>
  <c r="B274" i="5"/>
  <c r="C274" i="5" s="1"/>
  <c r="B275" i="5"/>
  <c r="C275" i="5" s="1"/>
  <c r="B276" i="5"/>
  <c r="C276" i="5" s="1"/>
  <c r="B277" i="5"/>
  <c r="C277" i="5" s="1"/>
  <c r="B278" i="5"/>
  <c r="C278" i="5" s="1"/>
  <c r="B279" i="5"/>
  <c r="B280" i="5"/>
  <c r="B281" i="5"/>
  <c r="B282" i="5"/>
  <c r="B283" i="5"/>
  <c r="B284" i="5"/>
  <c r="B285" i="5"/>
  <c r="B286" i="5"/>
  <c r="C286" i="5" s="1"/>
  <c r="B287" i="5"/>
  <c r="C287" i="5" s="1"/>
  <c r="B288" i="5"/>
  <c r="C288" i="5" s="1"/>
  <c r="B289" i="5"/>
  <c r="C289" i="5" s="1"/>
  <c r="B290" i="5"/>
  <c r="C290" i="5" s="1"/>
  <c r="B291" i="5"/>
  <c r="C291" i="5" s="1"/>
  <c r="B292" i="5"/>
  <c r="C292" i="5" s="1"/>
  <c r="B293" i="5"/>
  <c r="C293" i="5" s="1"/>
  <c r="B294" i="5"/>
  <c r="C294" i="5" s="1"/>
  <c r="B295" i="5"/>
  <c r="B296" i="5"/>
  <c r="B297" i="5"/>
  <c r="B298" i="5"/>
  <c r="B299" i="5"/>
  <c r="B300" i="5"/>
  <c r="B301" i="5"/>
  <c r="B302" i="5"/>
  <c r="C302" i="5" s="1"/>
  <c r="B303" i="5"/>
  <c r="C303" i="5" s="1"/>
  <c r="B304" i="5"/>
  <c r="C304" i="5" s="1"/>
  <c r="B305" i="5"/>
  <c r="C305" i="5" s="1"/>
  <c r="B306" i="5"/>
  <c r="C306" i="5" s="1"/>
  <c r="B307" i="5"/>
  <c r="C307" i="5" s="1"/>
  <c r="B308" i="5"/>
  <c r="C308" i="5" s="1"/>
  <c r="B309" i="5"/>
  <c r="C309" i="5" s="1"/>
  <c r="B310" i="5"/>
  <c r="C310" i="5" s="1"/>
  <c r="B311" i="5"/>
  <c r="B312" i="5"/>
  <c r="B313" i="5"/>
  <c r="B314" i="5"/>
  <c r="B315" i="5"/>
  <c r="B316" i="5"/>
  <c r="B317" i="5"/>
  <c r="B318" i="5"/>
  <c r="C318" i="5" s="1"/>
  <c r="B319" i="5"/>
  <c r="C319" i="5" s="1"/>
  <c r="B320" i="5"/>
  <c r="C320" i="5" s="1"/>
  <c r="B321" i="5"/>
  <c r="C321" i="5" s="1"/>
  <c r="B322" i="5"/>
  <c r="C322" i="5" s="1"/>
  <c r="B323" i="5"/>
  <c r="C323" i="5" s="1"/>
  <c r="B324" i="5"/>
  <c r="C324" i="5" s="1"/>
  <c r="B325" i="5"/>
  <c r="C325" i="5" s="1"/>
  <c r="B326" i="5"/>
  <c r="C326" i="5" s="1"/>
  <c r="B327" i="5"/>
  <c r="B328" i="5"/>
  <c r="B329" i="5"/>
  <c r="B330" i="5"/>
  <c r="B331" i="5"/>
  <c r="B332" i="5"/>
  <c r="B333" i="5"/>
  <c r="B334" i="5"/>
  <c r="C334" i="5" s="1"/>
  <c r="B335" i="5"/>
  <c r="C335" i="5" s="1"/>
  <c r="B336" i="5"/>
  <c r="C336" i="5" s="1"/>
  <c r="B337" i="5"/>
  <c r="C337" i="5" s="1"/>
  <c r="B338" i="5"/>
  <c r="C338" i="5" s="1"/>
  <c r="B339" i="5"/>
  <c r="C339" i="5" s="1"/>
  <c r="B340" i="5"/>
  <c r="C340" i="5" s="1"/>
  <c r="B341" i="5"/>
  <c r="C341" i="5" s="1"/>
  <c r="B342" i="5"/>
  <c r="C342" i="5" s="1"/>
  <c r="B343" i="5"/>
  <c r="B344" i="5"/>
  <c r="B345" i="5"/>
  <c r="B346" i="5"/>
  <c r="B347" i="5"/>
  <c r="B348" i="5"/>
  <c r="B349" i="5"/>
  <c r="B350" i="5"/>
  <c r="C350" i="5" s="1"/>
  <c r="B351" i="5"/>
  <c r="C351" i="5" s="1"/>
  <c r="B352" i="5"/>
  <c r="C352" i="5" s="1"/>
  <c r="B353" i="5"/>
  <c r="C353" i="5" s="1"/>
  <c r="B354" i="5"/>
  <c r="C354" i="5" s="1"/>
  <c r="B355" i="5"/>
  <c r="C355" i="5" s="1"/>
  <c r="B356" i="5"/>
  <c r="C356" i="5" s="1"/>
  <c r="B357" i="5"/>
  <c r="C357" i="5" s="1"/>
  <c r="B358" i="5"/>
  <c r="C358" i="5" s="1"/>
  <c r="B359" i="5"/>
  <c r="B360" i="5"/>
  <c r="B361" i="5"/>
  <c r="G2" i="2"/>
  <c r="H125" i="5" l="1"/>
  <c r="H109" i="5"/>
  <c r="H93" i="5"/>
  <c r="H77" i="5"/>
  <c r="H61" i="5"/>
  <c r="H45" i="5"/>
  <c r="J45" i="5" s="1"/>
  <c r="H29" i="5"/>
  <c r="J29" i="5" s="1"/>
  <c r="H348" i="5"/>
  <c r="H314" i="5"/>
  <c r="J314" i="5" s="1"/>
  <c r="H280" i="5"/>
  <c r="H237" i="5"/>
  <c r="H203" i="5"/>
  <c r="J203" i="5" s="1"/>
  <c r="H169" i="5"/>
  <c r="J169" i="5" s="1"/>
  <c r="H149" i="5"/>
  <c r="H133" i="5"/>
  <c r="H117" i="5"/>
  <c r="J117" i="5" s="1"/>
  <c r="H101" i="5"/>
  <c r="H85" i="5"/>
  <c r="H69" i="5"/>
  <c r="H53" i="5"/>
  <c r="H37" i="5"/>
  <c r="H5" i="5"/>
  <c r="H331" i="5"/>
  <c r="J331" i="5" s="1"/>
  <c r="H297" i="5"/>
  <c r="J297" i="5" s="1"/>
  <c r="H263" i="5"/>
  <c r="H220" i="5"/>
  <c r="H186" i="5"/>
  <c r="J186" i="5" s="1"/>
  <c r="H129" i="5"/>
  <c r="H97" i="5"/>
  <c r="J97" i="5" s="1"/>
  <c r="H81" i="5"/>
  <c r="J81" i="5" s="1"/>
  <c r="H65" i="5"/>
  <c r="J65" i="5" s="1"/>
  <c r="H49" i="5"/>
  <c r="J49" i="5" s="1"/>
  <c r="H33" i="5"/>
  <c r="H17" i="5"/>
  <c r="H361" i="5"/>
  <c r="H327" i="5"/>
  <c r="H284" i="5"/>
  <c r="J284" i="5" s="1"/>
  <c r="H250" i="5"/>
  <c r="J250" i="5" s="1"/>
  <c r="H216" i="5"/>
  <c r="H173" i="5"/>
  <c r="J173" i="5" s="1"/>
  <c r="C15" i="8"/>
  <c r="C3" i="5"/>
  <c r="H3" i="5" s="1"/>
  <c r="J3" i="5" s="1"/>
  <c r="A2" i="8"/>
  <c r="B2" i="8" s="1"/>
  <c r="E10" i="5"/>
  <c r="C2" i="5"/>
  <c r="E2" i="5" s="1"/>
  <c r="C220" i="8"/>
  <c r="C219" i="8"/>
  <c r="C218" i="8"/>
  <c r="C217" i="8"/>
  <c r="C216" i="8"/>
  <c r="C353" i="8"/>
  <c r="C215" i="8"/>
  <c r="C352" i="8"/>
  <c r="C182" i="8"/>
  <c r="C348" i="8"/>
  <c r="C347" i="8"/>
  <c r="C340" i="8"/>
  <c r="C339" i="8"/>
  <c r="C312" i="8"/>
  <c r="C311" i="8"/>
  <c r="C309" i="8"/>
  <c r="C257" i="8"/>
  <c r="C256" i="8"/>
  <c r="C296" i="8"/>
  <c r="C181" i="8"/>
  <c r="C295" i="8"/>
  <c r="C179" i="8"/>
  <c r="C294" i="8"/>
  <c r="C172" i="8"/>
  <c r="C261" i="8"/>
  <c r="C171" i="8"/>
  <c r="C260" i="8"/>
  <c r="C170" i="8"/>
  <c r="C259" i="8"/>
  <c r="C258" i="8"/>
  <c r="C337" i="8"/>
  <c r="C293" i="8"/>
  <c r="C252" i="8"/>
  <c r="C213" i="8"/>
  <c r="C163" i="8"/>
  <c r="C330" i="8"/>
  <c r="C292" i="8"/>
  <c r="C251" i="8"/>
  <c r="C200" i="8"/>
  <c r="C162" i="8"/>
  <c r="C329" i="8"/>
  <c r="C291" i="8"/>
  <c r="C250" i="8"/>
  <c r="C199" i="8"/>
  <c r="C161" i="8"/>
  <c r="C328" i="8"/>
  <c r="C290" i="8"/>
  <c r="C249" i="8"/>
  <c r="C198" i="8"/>
  <c r="C160" i="8"/>
  <c r="C280" i="8"/>
  <c r="C241" i="8"/>
  <c r="C197" i="8"/>
  <c r="C156" i="8"/>
  <c r="C358" i="8"/>
  <c r="C320" i="8"/>
  <c r="C279" i="8"/>
  <c r="C234" i="8"/>
  <c r="C196" i="8"/>
  <c r="C155" i="8"/>
  <c r="C357" i="8"/>
  <c r="C316" i="8"/>
  <c r="C278" i="8"/>
  <c r="C233" i="8"/>
  <c r="C195" i="8"/>
  <c r="C154" i="8"/>
  <c r="C321" i="8"/>
  <c r="C356" i="8"/>
  <c r="C315" i="8"/>
  <c r="C277" i="8"/>
  <c r="C232" i="8"/>
  <c r="C194" i="8"/>
  <c r="C153" i="8"/>
  <c r="C355" i="8"/>
  <c r="C314" i="8"/>
  <c r="C275" i="8"/>
  <c r="C231" i="8"/>
  <c r="C193" i="8"/>
  <c r="C151" i="8"/>
  <c r="C354" i="8"/>
  <c r="C313" i="8"/>
  <c r="C268" i="8"/>
  <c r="C230" i="8"/>
  <c r="C192" i="8"/>
  <c r="C338" i="8"/>
  <c r="C310" i="8"/>
  <c r="C276" i="8"/>
  <c r="C242" i="8"/>
  <c r="C214" i="8"/>
  <c r="C180" i="8"/>
  <c r="C152" i="8"/>
  <c r="J359" i="5"/>
  <c r="J327" i="5"/>
  <c r="J247" i="5"/>
  <c r="J215" i="5"/>
  <c r="J183" i="5"/>
  <c r="C336" i="8"/>
  <c r="C299" i="8"/>
  <c r="C274" i="8"/>
  <c r="C240" i="8"/>
  <c r="C212" i="8"/>
  <c r="C178" i="8"/>
  <c r="C144" i="8"/>
  <c r="C332" i="8"/>
  <c r="C298" i="8"/>
  <c r="C273" i="8"/>
  <c r="C236" i="8"/>
  <c r="C211" i="8"/>
  <c r="C177" i="8"/>
  <c r="C359" i="8"/>
  <c r="C331" i="8"/>
  <c r="C297" i="8"/>
  <c r="C272" i="8"/>
  <c r="C235" i="8"/>
  <c r="C201" i="8"/>
  <c r="C176" i="8"/>
  <c r="C327" i="8"/>
  <c r="C289" i="8"/>
  <c r="C248" i="8"/>
  <c r="C210" i="8"/>
  <c r="C169" i="8"/>
  <c r="C364" i="8"/>
  <c r="C345" i="8"/>
  <c r="C326" i="8"/>
  <c r="C307" i="8"/>
  <c r="C288" i="8"/>
  <c r="C266" i="8"/>
  <c r="C247" i="8"/>
  <c r="C228" i="8"/>
  <c r="C209" i="8"/>
  <c r="C187" i="8"/>
  <c r="C168" i="8"/>
  <c r="C149" i="8"/>
  <c r="C363" i="8"/>
  <c r="C344" i="8"/>
  <c r="C325" i="8"/>
  <c r="C306" i="8"/>
  <c r="C284" i="8"/>
  <c r="C265" i="8"/>
  <c r="C246" i="8"/>
  <c r="C227" i="8"/>
  <c r="C208" i="8"/>
  <c r="C186" i="8"/>
  <c r="C167" i="8"/>
  <c r="C148" i="8"/>
  <c r="C343" i="8"/>
  <c r="C283" i="8"/>
  <c r="C204" i="8"/>
  <c r="C361" i="8"/>
  <c r="C342" i="8"/>
  <c r="C323" i="8"/>
  <c r="C304" i="8"/>
  <c r="C282" i="8"/>
  <c r="C263" i="8"/>
  <c r="C244" i="8"/>
  <c r="C225" i="8"/>
  <c r="C203" i="8"/>
  <c r="C184" i="8"/>
  <c r="C165" i="8"/>
  <c r="C146" i="8"/>
  <c r="C346" i="8"/>
  <c r="C308" i="8"/>
  <c r="C267" i="8"/>
  <c r="C229" i="8"/>
  <c r="C188" i="8"/>
  <c r="C150" i="8"/>
  <c r="C362" i="8"/>
  <c r="C324" i="8"/>
  <c r="C305" i="8"/>
  <c r="C264" i="8"/>
  <c r="C245" i="8"/>
  <c r="C226" i="8"/>
  <c r="C185" i="8"/>
  <c r="C166" i="8"/>
  <c r="C147" i="8"/>
  <c r="C360" i="8"/>
  <c r="C341" i="8"/>
  <c r="C322" i="8"/>
  <c r="C300" i="8"/>
  <c r="C281" i="8"/>
  <c r="C262" i="8"/>
  <c r="C243" i="8"/>
  <c r="C224" i="8"/>
  <c r="C202" i="8"/>
  <c r="C183" i="8"/>
  <c r="C164" i="8"/>
  <c r="C145" i="8"/>
  <c r="C351" i="8"/>
  <c r="C335" i="8"/>
  <c r="C319" i="8"/>
  <c r="C303" i="8"/>
  <c r="C287" i="8"/>
  <c r="C271" i="8"/>
  <c r="C255" i="8"/>
  <c r="C239" i="8"/>
  <c r="C223" i="8"/>
  <c r="C207" i="8"/>
  <c r="C191" i="8"/>
  <c r="C175" i="8"/>
  <c r="C159" i="8"/>
  <c r="C143" i="8"/>
  <c r="C366" i="8"/>
  <c r="C350" i="8"/>
  <c r="C334" i="8"/>
  <c r="C318" i="8"/>
  <c r="C302" i="8"/>
  <c r="C286" i="8"/>
  <c r="C270" i="8"/>
  <c r="C254" i="8"/>
  <c r="C238" i="8"/>
  <c r="C222" i="8"/>
  <c r="C206" i="8"/>
  <c r="C190" i="8"/>
  <c r="C174" i="8"/>
  <c r="C158" i="8"/>
  <c r="C142" i="8"/>
  <c r="C365" i="8"/>
  <c r="C349" i="8"/>
  <c r="C333" i="8"/>
  <c r="C317" i="8"/>
  <c r="C301" i="8"/>
  <c r="C285" i="8"/>
  <c r="C269" i="8"/>
  <c r="C253" i="8"/>
  <c r="C237" i="8"/>
  <c r="C221" i="8"/>
  <c r="C205" i="8"/>
  <c r="C189" i="8"/>
  <c r="C173" i="8"/>
  <c r="H342" i="5"/>
  <c r="J342" i="5" s="1"/>
  <c r="E342" i="5"/>
  <c r="H278" i="5"/>
  <c r="J278" i="5" s="1"/>
  <c r="E278" i="5"/>
  <c r="H198" i="5"/>
  <c r="J198" i="5" s="1"/>
  <c r="E198" i="5"/>
  <c r="H357" i="5"/>
  <c r="J357" i="5" s="1"/>
  <c r="E357" i="5"/>
  <c r="H309" i="5"/>
  <c r="J309" i="5" s="1"/>
  <c r="E309" i="5"/>
  <c r="H261" i="5"/>
  <c r="J261" i="5" s="1"/>
  <c r="E261" i="5"/>
  <c r="H229" i="5"/>
  <c r="J229" i="5" s="1"/>
  <c r="E229" i="5"/>
  <c r="H197" i="5"/>
  <c r="J197" i="5" s="1"/>
  <c r="E197" i="5"/>
  <c r="H165" i="5"/>
  <c r="J165" i="5" s="1"/>
  <c r="E165" i="5"/>
  <c r="H356" i="5"/>
  <c r="J356" i="5" s="1"/>
  <c r="E356" i="5"/>
  <c r="H324" i="5"/>
  <c r="J324" i="5" s="1"/>
  <c r="E324" i="5"/>
  <c r="H292" i="5"/>
  <c r="J292" i="5" s="1"/>
  <c r="E292" i="5"/>
  <c r="H244" i="5"/>
  <c r="J244" i="5" s="1"/>
  <c r="E244" i="5"/>
  <c r="H354" i="5"/>
  <c r="J354" i="5" s="1"/>
  <c r="E354" i="5"/>
  <c r="H338" i="5"/>
  <c r="J338" i="5" s="1"/>
  <c r="E338" i="5"/>
  <c r="H322" i="5"/>
  <c r="J322" i="5" s="1"/>
  <c r="E322" i="5"/>
  <c r="H306" i="5"/>
  <c r="J306" i="5" s="1"/>
  <c r="E306" i="5"/>
  <c r="H290" i="5"/>
  <c r="J290" i="5" s="1"/>
  <c r="E290" i="5"/>
  <c r="H274" i="5"/>
  <c r="J274" i="5" s="1"/>
  <c r="E274" i="5"/>
  <c r="H258" i="5"/>
  <c r="J258" i="5" s="1"/>
  <c r="E258" i="5"/>
  <c r="H242" i="5"/>
  <c r="J242" i="5" s="1"/>
  <c r="E242" i="5"/>
  <c r="H226" i="5"/>
  <c r="J226" i="5" s="1"/>
  <c r="E226" i="5"/>
  <c r="H210" i="5"/>
  <c r="J210" i="5" s="1"/>
  <c r="E210" i="5"/>
  <c r="H194" i="5"/>
  <c r="J194" i="5" s="1"/>
  <c r="E194" i="5"/>
  <c r="H178" i="5"/>
  <c r="J178" i="5" s="1"/>
  <c r="E178" i="5"/>
  <c r="H162" i="5"/>
  <c r="J162" i="5" s="1"/>
  <c r="E162" i="5"/>
  <c r="J231" i="5"/>
  <c r="H310" i="5"/>
  <c r="J310" i="5" s="1"/>
  <c r="E310" i="5"/>
  <c r="H246" i="5"/>
  <c r="J246" i="5" s="1"/>
  <c r="E246" i="5"/>
  <c r="H182" i="5"/>
  <c r="J182" i="5" s="1"/>
  <c r="E182" i="5"/>
  <c r="H341" i="5"/>
  <c r="J341" i="5" s="1"/>
  <c r="E341" i="5"/>
  <c r="H293" i="5"/>
  <c r="J293" i="5" s="1"/>
  <c r="E293" i="5"/>
  <c r="H353" i="5"/>
  <c r="J353" i="5" s="1"/>
  <c r="E353" i="5"/>
  <c r="H337" i="5"/>
  <c r="J337" i="5" s="1"/>
  <c r="E337" i="5"/>
  <c r="H321" i="5"/>
  <c r="J321" i="5" s="1"/>
  <c r="E321" i="5"/>
  <c r="H305" i="5"/>
  <c r="J305" i="5" s="1"/>
  <c r="E305" i="5"/>
  <c r="H289" i="5"/>
  <c r="J289" i="5" s="1"/>
  <c r="E289" i="5"/>
  <c r="H273" i="5"/>
  <c r="J273" i="5" s="1"/>
  <c r="E273" i="5"/>
  <c r="H257" i="5"/>
  <c r="J257" i="5" s="1"/>
  <c r="E257" i="5"/>
  <c r="H241" i="5"/>
  <c r="J241" i="5" s="1"/>
  <c r="E241" i="5"/>
  <c r="H225" i="5"/>
  <c r="J225" i="5" s="1"/>
  <c r="E225" i="5"/>
  <c r="E209" i="5"/>
  <c r="H209" i="5"/>
  <c r="J209" i="5" s="1"/>
  <c r="E193" i="5"/>
  <c r="H193" i="5"/>
  <c r="J193" i="5" s="1"/>
  <c r="E177" i="5"/>
  <c r="H177" i="5"/>
  <c r="J177" i="5" s="1"/>
  <c r="E161" i="5"/>
  <c r="H161" i="5"/>
  <c r="J161" i="5" s="1"/>
  <c r="H352" i="5"/>
  <c r="J352" i="5" s="1"/>
  <c r="E352" i="5"/>
  <c r="H336" i="5"/>
  <c r="J336" i="5" s="1"/>
  <c r="E336" i="5"/>
  <c r="H320" i="5"/>
  <c r="J320" i="5" s="1"/>
  <c r="E320" i="5"/>
  <c r="H304" i="5"/>
  <c r="J304" i="5" s="1"/>
  <c r="E304" i="5"/>
  <c r="H288" i="5"/>
  <c r="J288" i="5" s="1"/>
  <c r="E288" i="5"/>
  <c r="H272" i="5"/>
  <c r="J272" i="5" s="1"/>
  <c r="E272" i="5"/>
  <c r="H256" i="5"/>
  <c r="J256" i="5" s="1"/>
  <c r="E256" i="5"/>
  <c r="H240" i="5"/>
  <c r="J240" i="5" s="1"/>
  <c r="E240" i="5"/>
  <c r="H224" i="5"/>
  <c r="J224" i="5" s="1"/>
  <c r="E224" i="5"/>
  <c r="H208" i="5"/>
  <c r="J208" i="5" s="1"/>
  <c r="E208" i="5"/>
  <c r="H192" i="5"/>
  <c r="J192" i="5" s="1"/>
  <c r="E192" i="5"/>
  <c r="H176" i="5"/>
  <c r="J176" i="5" s="1"/>
  <c r="E176" i="5"/>
  <c r="H160" i="5"/>
  <c r="J160" i="5" s="1"/>
  <c r="E160" i="5"/>
  <c r="J317" i="5"/>
  <c r="H326" i="5"/>
  <c r="J326" i="5" s="1"/>
  <c r="E326" i="5"/>
  <c r="H262" i="5"/>
  <c r="J262" i="5" s="1"/>
  <c r="E262" i="5"/>
  <c r="H214" i="5"/>
  <c r="J214" i="5" s="1"/>
  <c r="E214" i="5"/>
  <c r="H351" i="5"/>
  <c r="J351" i="5" s="1"/>
  <c r="E351" i="5"/>
  <c r="H335" i="5"/>
  <c r="J335" i="5" s="1"/>
  <c r="E335" i="5"/>
  <c r="H319" i="5"/>
  <c r="J319" i="5" s="1"/>
  <c r="E319" i="5"/>
  <c r="H303" i="5"/>
  <c r="J303" i="5" s="1"/>
  <c r="E303" i="5"/>
  <c r="H287" i="5"/>
  <c r="J287" i="5" s="1"/>
  <c r="E287" i="5"/>
  <c r="H271" i="5"/>
  <c r="J271" i="5" s="1"/>
  <c r="E271" i="5"/>
  <c r="H255" i="5"/>
  <c r="J255" i="5" s="1"/>
  <c r="E255" i="5"/>
  <c r="H239" i="5"/>
  <c r="J239" i="5" s="1"/>
  <c r="E239" i="5"/>
  <c r="H223" i="5"/>
  <c r="J223" i="5" s="1"/>
  <c r="E223" i="5"/>
  <c r="H207" i="5"/>
  <c r="J207" i="5" s="1"/>
  <c r="E207" i="5"/>
  <c r="H191" i="5"/>
  <c r="J191" i="5" s="1"/>
  <c r="E191" i="5"/>
  <c r="H175" i="5"/>
  <c r="J175" i="5" s="1"/>
  <c r="E175" i="5"/>
  <c r="H159" i="5"/>
  <c r="J159" i="5" s="1"/>
  <c r="E159" i="5"/>
  <c r="H350" i="5"/>
  <c r="J350" i="5" s="1"/>
  <c r="E350" i="5"/>
  <c r="H334" i="5"/>
  <c r="J334" i="5" s="1"/>
  <c r="E334" i="5"/>
  <c r="H318" i="5"/>
  <c r="J318" i="5" s="1"/>
  <c r="E318" i="5"/>
  <c r="H302" i="5"/>
  <c r="J302" i="5" s="1"/>
  <c r="E302" i="5"/>
  <c r="H286" i="5"/>
  <c r="J286" i="5" s="1"/>
  <c r="E286" i="5"/>
  <c r="H270" i="5"/>
  <c r="J270" i="5" s="1"/>
  <c r="E270" i="5"/>
  <c r="H254" i="5"/>
  <c r="J254" i="5" s="1"/>
  <c r="E254" i="5"/>
  <c r="H238" i="5"/>
  <c r="J238" i="5" s="1"/>
  <c r="E238" i="5"/>
  <c r="H222" i="5"/>
  <c r="J222" i="5" s="1"/>
  <c r="E222" i="5"/>
  <c r="E206" i="5"/>
  <c r="H206" i="5"/>
  <c r="J206" i="5" s="1"/>
  <c r="E190" i="5"/>
  <c r="H190" i="5"/>
  <c r="J190" i="5" s="1"/>
  <c r="E174" i="5"/>
  <c r="H174" i="5"/>
  <c r="J174" i="5" s="1"/>
  <c r="E158" i="5"/>
  <c r="H158" i="5"/>
  <c r="J158" i="5" s="1"/>
  <c r="J279" i="5"/>
  <c r="J167" i="5"/>
  <c r="J311" i="5"/>
  <c r="H358" i="5"/>
  <c r="J358" i="5" s="1"/>
  <c r="E358" i="5"/>
  <c r="H294" i="5"/>
  <c r="J294" i="5" s="1"/>
  <c r="E294" i="5"/>
  <c r="H230" i="5"/>
  <c r="J230" i="5" s="1"/>
  <c r="E230" i="5"/>
  <c r="H166" i="5"/>
  <c r="J166" i="5" s="1"/>
  <c r="E166" i="5"/>
  <c r="H325" i="5"/>
  <c r="J325" i="5" s="1"/>
  <c r="E325" i="5"/>
  <c r="H277" i="5"/>
  <c r="J277" i="5" s="1"/>
  <c r="E277" i="5"/>
  <c r="H245" i="5"/>
  <c r="J245" i="5" s="1"/>
  <c r="E245" i="5"/>
  <c r="H213" i="5"/>
  <c r="J213" i="5" s="1"/>
  <c r="E213" i="5"/>
  <c r="H181" i="5"/>
  <c r="J181" i="5" s="1"/>
  <c r="E181" i="5"/>
  <c r="J263" i="5"/>
  <c r="H340" i="5"/>
  <c r="J340" i="5" s="1"/>
  <c r="E340" i="5"/>
  <c r="H308" i="5"/>
  <c r="J308" i="5" s="1"/>
  <c r="E308" i="5"/>
  <c r="H276" i="5"/>
  <c r="J276" i="5" s="1"/>
  <c r="E276" i="5"/>
  <c r="H260" i="5"/>
  <c r="J260" i="5" s="1"/>
  <c r="E260" i="5"/>
  <c r="H228" i="5"/>
  <c r="J228" i="5" s="1"/>
  <c r="E228" i="5"/>
  <c r="H212" i="5"/>
  <c r="J212" i="5" s="1"/>
  <c r="E212" i="5"/>
  <c r="H196" i="5"/>
  <c r="J196" i="5" s="1"/>
  <c r="E196" i="5"/>
  <c r="H180" i="5"/>
  <c r="J180" i="5" s="1"/>
  <c r="E180" i="5"/>
  <c r="H164" i="5"/>
  <c r="J164" i="5" s="1"/>
  <c r="E164" i="5"/>
  <c r="H355" i="5"/>
  <c r="J355" i="5" s="1"/>
  <c r="E355" i="5"/>
  <c r="H339" i="5"/>
  <c r="J339" i="5" s="1"/>
  <c r="E339" i="5"/>
  <c r="E323" i="5"/>
  <c r="H323" i="5"/>
  <c r="J323" i="5" s="1"/>
  <c r="H307" i="5"/>
  <c r="J307" i="5" s="1"/>
  <c r="E307" i="5"/>
  <c r="H291" i="5"/>
  <c r="J291" i="5" s="1"/>
  <c r="E291" i="5"/>
  <c r="H275" i="5"/>
  <c r="J275" i="5" s="1"/>
  <c r="E275" i="5"/>
  <c r="H259" i="5"/>
  <c r="J259" i="5" s="1"/>
  <c r="E259" i="5"/>
  <c r="H243" i="5"/>
  <c r="J243" i="5" s="1"/>
  <c r="E243" i="5"/>
  <c r="E227" i="5"/>
  <c r="H227" i="5"/>
  <c r="J227" i="5" s="1"/>
  <c r="E211" i="5"/>
  <c r="H211" i="5"/>
  <c r="J211" i="5" s="1"/>
  <c r="E195" i="5"/>
  <c r="H195" i="5"/>
  <c r="J195" i="5" s="1"/>
  <c r="E179" i="5"/>
  <c r="H179" i="5"/>
  <c r="J179" i="5" s="1"/>
  <c r="E163" i="5"/>
  <c r="H163" i="5"/>
  <c r="J163" i="5" s="1"/>
  <c r="J295" i="5"/>
  <c r="E189" i="5"/>
  <c r="E167" i="5"/>
  <c r="E185" i="5"/>
  <c r="J168" i="5"/>
  <c r="E300" i="5"/>
  <c r="E346" i="5"/>
  <c r="E330" i="5"/>
  <c r="E314" i="5"/>
  <c r="E298" i="5"/>
  <c r="E282" i="5"/>
  <c r="E266" i="5"/>
  <c r="E250" i="5"/>
  <c r="E234" i="5"/>
  <c r="E217" i="5"/>
  <c r="E157" i="5"/>
  <c r="E168" i="5"/>
  <c r="E186" i="5"/>
  <c r="J280" i="5"/>
  <c r="E252" i="5"/>
  <c r="E361" i="5"/>
  <c r="E345" i="5"/>
  <c r="E329" i="5"/>
  <c r="E313" i="5"/>
  <c r="E297" i="5"/>
  <c r="E281" i="5"/>
  <c r="E265" i="5"/>
  <c r="E249" i="5"/>
  <c r="E233" i="5"/>
  <c r="E216" i="5"/>
  <c r="E156" i="5"/>
  <c r="J189" i="5"/>
  <c r="J220" i="5"/>
  <c r="J313" i="5"/>
  <c r="J343" i="5"/>
  <c r="E284" i="5"/>
  <c r="E360" i="5"/>
  <c r="E344" i="5"/>
  <c r="E328" i="5"/>
  <c r="E312" i="5"/>
  <c r="E296" i="5"/>
  <c r="E280" i="5"/>
  <c r="E264" i="5"/>
  <c r="E248" i="5"/>
  <c r="E232" i="5"/>
  <c r="E215" i="5"/>
  <c r="E205" i="5"/>
  <c r="E359" i="5"/>
  <c r="E343" i="5"/>
  <c r="E327" i="5"/>
  <c r="E311" i="5"/>
  <c r="E295" i="5"/>
  <c r="E263" i="5"/>
  <c r="E231" i="5"/>
  <c r="E173" i="5"/>
  <c r="J268" i="5"/>
  <c r="J172" i="5"/>
  <c r="J184" i="5"/>
  <c r="E247" i="5"/>
  <c r="E172" i="5"/>
  <c r="J236" i="5"/>
  <c r="J185" i="5"/>
  <c r="J360" i="5"/>
  <c r="J216" i="5"/>
  <c r="E279" i="5"/>
  <c r="E171" i="5"/>
  <c r="E366" i="5"/>
  <c r="H366" i="5"/>
  <c r="J366" i="5" s="1"/>
  <c r="E170" i="5"/>
  <c r="J237" i="5"/>
  <c r="E204" i="5"/>
  <c r="J364" i="5"/>
  <c r="J300" i="5"/>
  <c r="J361" i="5"/>
  <c r="J232" i="5"/>
  <c r="E203" i="5"/>
  <c r="E184" i="5"/>
  <c r="J328" i="5"/>
  <c r="E221" i="5"/>
  <c r="E202" i="5"/>
  <c r="E183" i="5"/>
  <c r="J348" i="5"/>
  <c r="J248" i="5"/>
  <c r="E349" i="5"/>
  <c r="E333" i="5"/>
  <c r="E317" i="5"/>
  <c r="E301" i="5"/>
  <c r="E285" i="5"/>
  <c r="E269" i="5"/>
  <c r="E253" i="5"/>
  <c r="E237" i="5"/>
  <c r="E220" i="5"/>
  <c r="E201" i="5"/>
  <c r="H363" i="5"/>
  <c r="J363" i="5" s="1"/>
  <c r="E363" i="5"/>
  <c r="E187" i="5"/>
  <c r="J296" i="5"/>
  <c r="E348" i="5"/>
  <c r="E332" i="5"/>
  <c r="E316" i="5"/>
  <c r="E268" i="5"/>
  <c r="E236" i="5"/>
  <c r="E219" i="5"/>
  <c r="E200" i="5"/>
  <c r="E347" i="5"/>
  <c r="E331" i="5"/>
  <c r="E315" i="5"/>
  <c r="E299" i="5"/>
  <c r="E283" i="5"/>
  <c r="E267" i="5"/>
  <c r="E251" i="5"/>
  <c r="E235" i="5"/>
  <c r="E218" i="5"/>
  <c r="E199" i="5"/>
  <c r="A3" i="5"/>
  <c r="M2" i="5" s="1"/>
  <c r="J155" i="5"/>
  <c r="E155" i="5"/>
  <c r="J154" i="5"/>
  <c r="E154" i="5"/>
  <c r="J153" i="5"/>
  <c r="E153" i="5"/>
  <c r="J152" i="5"/>
  <c r="E152" i="5"/>
  <c r="E151" i="5"/>
  <c r="I151" i="5"/>
  <c r="J151" i="5" s="1"/>
  <c r="J150" i="5"/>
  <c r="E150" i="5"/>
  <c r="E149" i="5"/>
  <c r="I149" i="5"/>
  <c r="J149" i="5" s="1"/>
  <c r="E148" i="5"/>
  <c r="H148" i="5"/>
  <c r="J148" i="5" s="1"/>
  <c r="E147" i="5"/>
  <c r="I147" i="5"/>
  <c r="J147" i="5" s="1"/>
  <c r="J146" i="5"/>
  <c r="E146" i="5"/>
  <c r="E145" i="5"/>
  <c r="H145" i="5"/>
  <c r="J145" i="5" s="1"/>
  <c r="J144" i="5"/>
  <c r="E144" i="5"/>
  <c r="E143" i="5"/>
  <c r="I143" i="5"/>
  <c r="J143" i="5" s="1"/>
  <c r="H142" i="5"/>
  <c r="J142" i="5" s="1"/>
  <c r="E142" i="5"/>
  <c r="E128" i="5"/>
  <c r="E106" i="5"/>
  <c r="E104" i="5"/>
  <c r="E102" i="5"/>
  <c r="E86" i="5"/>
  <c r="E73" i="5"/>
  <c r="E72" i="5"/>
  <c r="I72" i="5"/>
  <c r="J72" i="5" s="1"/>
  <c r="E67" i="5"/>
  <c r="J51" i="5"/>
  <c r="E43" i="5"/>
  <c r="E36" i="5"/>
  <c r="E30" i="5"/>
  <c r="E367" i="5"/>
  <c r="H367" i="5"/>
  <c r="J367" i="5" s="1"/>
  <c r="E362" i="5"/>
  <c r="H362" i="5"/>
  <c r="J362" i="5" s="1"/>
  <c r="E365" i="5"/>
  <c r="H365" i="5"/>
  <c r="J365" i="5" s="1"/>
  <c r="H141" i="5"/>
  <c r="J141" i="5" s="1"/>
  <c r="E141" i="5"/>
  <c r="E140" i="5"/>
  <c r="E139" i="5"/>
  <c r="E138" i="5"/>
  <c r="H137" i="5"/>
  <c r="J137" i="5" s="1"/>
  <c r="E137" i="5"/>
  <c r="E136" i="5"/>
  <c r="E135" i="5"/>
  <c r="I135" i="5"/>
  <c r="J135" i="5" s="1"/>
  <c r="E134" i="5"/>
  <c r="I134" i="5"/>
  <c r="J134" i="5" s="1"/>
  <c r="E133" i="5"/>
  <c r="I133" i="5"/>
  <c r="J133" i="5" s="1"/>
  <c r="E132" i="5"/>
  <c r="E131" i="5"/>
  <c r="E130" i="5"/>
  <c r="E129" i="5"/>
  <c r="H127" i="5"/>
  <c r="J127" i="5" s="1"/>
  <c r="E127" i="5"/>
  <c r="E126" i="5"/>
  <c r="E125" i="5"/>
  <c r="E124" i="5"/>
  <c r="E123" i="5"/>
  <c r="E122" i="5"/>
  <c r="E121" i="5"/>
  <c r="H120" i="5"/>
  <c r="J120" i="5" s="1"/>
  <c r="E120" i="5"/>
  <c r="H119" i="5"/>
  <c r="J119" i="5" s="1"/>
  <c r="E119" i="5"/>
  <c r="E118" i="5"/>
  <c r="E117" i="5"/>
  <c r="E116" i="5"/>
  <c r="E115" i="5"/>
  <c r="I115" i="5"/>
  <c r="J115" i="5" s="1"/>
  <c r="E114" i="5"/>
  <c r="H114" i="5"/>
  <c r="J114" i="5" s="1"/>
  <c r="H113" i="5"/>
  <c r="J113" i="5" s="1"/>
  <c r="E113" i="5"/>
  <c r="H112" i="5"/>
  <c r="J112" i="5" s="1"/>
  <c r="E112" i="5"/>
  <c r="H111" i="5"/>
  <c r="J111" i="5" s="1"/>
  <c r="E111" i="5"/>
  <c r="E110" i="5"/>
  <c r="E109" i="5"/>
  <c r="E108" i="5"/>
  <c r="E107" i="5"/>
  <c r="H105" i="5"/>
  <c r="J105" i="5" s="1"/>
  <c r="E105" i="5"/>
  <c r="E103" i="5"/>
  <c r="E101" i="5"/>
  <c r="I101" i="5"/>
  <c r="J101" i="5" s="1"/>
  <c r="E100" i="5"/>
  <c r="E99" i="5"/>
  <c r="I99" i="5"/>
  <c r="J99" i="5" s="1"/>
  <c r="E98" i="5"/>
  <c r="E97" i="5"/>
  <c r="H96" i="5"/>
  <c r="J96" i="5" s="1"/>
  <c r="E96" i="5"/>
  <c r="H95" i="5"/>
  <c r="J95" i="5" s="1"/>
  <c r="E95" i="5"/>
  <c r="H94" i="5"/>
  <c r="J94" i="5" s="1"/>
  <c r="E94" i="5"/>
  <c r="E93" i="5"/>
  <c r="I93" i="5"/>
  <c r="J93" i="5" s="1"/>
  <c r="E92" i="5"/>
  <c r="E91" i="5"/>
  <c r="I91" i="5"/>
  <c r="J91" i="5" s="1"/>
  <c r="E90" i="5"/>
  <c r="H89" i="5"/>
  <c r="J89" i="5" s="1"/>
  <c r="E89" i="5"/>
  <c r="E88" i="5"/>
  <c r="H87" i="5"/>
  <c r="E87" i="5"/>
  <c r="E85" i="5"/>
  <c r="E84" i="5"/>
  <c r="E83" i="5"/>
  <c r="E82" i="5"/>
  <c r="E81" i="5"/>
  <c r="E80" i="5"/>
  <c r="E79" i="5"/>
  <c r="E78" i="5"/>
  <c r="E77" i="5"/>
  <c r="E76" i="5"/>
  <c r="E75" i="5"/>
  <c r="E74" i="5"/>
  <c r="I74" i="5"/>
  <c r="J74" i="5" s="1"/>
  <c r="I73" i="5"/>
  <c r="J73" i="5" s="1"/>
  <c r="H71" i="5"/>
  <c r="J71" i="5" s="1"/>
  <c r="E71" i="5"/>
  <c r="H70" i="5"/>
  <c r="J70" i="5" s="1"/>
  <c r="E70" i="5"/>
  <c r="E69" i="5"/>
  <c r="E68" i="5"/>
  <c r="E66" i="5"/>
  <c r="E65" i="5"/>
  <c r="E64" i="5"/>
  <c r="H63" i="5"/>
  <c r="J63" i="5" s="1"/>
  <c r="E63" i="5"/>
  <c r="H62" i="5"/>
  <c r="J62" i="5" s="1"/>
  <c r="E62" i="5"/>
  <c r="E61" i="5"/>
  <c r="E60" i="5"/>
  <c r="E59" i="5"/>
  <c r="E58" i="5"/>
  <c r="E57" i="5"/>
  <c r="H56" i="5"/>
  <c r="E56" i="5"/>
  <c r="E55" i="5"/>
  <c r="E54" i="5"/>
  <c r="E53" i="5"/>
  <c r="E52" i="5"/>
  <c r="I52" i="5"/>
  <c r="J52" i="5" s="1"/>
  <c r="E51" i="5"/>
  <c r="E50" i="5"/>
  <c r="E49" i="5"/>
  <c r="E48" i="5"/>
  <c r="E47" i="5"/>
  <c r="H46" i="5"/>
  <c r="J46" i="5" s="1"/>
  <c r="E46" i="5"/>
  <c r="E45" i="5"/>
  <c r="E44" i="5"/>
  <c r="I43" i="5"/>
  <c r="J43" i="5" s="1"/>
  <c r="E42" i="5"/>
  <c r="E41" i="5"/>
  <c r="E40" i="5"/>
  <c r="I40" i="5"/>
  <c r="J40" i="5" s="1"/>
  <c r="H39" i="5"/>
  <c r="J39" i="5" s="1"/>
  <c r="E39" i="5"/>
  <c r="H38" i="5"/>
  <c r="J38" i="5" s="1"/>
  <c r="E38" i="5"/>
  <c r="E37" i="5"/>
  <c r="I36" i="5"/>
  <c r="J36" i="5" s="1"/>
  <c r="E35" i="5"/>
  <c r="I35" i="5"/>
  <c r="J35" i="5" s="1"/>
  <c r="E34" i="5"/>
  <c r="E33" i="5"/>
  <c r="H32" i="5"/>
  <c r="J32" i="5" s="1"/>
  <c r="E32" i="5"/>
  <c r="E31" i="5"/>
  <c r="E29" i="5"/>
  <c r="H28" i="5"/>
  <c r="E28" i="5"/>
  <c r="E27" i="5"/>
  <c r="E26" i="5"/>
  <c r="E25" i="5"/>
  <c r="E24" i="5"/>
  <c r="E23" i="5"/>
  <c r="H22" i="5"/>
  <c r="J22" i="5" s="1"/>
  <c r="E22" i="5"/>
  <c r="H21" i="5"/>
  <c r="J21" i="5" s="1"/>
  <c r="E21" i="5"/>
  <c r="H20" i="5"/>
  <c r="J20" i="5" s="1"/>
  <c r="E20" i="5"/>
  <c r="E19" i="5"/>
  <c r="I19" i="5"/>
  <c r="J19" i="5" s="1"/>
  <c r="E18" i="5"/>
  <c r="E17" i="5"/>
  <c r="E16" i="5"/>
  <c r="H15" i="5"/>
  <c r="J15" i="5" s="1"/>
  <c r="E15" i="5"/>
  <c r="H14" i="5"/>
  <c r="J14" i="5" s="1"/>
  <c r="E14" i="5"/>
  <c r="H13" i="5"/>
  <c r="J13" i="5" s="1"/>
  <c r="E13" i="5"/>
  <c r="E12" i="5"/>
  <c r="E11" i="5"/>
  <c r="E9" i="5"/>
  <c r="H8" i="5"/>
  <c r="J8" i="5" s="1"/>
  <c r="E8" i="5"/>
  <c r="H7" i="5"/>
  <c r="J7" i="5" s="1"/>
  <c r="E7" i="5"/>
  <c r="E6" i="5"/>
  <c r="E5" i="5"/>
  <c r="E4" i="5"/>
  <c r="E3" i="5"/>
  <c r="J23" i="5"/>
  <c r="J66" i="5"/>
  <c r="J18" i="5"/>
  <c r="J110" i="5"/>
  <c r="I59" i="5"/>
  <c r="J59" i="5" s="1"/>
  <c r="J109" i="5"/>
  <c r="J24" i="5"/>
  <c r="J140" i="5"/>
  <c r="J12" i="5"/>
  <c r="I60" i="5"/>
  <c r="J60" i="5" s="1"/>
  <c r="J128" i="5"/>
  <c r="J107" i="5"/>
  <c r="J82" i="5"/>
  <c r="J48" i="5"/>
  <c r="I61" i="5"/>
  <c r="I28" i="5"/>
  <c r="J126" i="5"/>
  <c r="J44" i="5"/>
  <c r="J98" i="5"/>
  <c r="J34" i="5"/>
  <c r="J64" i="5"/>
  <c r="J47" i="5"/>
  <c r="J108" i="5"/>
  <c r="J139" i="5"/>
  <c r="I27" i="5"/>
  <c r="J27" i="5" s="1"/>
  <c r="J125" i="5"/>
  <c r="J130" i="5"/>
  <c r="J80" i="5"/>
  <c r="J124" i="5"/>
  <c r="J50" i="5"/>
  <c r="J92" i="5"/>
  <c r="J11" i="5"/>
  <c r="J123" i="5"/>
  <c r="J78" i="5"/>
  <c r="J30" i="5"/>
  <c r="I56" i="5"/>
  <c r="I54" i="5"/>
  <c r="J54" i="5" s="1"/>
  <c r="I53" i="5"/>
  <c r="J53" i="5" s="1"/>
  <c r="J6" i="5"/>
  <c r="I88" i="5"/>
  <c r="J88" i="5" s="1"/>
  <c r="J5" i="5"/>
  <c r="J79" i="5"/>
  <c r="I57" i="5"/>
  <c r="J57" i="5" s="1"/>
  <c r="I25" i="5"/>
  <c r="J25" i="5" s="1"/>
  <c r="J4" i="5"/>
  <c r="J58" i="5"/>
  <c r="J9" i="5"/>
  <c r="I55" i="5"/>
  <c r="J55" i="5" s="1"/>
  <c r="I37" i="5"/>
  <c r="J37" i="5" s="1"/>
  <c r="I87" i="5"/>
  <c r="J129" i="5"/>
  <c r="I26" i="5"/>
  <c r="J26" i="5" s="1"/>
  <c r="I86" i="5"/>
  <c r="J86" i="5" s="1"/>
  <c r="J90" i="5"/>
  <c r="J106" i="5"/>
  <c r="J122" i="5"/>
  <c r="J104" i="5"/>
  <c r="J42" i="5"/>
  <c r="J103" i="5"/>
  <c r="J41" i="5"/>
  <c r="J138" i="5"/>
  <c r="J84" i="5"/>
  <c r="J132" i="5"/>
  <c r="J131" i="5"/>
  <c r="J76" i="5"/>
  <c r="J69" i="5"/>
  <c r="J68" i="5"/>
  <c r="J121" i="5"/>
  <c r="J67" i="5"/>
  <c r="J85" i="5"/>
  <c r="J136" i="5"/>
  <c r="J102" i="5"/>
  <c r="J118" i="5"/>
  <c r="J83" i="5"/>
  <c r="J10" i="5"/>
  <c r="J100" i="5"/>
  <c r="J116" i="5"/>
  <c r="J77" i="5"/>
  <c r="J75" i="5"/>
  <c r="J17" i="5"/>
  <c r="J33" i="5"/>
  <c r="J16" i="5"/>
  <c r="J31" i="5"/>
  <c r="C86" i="8"/>
  <c r="C81" i="8"/>
  <c r="C71" i="8"/>
  <c r="C70" i="8"/>
  <c r="C65" i="8"/>
  <c r="C134" i="8"/>
  <c r="C39" i="8"/>
  <c r="C7" i="8"/>
  <c r="C97" i="8"/>
  <c r="C55" i="8"/>
  <c r="C135" i="8"/>
  <c r="C54" i="8"/>
  <c r="C49" i="8"/>
  <c r="C129" i="8"/>
  <c r="C119" i="8"/>
  <c r="C38" i="8"/>
  <c r="C118" i="8"/>
  <c r="C33" i="8"/>
  <c r="C113" i="8"/>
  <c r="C23" i="8"/>
  <c r="C103" i="8"/>
  <c r="C17" i="8"/>
  <c r="C102" i="8"/>
  <c r="C87" i="8"/>
  <c r="C126" i="8"/>
  <c r="C94" i="8"/>
  <c r="C62" i="8"/>
  <c r="C30" i="8"/>
  <c r="C141" i="8"/>
  <c r="C125" i="8"/>
  <c r="C109" i="8"/>
  <c r="C93" i="8"/>
  <c r="C77" i="8"/>
  <c r="C61" i="8"/>
  <c r="C45" i="8"/>
  <c r="C29" i="8"/>
  <c r="C13" i="8"/>
  <c r="C32" i="8"/>
  <c r="C2" i="8"/>
  <c r="C110" i="8"/>
  <c r="C78" i="8"/>
  <c r="C46" i="8"/>
  <c r="C14" i="8"/>
  <c r="C140" i="8"/>
  <c r="C124" i="8"/>
  <c r="C108" i="8"/>
  <c r="C92" i="8"/>
  <c r="C76" i="8"/>
  <c r="C60" i="8"/>
  <c r="C44" i="8"/>
  <c r="C28" i="8"/>
  <c r="C12" i="8"/>
  <c r="C139" i="8"/>
  <c r="C123" i="8"/>
  <c r="C107" i="8"/>
  <c r="C91" i="8"/>
  <c r="C75" i="8"/>
  <c r="C59" i="8"/>
  <c r="C43" i="8"/>
  <c r="C27" i="8"/>
  <c r="C11" i="8"/>
  <c r="C138" i="8"/>
  <c r="C122" i="8"/>
  <c r="C106" i="8"/>
  <c r="C90" i="8"/>
  <c r="C74" i="8"/>
  <c r="C58" i="8"/>
  <c r="C42" i="8"/>
  <c r="C26" i="8"/>
  <c r="C10" i="8"/>
  <c r="C137" i="8"/>
  <c r="C121" i="8"/>
  <c r="C105" i="8"/>
  <c r="C89" i="8"/>
  <c r="C73" i="8"/>
  <c r="C57" i="8"/>
  <c r="C41" i="8"/>
  <c r="C25" i="8"/>
  <c r="C9" i="8"/>
  <c r="C136" i="8"/>
  <c r="C120" i="8"/>
  <c r="C104" i="8"/>
  <c r="C88" i="8"/>
  <c r="C72" i="8"/>
  <c r="C56" i="8"/>
  <c r="C40" i="8"/>
  <c r="C24" i="8"/>
  <c r="C8" i="8"/>
  <c r="C22" i="8"/>
  <c r="C6" i="8"/>
  <c r="C117" i="8"/>
  <c r="C85" i="8"/>
  <c r="C53" i="8"/>
  <c r="C21" i="8"/>
  <c r="C116" i="8"/>
  <c r="C84" i="8"/>
  <c r="C52" i="8"/>
  <c r="C20" i="8"/>
  <c r="C131" i="8"/>
  <c r="C115" i="8"/>
  <c r="C99" i="8"/>
  <c r="C83" i="8"/>
  <c r="C67" i="8"/>
  <c r="C51" i="8"/>
  <c r="C35" i="8"/>
  <c r="C19" i="8"/>
  <c r="C3" i="8"/>
  <c r="C133" i="8"/>
  <c r="C101" i="8"/>
  <c r="C69" i="8"/>
  <c r="C37" i="8"/>
  <c r="C5" i="8"/>
  <c r="C132" i="8"/>
  <c r="C100" i="8"/>
  <c r="C68" i="8"/>
  <c r="C36" i="8"/>
  <c r="C4" i="8"/>
  <c r="C130" i="8"/>
  <c r="C114" i="8"/>
  <c r="C98" i="8"/>
  <c r="C82" i="8"/>
  <c r="C66" i="8"/>
  <c r="C50" i="8"/>
  <c r="C34" i="8"/>
  <c r="C18" i="8"/>
  <c r="C128" i="8"/>
  <c r="C112" i="8"/>
  <c r="C96" i="8"/>
  <c r="C80" i="8"/>
  <c r="C64" i="8"/>
  <c r="C48" i="8"/>
  <c r="C16" i="8"/>
  <c r="C12" i="1"/>
  <c r="C127" i="8"/>
  <c r="C111" i="8"/>
  <c r="C95" i="8"/>
  <c r="C79" i="8"/>
  <c r="C63" i="8"/>
  <c r="C47" i="8"/>
  <c r="C31" i="8"/>
  <c r="J61" i="5" l="1"/>
  <c r="H2" i="5"/>
  <c r="J2" i="5" s="1"/>
  <c r="F2" i="5"/>
  <c r="A3" i="8"/>
  <c r="B3" i="8" s="1"/>
  <c r="D154" i="8"/>
  <c r="D151" i="8"/>
  <c r="D167" i="8"/>
  <c r="D183" i="8"/>
  <c r="D199" i="8"/>
  <c r="D215" i="8"/>
  <c r="D231" i="8"/>
  <c r="D247" i="8"/>
  <c r="D279" i="8"/>
  <c r="D311" i="8"/>
  <c r="D359" i="8"/>
  <c r="D216" i="8"/>
  <c r="D296" i="8"/>
  <c r="D217" i="8"/>
  <c r="D313" i="8"/>
  <c r="D361" i="8"/>
  <c r="D186" i="8"/>
  <c r="D362" i="8"/>
  <c r="D155" i="8"/>
  <c r="D235" i="8"/>
  <c r="D283" i="8"/>
  <c r="D347" i="8"/>
  <c r="D156" i="8"/>
  <c r="D172" i="8"/>
  <c r="D188" i="8"/>
  <c r="D204" i="8"/>
  <c r="D220" i="8"/>
  <c r="D236" i="8"/>
  <c r="D252" i="8"/>
  <c r="D268" i="8"/>
  <c r="D284" i="8"/>
  <c r="D300" i="8"/>
  <c r="D316" i="8"/>
  <c r="D332" i="8"/>
  <c r="D348" i="8"/>
  <c r="D364" i="8"/>
  <c r="D145" i="8"/>
  <c r="D209" i="8"/>
  <c r="D241" i="8"/>
  <c r="D289" i="8"/>
  <c r="D321" i="8"/>
  <c r="D338" i="8"/>
  <c r="D147" i="8"/>
  <c r="D195" i="8"/>
  <c r="D227" i="8"/>
  <c r="D259" i="8"/>
  <c r="D323" i="8"/>
  <c r="D164" i="8"/>
  <c r="D196" i="8"/>
  <c r="D244" i="8"/>
  <c r="D308" i="8"/>
  <c r="D356" i="8"/>
  <c r="D165" i="8"/>
  <c r="D213" i="8"/>
  <c r="D293" i="8"/>
  <c r="D325" i="8"/>
  <c r="D230" i="8"/>
  <c r="D358" i="8"/>
  <c r="D263" i="8"/>
  <c r="D232" i="8"/>
  <c r="D312" i="8"/>
  <c r="D169" i="8"/>
  <c r="D249" i="8"/>
  <c r="D329" i="8"/>
  <c r="D202" i="8"/>
  <c r="D282" i="8"/>
  <c r="D346" i="8"/>
  <c r="D203" i="8"/>
  <c r="D315" i="8"/>
  <c r="D157" i="8"/>
  <c r="D173" i="8"/>
  <c r="D189" i="8"/>
  <c r="D205" i="8"/>
  <c r="D221" i="8"/>
  <c r="D237" i="8"/>
  <c r="D253" i="8"/>
  <c r="D269" i="8"/>
  <c r="D285" i="8"/>
  <c r="D301" i="8"/>
  <c r="D317" i="8"/>
  <c r="D333" i="8"/>
  <c r="D349" i="8"/>
  <c r="D365" i="8"/>
  <c r="D161" i="8"/>
  <c r="D257" i="8"/>
  <c r="D353" i="8"/>
  <c r="D194" i="8"/>
  <c r="D290" i="8"/>
  <c r="D179" i="8"/>
  <c r="D275" i="8"/>
  <c r="D355" i="8"/>
  <c r="D180" i="8"/>
  <c r="D228" i="8"/>
  <c r="D324" i="8"/>
  <c r="D181" i="8"/>
  <c r="D261" i="8"/>
  <c r="D341" i="8"/>
  <c r="D150" i="8"/>
  <c r="D214" i="8"/>
  <c r="D278" i="8"/>
  <c r="D342" i="8"/>
  <c r="D295" i="8"/>
  <c r="D168" i="8"/>
  <c r="D280" i="8"/>
  <c r="D185" i="8"/>
  <c r="D281" i="8"/>
  <c r="D170" i="8"/>
  <c r="D266" i="8"/>
  <c r="D330" i="8"/>
  <c r="D187" i="8"/>
  <c r="D267" i="8"/>
  <c r="D142" i="8"/>
  <c r="D158" i="8"/>
  <c r="D174" i="8"/>
  <c r="D190" i="8"/>
  <c r="D206" i="8"/>
  <c r="D222" i="8"/>
  <c r="D238" i="8"/>
  <c r="D254" i="8"/>
  <c r="D270" i="8"/>
  <c r="D286" i="8"/>
  <c r="D302" i="8"/>
  <c r="D318" i="8"/>
  <c r="D334" i="8"/>
  <c r="D350" i="8"/>
  <c r="D366" i="8"/>
  <c r="D193" i="8"/>
  <c r="D273" i="8"/>
  <c r="D337" i="8"/>
  <c r="D162" i="8"/>
  <c r="D226" i="8"/>
  <c r="D258" i="8"/>
  <c r="D306" i="8"/>
  <c r="D163" i="8"/>
  <c r="D243" i="8"/>
  <c r="D291" i="8"/>
  <c r="D339" i="8"/>
  <c r="D276" i="8"/>
  <c r="D149" i="8"/>
  <c r="D229" i="8"/>
  <c r="D309" i="8"/>
  <c r="D182" i="8"/>
  <c r="D246" i="8"/>
  <c r="D310" i="8"/>
  <c r="D327" i="8"/>
  <c r="D152" i="8"/>
  <c r="D248" i="8"/>
  <c r="D344" i="8"/>
  <c r="D265" i="8"/>
  <c r="D234" i="8"/>
  <c r="D314" i="8"/>
  <c r="D251" i="8"/>
  <c r="D363" i="8"/>
  <c r="D143" i="8"/>
  <c r="D159" i="8"/>
  <c r="D175" i="8"/>
  <c r="D191" i="8"/>
  <c r="D207" i="8"/>
  <c r="D223" i="8"/>
  <c r="D239" i="8"/>
  <c r="D255" i="8"/>
  <c r="D271" i="8"/>
  <c r="D287" i="8"/>
  <c r="D303" i="8"/>
  <c r="D319" i="8"/>
  <c r="D335" i="8"/>
  <c r="D351" i="8"/>
  <c r="D225" i="8"/>
  <c r="D146" i="8"/>
  <c r="D210" i="8"/>
  <c r="D242" i="8"/>
  <c r="D322" i="8"/>
  <c r="D260" i="8"/>
  <c r="D197" i="8"/>
  <c r="D277" i="8"/>
  <c r="D357" i="8"/>
  <c r="D166" i="8"/>
  <c r="D262" i="8"/>
  <c r="D326" i="8"/>
  <c r="D200" i="8"/>
  <c r="D264" i="8"/>
  <c r="D360" i="8"/>
  <c r="D153" i="8"/>
  <c r="D233" i="8"/>
  <c r="D297" i="8"/>
  <c r="D250" i="8"/>
  <c r="D219" i="8"/>
  <c r="D299" i="8"/>
  <c r="D144" i="8"/>
  <c r="D160" i="8"/>
  <c r="D176" i="8"/>
  <c r="D192" i="8"/>
  <c r="D208" i="8"/>
  <c r="D224" i="8"/>
  <c r="D240" i="8"/>
  <c r="D256" i="8"/>
  <c r="D272" i="8"/>
  <c r="D288" i="8"/>
  <c r="D304" i="8"/>
  <c r="D320" i="8"/>
  <c r="D336" i="8"/>
  <c r="D352" i="8"/>
  <c r="D177" i="8"/>
  <c r="D305" i="8"/>
  <c r="D178" i="8"/>
  <c r="D274" i="8"/>
  <c r="D354" i="8"/>
  <c r="D211" i="8"/>
  <c r="D307" i="8"/>
  <c r="D148" i="8"/>
  <c r="D212" i="8"/>
  <c r="D292" i="8"/>
  <c r="D340" i="8"/>
  <c r="D245" i="8"/>
  <c r="D198" i="8"/>
  <c r="D294" i="8"/>
  <c r="D343" i="8"/>
  <c r="D184" i="8"/>
  <c r="D328" i="8"/>
  <c r="D201" i="8"/>
  <c r="D345" i="8"/>
  <c r="D218" i="8"/>
  <c r="D298" i="8"/>
  <c r="D171" i="8"/>
  <c r="D331" i="8"/>
  <c r="A4" i="5"/>
  <c r="J56" i="5"/>
  <c r="J28" i="5"/>
  <c r="J87" i="5"/>
  <c r="P2" i="8"/>
  <c r="K2" i="8"/>
  <c r="D11" i="8"/>
  <c r="D27" i="8"/>
  <c r="D43" i="8"/>
  <c r="D59" i="8"/>
  <c r="D75" i="8"/>
  <c r="D91" i="8"/>
  <c r="D107" i="8"/>
  <c r="D123" i="8"/>
  <c r="D139" i="8"/>
  <c r="D12" i="8"/>
  <c r="D28" i="8"/>
  <c r="D44" i="8"/>
  <c r="D60" i="8"/>
  <c r="D76" i="8"/>
  <c r="D92" i="8"/>
  <c r="D108" i="8"/>
  <c r="D124" i="8"/>
  <c r="D14" i="8"/>
  <c r="D30" i="8"/>
  <c r="D46" i="8"/>
  <c r="D62" i="8"/>
  <c r="D78" i="8"/>
  <c r="D94" i="8"/>
  <c r="D110" i="8"/>
  <c r="D126" i="8"/>
  <c r="D2" i="8"/>
  <c r="D48" i="8"/>
  <c r="D64" i="8"/>
  <c r="D112" i="8"/>
  <c r="D49" i="8"/>
  <c r="D65" i="8"/>
  <c r="D97" i="8"/>
  <c r="D129" i="8"/>
  <c r="D35" i="8"/>
  <c r="D67" i="8"/>
  <c r="D99" i="8"/>
  <c r="D15" i="8"/>
  <c r="D31" i="8"/>
  <c r="D47" i="8"/>
  <c r="D63" i="8"/>
  <c r="D79" i="8"/>
  <c r="D95" i="8"/>
  <c r="D111" i="8"/>
  <c r="D127" i="8"/>
  <c r="D32" i="8"/>
  <c r="D80" i="8"/>
  <c r="D96" i="8"/>
  <c r="D128" i="8"/>
  <c r="D33" i="8"/>
  <c r="D81" i="8"/>
  <c r="D113" i="8"/>
  <c r="D34" i="8"/>
  <c r="D50" i="8"/>
  <c r="D66" i="8"/>
  <c r="D82" i="8"/>
  <c r="D98" i="8"/>
  <c r="D114" i="8"/>
  <c r="D130" i="8"/>
  <c r="D19" i="8"/>
  <c r="D51" i="8"/>
  <c r="D83" i="8"/>
  <c r="D115" i="8"/>
  <c r="D16" i="8"/>
  <c r="D17" i="8"/>
  <c r="D18" i="8"/>
  <c r="D3" i="8"/>
  <c r="D4" i="8"/>
  <c r="D20" i="8"/>
  <c r="D36" i="8"/>
  <c r="D52" i="8"/>
  <c r="D68" i="8"/>
  <c r="D84" i="8"/>
  <c r="D100" i="8"/>
  <c r="D116" i="8"/>
  <c r="D132" i="8"/>
  <c r="D21" i="8"/>
  <c r="D37" i="8"/>
  <c r="D53" i="8"/>
  <c r="D69" i="8"/>
  <c r="D85" i="8"/>
  <c r="D101" i="8"/>
  <c r="D117" i="8"/>
  <c r="D133" i="8"/>
  <c r="D5" i="8"/>
  <c r="D6" i="8"/>
  <c r="D22" i="8"/>
  <c r="D38" i="8"/>
  <c r="D54" i="8"/>
  <c r="D70" i="8"/>
  <c r="D86" i="8"/>
  <c r="D102" i="8"/>
  <c r="D118" i="8"/>
  <c r="D134" i="8"/>
  <c r="D138" i="8"/>
  <c r="D7" i="8"/>
  <c r="D23" i="8"/>
  <c r="D39" i="8"/>
  <c r="D55" i="8"/>
  <c r="D71" i="8"/>
  <c r="D87" i="8"/>
  <c r="D103" i="8"/>
  <c r="D119" i="8"/>
  <c r="D135" i="8"/>
  <c r="D8" i="8"/>
  <c r="D24" i="8"/>
  <c r="D40" i="8"/>
  <c r="D56" i="8"/>
  <c r="D72" i="8"/>
  <c r="D88" i="8"/>
  <c r="D104" i="8"/>
  <c r="D120" i="8"/>
  <c r="D136" i="8"/>
  <c r="D10" i="8"/>
  <c r="D42" i="8"/>
  <c r="D74" i="8"/>
  <c r="D106" i="8"/>
  <c r="D29" i="8"/>
  <c r="D93" i="8"/>
  <c r="D125" i="8"/>
  <c r="D9" i="8"/>
  <c r="D25" i="8"/>
  <c r="D41" i="8"/>
  <c r="D57" i="8"/>
  <c r="D73" i="8"/>
  <c r="D89" i="8"/>
  <c r="D105" i="8"/>
  <c r="D121" i="8"/>
  <c r="D137" i="8"/>
  <c r="D26" i="8"/>
  <c r="D58" i="8"/>
  <c r="D90" i="8"/>
  <c r="D122" i="8"/>
  <c r="D140" i="8"/>
  <c r="D13" i="8"/>
  <c r="D45" i="8"/>
  <c r="D61" i="8"/>
  <c r="D77" i="8"/>
  <c r="D109" i="8"/>
  <c r="D141" i="8"/>
  <c r="D131" i="8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M3" i="5" l="1"/>
  <c r="J2" i="8"/>
  <c r="L2" i="8" s="1"/>
  <c r="M2" i="8" s="1"/>
  <c r="M3" i="8" s="1"/>
  <c r="K2" i="5"/>
  <c r="O2" i="8" s="1"/>
  <c r="Q2" i="8" s="1"/>
  <c r="P3" i="8" s="1"/>
  <c r="A4" i="8"/>
  <c r="B4" i="8" s="1"/>
  <c r="A5" i="5"/>
  <c r="K3" i="8" l="1"/>
  <c r="R2" i="8"/>
  <c r="R3" i="8" s="1"/>
  <c r="F3" i="5"/>
  <c r="J3" i="8" s="1"/>
  <c r="K3" i="5"/>
  <c r="O3" i="8" s="1"/>
  <c r="M4" i="5"/>
  <c r="A5" i="8"/>
  <c r="B5" i="8" s="1"/>
  <c r="A6" i="5"/>
  <c r="L3" i="8" l="1"/>
  <c r="Q3" i="8"/>
  <c r="P4" i="8" s="1"/>
  <c r="K4" i="5"/>
  <c r="O4" i="8" s="1"/>
  <c r="F4" i="5"/>
  <c r="J4" i="8" s="1"/>
  <c r="M5" i="5"/>
  <c r="A7" i="5"/>
  <c r="A8" i="5" s="1"/>
  <c r="A6" i="8"/>
  <c r="B6" i="8" s="1"/>
  <c r="R4" i="8" l="1"/>
  <c r="Q4" i="8"/>
  <c r="P5" i="8" s="1"/>
  <c r="M7" i="5"/>
  <c r="M6" i="5"/>
  <c r="F5" i="5"/>
  <c r="J5" i="8" s="1"/>
  <c r="K5" i="5"/>
  <c r="O5" i="8" s="1"/>
  <c r="A7" i="8"/>
  <c r="B7" i="8" s="1"/>
  <c r="A8" i="8"/>
  <c r="B8" i="8" s="1"/>
  <c r="A9" i="5"/>
  <c r="R5" i="8" l="1"/>
  <c r="Q5" i="8"/>
  <c r="P6" i="8" s="1"/>
  <c r="M8" i="5"/>
  <c r="F7" i="5"/>
  <c r="J7" i="8" s="1"/>
  <c r="K7" i="5"/>
  <c r="O7" i="8" s="1"/>
  <c r="F6" i="5"/>
  <c r="J6" i="8" s="1"/>
  <c r="K6" i="5"/>
  <c r="O6" i="8" s="1"/>
  <c r="A10" i="5"/>
  <c r="A9" i="8"/>
  <c r="B9" i="8" s="1"/>
  <c r="Q6" i="8" l="1"/>
  <c r="P7" i="8" s="1"/>
  <c r="R6" i="8"/>
  <c r="K8" i="5"/>
  <c r="O8" i="8" s="1"/>
  <c r="F8" i="5"/>
  <c r="J8" i="8" s="1"/>
  <c r="M9" i="5"/>
  <c r="A10" i="8"/>
  <c r="B10" i="8" s="1"/>
  <c r="A11" i="5"/>
  <c r="Q7" i="8" l="1"/>
  <c r="P8" i="8" s="1"/>
  <c r="Q8" i="8" s="1"/>
  <c r="P9" i="8" s="1"/>
  <c r="R7" i="8"/>
  <c r="F9" i="5"/>
  <c r="J9" i="8" s="1"/>
  <c r="K9" i="5"/>
  <c r="O9" i="8" s="1"/>
  <c r="M10" i="5"/>
  <c r="A12" i="5"/>
  <c r="A11" i="8"/>
  <c r="B11" i="8" s="1"/>
  <c r="R8" i="8" l="1"/>
  <c r="R9" i="8" s="1"/>
  <c r="Q9" i="8"/>
  <c r="P10" i="8" s="1"/>
  <c r="F10" i="5"/>
  <c r="J10" i="8" s="1"/>
  <c r="K10" i="5"/>
  <c r="O10" i="8" s="1"/>
  <c r="M11" i="5"/>
  <c r="A12" i="8"/>
  <c r="B12" i="8" s="1"/>
  <c r="A13" i="5"/>
  <c r="R10" i="8" l="1"/>
  <c r="Q10" i="8"/>
  <c r="P11" i="8" s="1"/>
  <c r="K11" i="5"/>
  <c r="O11" i="8" s="1"/>
  <c r="F11" i="5"/>
  <c r="J11" i="8" s="1"/>
  <c r="M12" i="5"/>
  <c r="A13" i="8"/>
  <c r="B13" i="8" s="1"/>
  <c r="A14" i="5"/>
  <c r="R11" i="8" l="1"/>
  <c r="Q11" i="8"/>
  <c r="P12" i="8" s="1"/>
  <c r="K12" i="5"/>
  <c r="O12" i="8" s="1"/>
  <c r="F12" i="5"/>
  <c r="J12" i="8" s="1"/>
  <c r="M13" i="5"/>
  <c r="A14" i="8"/>
  <c r="B14" i="8" s="1"/>
  <c r="A15" i="5"/>
  <c r="R12" i="8" l="1"/>
  <c r="Q12" i="8"/>
  <c r="P13" i="8" s="1"/>
  <c r="K13" i="5"/>
  <c r="O13" i="8" s="1"/>
  <c r="F13" i="5"/>
  <c r="J13" i="8" s="1"/>
  <c r="M14" i="5"/>
  <c r="A15" i="8"/>
  <c r="B15" i="8" s="1"/>
  <c r="A16" i="5"/>
  <c r="R13" i="8" l="1"/>
  <c r="Q13" i="8"/>
  <c r="P14" i="8" s="1"/>
  <c r="K14" i="5"/>
  <c r="O14" i="8" s="1"/>
  <c r="F14" i="5"/>
  <c r="J14" i="8" s="1"/>
  <c r="M15" i="5"/>
  <c r="A16" i="8"/>
  <c r="B16" i="8" s="1"/>
  <c r="A17" i="5"/>
  <c r="R14" i="8" l="1"/>
  <c r="Q14" i="8"/>
  <c r="P15" i="8" s="1"/>
  <c r="K15" i="5"/>
  <c r="O15" i="8" s="1"/>
  <c r="F15" i="5"/>
  <c r="J15" i="8" s="1"/>
  <c r="M16" i="5"/>
  <c r="A17" i="8"/>
  <c r="B17" i="8" s="1"/>
  <c r="A18" i="5"/>
  <c r="M17" i="5" s="1"/>
  <c r="R15" i="8" l="1"/>
  <c r="Q15" i="8"/>
  <c r="P16" i="8" s="1"/>
  <c r="F17" i="5"/>
  <c r="J17" i="8" s="1"/>
  <c r="K17" i="5"/>
  <c r="O17" i="8" s="1"/>
  <c r="F16" i="5"/>
  <c r="J16" i="8" s="1"/>
  <c r="K16" i="5"/>
  <c r="O16" i="8" s="1"/>
  <c r="A18" i="8"/>
  <c r="B18" i="8" s="1"/>
  <c r="A19" i="5"/>
  <c r="R16" i="8" l="1"/>
  <c r="Q16" i="8"/>
  <c r="P17" i="8" s="1"/>
  <c r="Q17" i="8" s="1"/>
  <c r="P18" i="8" s="1"/>
  <c r="M18" i="5"/>
  <c r="A19" i="8"/>
  <c r="B19" i="8" s="1"/>
  <c r="A20" i="5"/>
  <c r="R17" i="8" l="1"/>
  <c r="R18" i="8" s="1"/>
  <c r="F18" i="5"/>
  <c r="J18" i="8" s="1"/>
  <c r="K18" i="5"/>
  <c r="O18" i="8" s="1"/>
  <c r="Q18" i="8" s="1"/>
  <c r="P19" i="8" s="1"/>
  <c r="M19" i="5"/>
  <c r="A20" i="8"/>
  <c r="B20" i="8" s="1"/>
  <c r="A21" i="5"/>
  <c r="R19" i="8" l="1"/>
  <c r="F19" i="5"/>
  <c r="J19" i="8" s="1"/>
  <c r="K19" i="5"/>
  <c r="O19" i="8" s="1"/>
  <c r="Q19" i="8" s="1"/>
  <c r="P20" i="8" s="1"/>
  <c r="M20" i="5"/>
  <c r="A22" i="5"/>
  <c r="A21" i="8"/>
  <c r="B21" i="8" s="1"/>
  <c r="R20" i="8" l="1"/>
  <c r="F20" i="5"/>
  <c r="J20" i="8" s="1"/>
  <c r="K20" i="5"/>
  <c r="O20" i="8" s="1"/>
  <c r="Q20" i="8" s="1"/>
  <c r="P21" i="8" s="1"/>
  <c r="M21" i="5"/>
  <c r="A22" i="8"/>
  <c r="B22" i="8" s="1"/>
  <c r="A23" i="5"/>
  <c r="R21" i="8" l="1"/>
  <c r="K21" i="5"/>
  <c r="O21" i="8" s="1"/>
  <c r="Q21" i="8" s="1"/>
  <c r="P22" i="8" s="1"/>
  <c r="F21" i="5"/>
  <c r="J21" i="8" s="1"/>
  <c r="M22" i="5"/>
  <c r="A24" i="5"/>
  <c r="A23" i="8"/>
  <c r="B23" i="8" s="1"/>
  <c r="R22" i="8" l="1"/>
  <c r="F22" i="5"/>
  <c r="J22" i="8" s="1"/>
  <c r="K22" i="5"/>
  <c r="O22" i="8" s="1"/>
  <c r="Q22" i="8" s="1"/>
  <c r="P23" i="8" s="1"/>
  <c r="M23" i="5"/>
  <c r="A25" i="5"/>
  <c r="A24" i="8"/>
  <c r="B24" i="8" s="1"/>
  <c r="R23" i="8" l="1"/>
  <c r="F23" i="5"/>
  <c r="J23" i="8" s="1"/>
  <c r="K23" i="5"/>
  <c r="O23" i="8" s="1"/>
  <c r="Q23" i="8" s="1"/>
  <c r="P24" i="8" s="1"/>
  <c r="M24" i="5"/>
  <c r="A25" i="8"/>
  <c r="B25" i="8" s="1"/>
  <c r="A26" i="5"/>
  <c r="R24" i="8" l="1"/>
  <c r="F24" i="5"/>
  <c r="J24" i="8" s="1"/>
  <c r="K24" i="5"/>
  <c r="O24" i="8" s="1"/>
  <c r="Q24" i="8" s="1"/>
  <c r="P25" i="8" s="1"/>
  <c r="M25" i="5"/>
  <c r="A27" i="5"/>
  <c r="A26" i="8"/>
  <c r="B26" i="8" s="1"/>
  <c r="R25" i="8" l="1"/>
  <c r="F25" i="5"/>
  <c r="J25" i="8" s="1"/>
  <c r="K25" i="5"/>
  <c r="O25" i="8" s="1"/>
  <c r="Q25" i="8" s="1"/>
  <c r="P26" i="8" s="1"/>
  <c r="M26" i="5"/>
  <c r="A28" i="5"/>
  <c r="A27" i="8"/>
  <c r="B27" i="8" s="1"/>
  <c r="R26" i="8" l="1"/>
  <c r="F26" i="5"/>
  <c r="J26" i="8" s="1"/>
  <c r="K26" i="5"/>
  <c r="O26" i="8" s="1"/>
  <c r="Q26" i="8" s="1"/>
  <c r="P27" i="8" s="1"/>
  <c r="M27" i="5"/>
  <c r="A29" i="5"/>
  <c r="A28" i="8"/>
  <c r="B28" i="8" s="1"/>
  <c r="R27" i="8" l="1"/>
  <c r="F27" i="5"/>
  <c r="J27" i="8" s="1"/>
  <c r="K27" i="5"/>
  <c r="O27" i="8" s="1"/>
  <c r="Q27" i="8" s="1"/>
  <c r="P28" i="8" s="1"/>
  <c r="M28" i="5"/>
  <c r="A30" i="5"/>
  <c r="A29" i="8"/>
  <c r="B29" i="8" s="1"/>
  <c r="R28" i="8" l="1"/>
  <c r="K28" i="5"/>
  <c r="O28" i="8" s="1"/>
  <c r="Q28" i="8" s="1"/>
  <c r="P29" i="8" s="1"/>
  <c r="F28" i="5"/>
  <c r="J28" i="8" s="1"/>
  <c r="M29" i="5"/>
  <c r="A31" i="5"/>
  <c r="A30" i="8"/>
  <c r="B30" i="8" s="1"/>
  <c r="R29" i="8" l="1"/>
  <c r="K29" i="5"/>
  <c r="O29" i="8" s="1"/>
  <c r="Q29" i="8" s="1"/>
  <c r="P30" i="8" s="1"/>
  <c r="F29" i="5"/>
  <c r="J29" i="8" s="1"/>
  <c r="M30" i="5"/>
  <c r="A32" i="5"/>
  <c r="A31" i="8"/>
  <c r="B31" i="8" s="1"/>
  <c r="R30" i="8" l="1"/>
  <c r="M31" i="5"/>
  <c r="K30" i="5"/>
  <c r="O30" i="8" s="1"/>
  <c r="Q30" i="8" s="1"/>
  <c r="P31" i="8" s="1"/>
  <c r="F30" i="5"/>
  <c r="J30" i="8" s="1"/>
  <c r="A32" i="8"/>
  <c r="B32" i="8" s="1"/>
  <c r="A33" i="5"/>
  <c r="R31" i="8" l="1"/>
  <c r="K31" i="5"/>
  <c r="O31" i="8" s="1"/>
  <c r="Q31" i="8" s="1"/>
  <c r="P32" i="8" s="1"/>
  <c r="F31" i="5"/>
  <c r="J31" i="8" s="1"/>
  <c r="M32" i="5"/>
  <c r="A34" i="5"/>
  <c r="A33" i="8"/>
  <c r="B33" i="8" s="1"/>
  <c r="R32" i="8" l="1"/>
  <c r="F32" i="5"/>
  <c r="J32" i="8" s="1"/>
  <c r="K32" i="5"/>
  <c r="O32" i="8" s="1"/>
  <c r="Q32" i="8" s="1"/>
  <c r="P33" i="8" s="1"/>
  <c r="M33" i="5"/>
  <c r="A34" i="8"/>
  <c r="B34" i="8" s="1"/>
  <c r="A35" i="5"/>
  <c r="R33" i="8" l="1"/>
  <c r="F33" i="5"/>
  <c r="J33" i="8" s="1"/>
  <c r="K33" i="5"/>
  <c r="O33" i="8" s="1"/>
  <c r="Q33" i="8" s="1"/>
  <c r="P34" i="8" s="1"/>
  <c r="M34" i="5"/>
  <c r="A36" i="5"/>
  <c r="A35" i="8"/>
  <c r="B35" i="8" s="1"/>
  <c r="R34" i="8" l="1"/>
  <c r="K34" i="5"/>
  <c r="O34" i="8" s="1"/>
  <c r="Q34" i="8" s="1"/>
  <c r="P35" i="8" s="1"/>
  <c r="F34" i="5"/>
  <c r="J34" i="8" s="1"/>
  <c r="M35" i="5"/>
  <c r="A37" i="5"/>
  <c r="A36" i="8"/>
  <c r="B36" i="8" s="1"/>
  <c r="R35" i="8" l="1"/>
  <c r="F35" i="5"/>
  <c r="J35" i="8" s="1"/>
  <c r="K35" i="5"/>
  <c r="O35" i="8" s="1"/>
  <c r="Q35" i="8" s="1"/>
  <c r="P36" i="8" s="1"/>
  <c r="M36" i="5"/>
  <c r="A38" i="5"/>
  <c r="A37" i="8"/>
  <c r="B37" i="8" s="1"/>
  <c r="R36" i="8" l="1"/>
  <c r="K36" i="5"/>
  <c r="O36" i="8" s="1"/>
  <c r="Q36" i="8" s="1"/>
  <c r="P37" i="8" s="1"/>
  <c r="F36" i="5"/>
  <c r="J36" i="8" s="1"/>
  <c r="M37" i="5"/>
  <c r="A39" i="5"/>
  <c r="A38" i="8"/>
  <c r="B38" i="8" s="1"/>
  <c r="R37" i="8" l="1"/>
  <c r="F37" i="5"/>
  <c r="J37" i="8" s="1"/>
  <c r="K37" i="5"/>
  <c r="O37" i="8" s="1"/>
  <c r="Q37" i="8" s="1"/>
  <c r="P38" i="8" s="1"/>
  <c r="M38" i="5"/>
  <c r="A40" i="5"/>
  <c r="A39" i="8"/>
  <c r="B39" i="8" s="1"/>
  <c r="R38" i="8" l="1"/>
  <c r="F38" i="5"/>
  <c r="J38" i="8" s="1"/>
  <c r="K38" i="5"/>
  <c r="O38" i="8" s="1"/>
  <c r="Q38" i="8" s="1"/>
  <c r="P39" i="8" s="1"/>
  <c r="M39" i="5"/>
  <c r="A40" i="8"/>
  <c r="B40" i="8" s="1"/>
  <c r="A41" i="5"/>
  <c r="R39" i="8" l="1"/>
  <c r="K39" i="5"/>
  <c r="O39" i="8" s="1"/>
  <c r="Q39" i="8" s="1"/>
  <c r="P40" i="8" s="1"/>
  <c r="F39" i="5"/>
  <c r="J39" i="8" s="1"/>
  <c r="M40" i="5"/>
  <c r="A41" i="8"/>
  <c r="B41" i="8" s="1"/>
  <c r="A42" i="5"/>
  <c r="R40" i="8" l="1"/>
  <c r="K40" i="5"/>
  <c r="O40" i="8" s="1"/>
  <c r="Q40" i="8" s="1"/>
  <c r="P41" i="8" s="1"/>
  <c r="F40" i="5"/>
  <c r="J40" i="8" s="1"/>
  <c r="M41" i="5"/>
  <c r="A42" i="8"/>
  <c r="B42" i="8" s="1"/>
  <c r="A43" i="5"/>
  <c r="R41" i="8" l="1"/>
  <c r="F41" i="5"/>
  <c r="J41" i="8" s="1"/>
  <c r="K41" i="5"/>
  <c r="O41" i="8" s="1"/>
  <c r="Q41" i="8" s="1"/>
  <c r="P42" i="8" s="1"/>
  <c r="M42" i="5"/>
  <c r="A43" i="8"/>
  <c r="B43" i="8" s="1"/>
  <c r="A44" i="5"/>
  <c r="R42" i="8" l="1"/>
  <c r="K42" i="5"/>
  <c r="O42" i="8" s="1"/>
  <c r="Q42" i="8" s="1"/>
  <c r="P43" i="8" s="1"/>
  <c r="F42" i="5"/>
  <c r="J42" i="8" s="1"/>
  <c r="M43" i="5"/>
  <c r="A44" i="8"/>
  <c r="B44" i="8" s="1"/>
  <c r="A45" i="5"/>
  <c r="R43" i="8" l="1"/>
  <c r="K43" i="5"/>
  <c r="O43" i="8" s="1"/>
  <c r="Q43" i="8" s="1"/>
  <c r="P44" i="8" s="1"/>
  <c r="F43" i="5"/>
  <c r="J43" i="8" s="1"/>
  <c r="M44" i="5"/>
  <c r="A45" i="8"/>
  <c r="B45" i="8" s="1"/>
  <c r="A46" i="5"/>
  <c r="R44" i="8" l="1"/>
  <c r="F44" i="5"/>
  <c r="J44" i="8" s="1"/>
  <c r="K44" i="5"/>
  <c r="O44" i="8" s="1"/>
  <c r="Q44" i="8" s="1"/>
  <c r="P45" i="8" s="1"/>
  <c r="M45" i="5"/>
  <c r="A46" i="8"/>
  <c r="B46" i="8" s="1"/>
  <c r="A47" i="5"/>
  <c r="R45" i="8" l="1"/>
  <c r="K45" i="5"/>
  <c r="O45" i="8" s="1"/>
  <c r="Q45" i="8" s="1"/>
  <c r="P46" i="8" s="1"/>
  <c r="F45" i="5"/>
  <c r="J45" i="8" s="1"/>
  <c r="M46" i="5"/>
  <c r="A47" i="8"/>
  <c r="B47" i="8" s="1"/>
  <c r="A48" i="5"/>
  <c r="R46" i="8" l="1"/>
  <c r="M47" i="5"/>
  <c r="K46" i="5"/>
  <c r="O46" i="8" s="1"/>
  <c r="Q46" i="8" s="1"/>
  <c r="P47" i="8" s="1"/>
  <c r="F46" i="5"/>
  <c r="J46" i="8" s="1"/>
  <c r="A49" i="5"/>
  <c r="A48" i="8"/>
  <c r="B48" i="8" s="1"/>
  <c r="R47" i="8" l="1"/>
  <c r="K47" i="5"/>
  <c r="O47" i="8" s="1"/>
  <c r="Q47" i="8" s="1"/>
  <c r="P48" i="8" s="1"/>
  <c r="F47" i="5"/>
  <c r="J47" i="8" s="1"/>
  <c r="M48" i="5"/>
  <c r="A50" i="5"/>
  <c r="A49" i="8"/>
  <c r="B49" i="8" s="1"/>
  <c r="R48" i="8" l="1"/>
  <c r="F48" i="5"/>
  <c r="J48" i="8" s="1"/>
  <c r="K48" i="5"/>
  <c r="O48" i="8" s="1"/>
  <c r="Q48" i="8" s="1"/>
  <c r="P49" i="8" s="1"/>
  <c r="M49" i="5"/>
  <c r="A50" i="8"/>
  <c r="B50" i="8" s="1"/>
  <c r="A51" i="5"/>
  <c r="R49" i="8" l="1"/>
  <c r="F49" i="5"/>
  <c r="J49" i="8" s="1"/>
  <c r="K49" i="5"/>
  <c r="O49" i="8" s="1"/>
  <c r="Q49" i="8" s="1"/>
  <c r="P50" i="8" s="1"/>
  <c r="M50" i="5"/>
  <c r="A51" i="8"/>
  <c r="B51" i="8" s="1"/>
  <c r="A52" i="5"/>
  <c r="R50" i="8" l="1"/>
  <c r="K50" i="5"/>
  <c r="O50" i="8" s="1"/>
  <c r="Q50" i="8" s="1"/>
  <c r="P51" i="8" s="1"/>
  <c r="F50" i="5"/>
  <c r="J50" i="8" s="1"/>
  <c r="M51" i="5"/>
  <c r="A52" i="8"/>
  <c r="B52" i="8" s="1"/>
  <c r="A53" i="5"/>
  <c r="M52" i="5" s="1"/>
  <c r="R51" i="8" l="1"/>
  <c r="F52" i="5"/>
  <c r="J52" i="8" s="1"/>
  <c r="K52" i="5"/>
  <c r="O52" i="8" s="1"/>
  <c r="K51" i="5"/>
  <c r="O51" i="8" s="1"/>
  <c r="Q51" i="8" s="1"/>
  <c r="P52" i="8" s="1"/>
  <c r="F51" i="5"/>
  <c r="J51" i="8" s="1"/>
  <c r="A53" i="8"/>
  <c r="B53" i="8" s="1"/>
  <c r="A54" i="5"/>
  <c r="R52" i="8" l="1"/>
  <c r="M53" i="5"/>
  <c r="Q52" i="8"/>
  <c r="P53" i="8" s="1"/>
  <c r="A54" i="8"/>
  <c r="B54" i="8" s="1"/>
  <c r="A55" i="5"/>
  <c r="R53" i="8" l="1"/>
  <c r="F53" i="5"/>
  <c r="J53" i="8" s="1"/>
  <c r="K53" i="5"/>
  <c r="O53" i="8" s="1"/>
  <c r="Q53" i="8" s="1"/>
  <c r="P54" i="8" s="1"/>
  <c r="M54" i="5"/>
  <c r="A55" i="8"/>
  <c r="B55" i="8" s="1"/>
  <c r="A56" i="5"/>
  <c r="R54" i="8" l="1"/>
  <c r="F54" i="5"/>
  <c r="J54" i="8" s="1"/>
  <c r="K54" i="5"/>
  <c r="O54" i="8" s="1"/>
  <c r="Q54" i="8" s="1"/>
  <c r="P55" i="8" s="1"/>
  <c r="M55" i="5"/>
  <c r="A56" i="8"/>
  <c r="B56" i="8" s="1"/>
  <c r="A57" i="5"/>
  <c r="R55" i="8" l="1"/>
  <c r="K55" i="5"/>
  <c r="O55" i="8" s="1"/>
  <c r="Q55" i="8" s="1"/>
  <c r="P56" i="8" s="1"/>
  <c r="F55" i="5"/>
  <c r="J55" i="8" s="1"/>
  <c r="M56" i="5"/>
  <c r="A57" i="8"/>
  <c r="B57" i="8" s="1"/>
  <c r="A58" i="5"/>
  <c r="R56" i="8" l="1"/>
  <c r="M57" i="5"/>
  <c r="F56" i="5"/>
  <c r="J56" i="8" s="1"/>
  <c r="K56" i="5"/>
  <c r="O56" i="8" s="1"/>
  <c r="Q56" i="8" s="1"/>
  <c r="P57" i="8" s="1"/>
  <c r="A58" i="8"/>
  <c r="B58" i="8" s="1"/>
  <c r="A59" i="5"/>
  <c r="R57" i="8" l="1"/>
  <c r="F57" i="5"/>
  <c r="J57" i="8" s="1"/>
  <c r="K57" i="5"/>
  <c r="O57" i="8" s="1"/>
  <c r="Q57" i="8" s="1"/>
  <c r="M58" i="5"/>
  <c r="A59" i="8"/>
  <c r="B59" i="8" s="1"/>
  <c r="A60" i="5"/>
  <c r="P58" i="8" l="1"/>
  <c r="R58" i="8"/>
  <c r="F58" i="5"/>
  <c r="J58" i="8" s="1"/>
  <c r="K58" i="5"/>
  <c r="O58" i="8" s="1"/>
  <c r="M59" i="5"/>
  <c r="A61" i="5"/>
  <c r="A60" i="8"/>
  <c r="B60" i="8" s="1"/>
  <c r="Q58" i="8" l="1"/>
  <c r="P59" i="8" s="1"/>
  <c r="F59" i="5"/>
  <c r="J59" i="8" s="1"/>
  <c r="K59" i="5"/>
  <c r="O59" i="8" s="1"/>
  <c r="M60" i="5"/>
  <c r="A62" i="5"/>
  <c r="A61" i="8"/>
  <c r="B61" i="8" s="1"/>
  <c r="R59" i="8" l="1"/>
  <c r="Q59" i="8"/>
  <c r="P60" i="8" s="1"/>
  <c r="K60" i="5"/>
  <c r="O60" i="8" s="1"/>
  <c r="F60" i="5"/>
  <c r="J60" i="8" s="1"/>
  <c r="M61" i="5"/>
  <c r="A63" i="5"/>
  <c r="A62" i="8"/>
  <c r="B62" i="8" s="1"/>
  <c r="R60" i="8" l="1"/>
  <c r="Q60" i="8"/>
  <c r="P61" i="8" s="1"/>
  <c r="K61" i="5"/>
  <c r="O61" i="8" s="1"/>
  <c r="F61" i="5"/>
  <c r="J61" i="8" s="1"/>
  <c r="M62" i="5"/>
  <c r="A64" i="5"/>
  <c r="A63" i="8"/>
  <c r="B63" i="8" s="1"/>
  <c r="Q61" i="8" l="1"/>
  <c r="P62" i="8" s="1"/>
  <c r="R61" i="8"/>
  <c r="K62" i="5"/>
  <c r="O62" i="8" s="1"/>
  <c r="F62" i="5"/>
  <c r="J62" i="8" s="1"/>
  <c r="M63" i="5"/>
  <c r="A65" i="5"/>
  <c r="A64" i="8"/>
  <c r="B64" i="8" s="1"/>
  <c r="R62" i="8" l="1"/>
  <c r="Q62" i="8"/>
  <c r="P63" i="8" s="1"/>
  <c r="F63" i="5"/>
  <c r="J63" i="8" s="1"/>
  <c r="K63" i="5"/>
  <c r="O63" i="8" s="1"/>
  <c r="M64" i="5"/>
  <c r="A66" i="5"/>
  <c r="A65" i="8"/>
  <c r="B65" i="8" s="1"/>
  <c r="Q63" i="8" l="1"/>
  <c r="P64" i="8" s="1"/>
  <c r="R63" i="8"/>
  <c r="F64" i="5"/>
  <c r="J64" i="8" s="1"/>
  <c r="K64" i="5"/>
  <c r="O64" i="8" s="1"/>
  <c r="M65" i="5"/>
  <c r="A66" i="8"/>
  <c r="B66" i="8" s="1"/>
  <c r="A67" i="5"/>
  <c r="R64" i="8" l="1"/>
  <c r="Q64" i="8"/>
  <c r="P65" i="8" s="1"/>
  <c r="F65" i="5"/>
  <c r="J65" i="8" s="1"/>
  <c r="K65" i="5"/>
  <c r="O65" i="8" s="1"/>
  <c r="M66" i="5"/>
  <c r="A67" i="8"/>
  <c r="B67" i="8" s="1"/>
  <c r="A68" i="5"/>
  <c r="Q65" i="8" l="1"/>
  <c r="P66" i="8" s="1"/>
  <c r="R65" i="8"/>
  <c r="K66" i="5"/>
  <c r="O66" i="8" s="1"/>
  <c r="F66" i="5"/>
  <c r="J66" i="8" s="1"/>
  <c r="M67" i="5"/>
  <c r="A68" i="8"/>
  <c r="B68" i="8" s="1"/>
  <c r="A69" i="5"/>
  <c r="R66" i="8" l="1"/>
  <c r="Q66" i="8"/>
  <c r="P67" i="8" s="1"/>
  <c r="F67" i="5"/>
  <c r="J67" i="8" s="1"/>
  <c r="K67" i="5"/>
  <c r="O67" i="8" s="1"/>
  <c r="M68" i="5"/>
  <c r="A69" i="8"/>
  <c r="B69" i="8" s="1"/>
  <c r="A70" i="5"/>
  <c r="R67" i="8" l="1"/>
  <c r="Q67" i="8"/>
  <c r="P68" i="8" s="1"/>
  <c r="F68" i="5"/>
  <c r="J68" i="8" s="1"/>
  <c r="K68" i="5"/>
  <c r="O68" i="8" s="1"/>
  <c r="M69" i="5"/>
  <c r="A70" i="8"/>
  <c r="B70" i="8" s="1"/>
  <c r="A71" i="5"/>
  <c r="R68" i="8" l="1"/>
  <c r="Q68" i="8"/>
  <c r="P69" i="8" s="1"/>
  <c r="K69" i="5"/>
  <c r="O69" i="8" s="1"/>
  <c r="F69" i="5"/>
  <c r="J69" i="8" s="1"/>
  <c r="M70" i="5"/>
  <c r="A71" i="8"/>
  <c r="B71" i="8" s="1"/>
  <c r="A72" i="5"/>
  <c r="R69" i="8" l="1"/>
  <c r="Q69" i="8"/>
  <c r="P70" i="8" s="1"/>
  <c r="F70" i="5"/>
  <c r="J70" i="8" s="1"/>
  <c r="K70" i="5"/>
  <c r="O70" i="8" s="1"/>
  <c r="M71" i="5"/>
  <c r="A72" i="8"/>
  <c r="B72" i="8" s="1"/>
  <c r="A73" i="5"/>
  <c r="R70" i="8" l="1"/>
  <c r="Q70" i="8"/>
  <c r="P71" i="8" s="1"/>
  <c r="K71" i="5"/>
  <c r="O71" i="8" s="1"/>
  <c r="F71" i="5"/>
  <c r="J71" i="8" s="1"/>
  <c r="M72" i="5"/>
  <c r="A73" i="8"/>
  <c r="B73" i="8" s="1"/>
  <c r="A74" i="5"/>
  <c r="R71" i="8" l="1"/>
  <c r="Q71" i="8"/>
  <c r="P72" i="8" s="1"/>
  <c r="F72" i="5"/>
  <c r="J72" i="8" s="1"/>
  <c r="K72" i="5"/>
  <c r="O72" i="8" s="1"/>
  <c r="M73" i="5"/>
  <c r="A74" i="8"/>
  <c r="B74" i="8" s="1"/>
  <c r="A75" i="5"/>
  <c r="Q72" i="8" l="1"/>
  <c r="P73" i="8" s="1"/>
  <c r="R72" i="8"/>
  <c r="K73" i="5"/>
  <c r="O73" i="8" s="1"/>
  <c r="F73" i="5"/>
  <c r="J73" i="8" s="1"/>
  <c r="M74" i="5"/>
  <c r="A75" i="8"/>
  <c r="B75" i="8" s="1"/>
  <c r="A76" i="5"/>
  <c r="R73" i="8" l="1"/>
  <c r="Q73" i="8"/>
  <c r="P74" i="8" s="1"/>
  <c r="K74" i="5"/>
  <c r="O74" i="8" s="1"/>
  <c r="F74" i="5"/>
  <c r="J74" i="8" s="1"/>
  <c r="M75" i="5"/>
  <c r="A76" i="8"/>
  <c r="B76" i="8" s="1"/>
  <c r="A77" i="5"/>
  <c r="R74" i="8" l="1"/>
  <c r="Q74" i="8"/>
  <c r="P75" i="8" s="1"/>
  <c r="K75" i="5"/>
  <c r="O75" i="8" s="1"/>
  <c r="F75" i="5"/>
  <c r="J75" i="8" s="1"/>
  <c r="M76" i="5"/>
  <c r="A77" i="8"/>
  <c r="B77" i="8" s="1"/>
  <c r="A78" i="5"/>
  <c r="Q75" i="8" l="1"/>
  <c r="P76" i="8" s="1"/>
  <c r="R75" i="8"/>
  <c r="F76" i="5"/>
  <c r="J76" i="8" s="1"/>
  <c r="K76" i="5"/>
  <c r="O76" i="8" s="1"/>
  <c r="M77" i="5"/>
  <c r="A78" i="8"/>
  <c r="B78" i="8" s="1"/>
  <c r="A79" i="5"/>
  <c r="R76" i="8" l="1"/>
  <c r="Q76" i="8"/>
  <c r="P77" i="8" s="1"/>
  <c r="K77" i="5"/>
  <c r="O77" i="8" s="1"/>
  <c r="F77" i="5"/>
  <c r="J77" i="8" s="1"/>
  <c r="M78" i="5"/>
  <c r="A79" i="8"/>
  <c r="B79" i="8" s="1"/>
  <c r="A80" i="5"/>
  <c r="R77" i="8" l="1"/>
  <c r="Q77" i="8"/>
  <c r="P78" i="8" s="1"/>
  <c r="F78" i="5"/>
  <c r="J78" i="8" s="1"/>
  <c r="K78" i="5"/>
  <c r="O78" i="8" s="1"/>
  <c r="M79" i="5"/>
  <c r="A80" i="8"/>
  <c r="B80" i="8" s="1"/>
  <c r="A81" i="5"/>
  <c r="R78" i="8" l="1"/>
  <c r="Q78" i="8"/>
  <c r="P79" i="8" s="1"/>
  <c r="K79" i="5"/>
  <c r="O79" i="8" s="1"/>
  <c r="F79" i="5"/>
  <c r="J79" i="8" s="1"/>
  <c r="M80" i="5"/>
  <c r="A81" i="8"/>
  <c r="B81" i="8" s="1"/>
  <c r="A82" i="5"/>
  <c r="R79" i="8" l="1"/>
  <c r="Q79" i="8"/>
  <c r="P80" i="8" s="1"/>
  <c r="F80" i="5"/>
  <c r="J80" i="8" s="1"/>
  <c r="K80" i="5"/>
  <c r="O80" i="8" s="1"/>
  <c r="M81" i="5"/>
  <c r="A82" i="8"/>
  <c r="B82" i="8" s="1"/>
  <c r="A83" i="5"/>
  <c r="R80" i="8" l="1"/>
  <c r="Q80" i="8"/>
  <c r="P81" i="8" s="1"/>
  <c r="F81" i="5"/>
  <c r="J81" i="8" s="1"/>
  <c r="K81" i="5"/>
  <c r="O81" i="8" s="1"/>
  <c r="M82" i="5"/>
  <c r="A83" i="8"/>
  <c r="B83" i="8" s="1"/>
  <c r="A84" i="5"/>
  <c r="R81" i="8" l="1"/>
  <c r="Q81" i="8"/>
  <c r="P82" i="8" s="1"/>
  <c r="K82" i="5"/>
  <c r="O82" i="8" s="1"/>
  <c r="F82" i="5"/>
  <c r="J82" i="8" s="1"/>
  <c r="M83" i="5"/>
  <c r="A84" i="8"/>
  <c r="B84" i="8" s="1"/>
  <c r="A85" i="5"/>
  <c r="M84" i="5" s="1"/>
  <c r="R82" i="8" l="1"/>
  <c r="Q82" i="8"/>
  <c r="P83" i="8" s="1"/>
  <c r="F84" i="5"/>
  <c r="J84" i="8" s="1"/>
  <c r="K84" i="5"/>
  <c r="O84" i="8" s="1"/>
  <c r="K83" i="5"/>
  <c r="O83" i="8" s="1"/>
  <c r="F83" i="5"/>
  <c r="J83" i="8" s="1"/>
  <c r="A85" i="8"/>
  <c r="B85" i="8" s="1"/>
  <c r="A86" i="5"/>
  <c r="R83" i="8" l="1"/>
  <c r="Q83" i="8"/>
  <c r="P84" i="8" s="1"/>
  <c r="Q84" i="8" s="1"/>
  <c r="P85" i="8" s="1"/>
  <c r="M85" i="5"/>
  <c r="A86" i="8"/>
  <c r="B86" i="8" s="1"/>
  <c r="A87" i="5"/>
  <c r="R84" i="8" l="1"/>
  <c r="R85" i="8" s="1"/>
  <c r="K85" i="5"/>
  <c r="O85" i="8" s="1"/>
  <c r="Q85" i="8" s="1"/>
  <c r="P86" i="8" s="1"/>
  <c r="F85" i="5"/>
  <c r="J85" i="8" s="1"/>
  <c r="M86" i="5"/>
  <c r="A87" i="8"/>
  <c r="B87" i="8" s="1"/>
  <c r="A88" i="5"/>
  <c r="M87" i="5" s="1"/>
  <c r="R86" i="8" l="1"/>
  <c r="F87" i="5"/>
  <c r="J87" i="8" s="1"/>
  <c r="K87" i="5"/>
  <c r="O87" i="8" s="1"/>
  <c r="F86" i="5"/>
  <c r="J86" i="8" s="1"/>
  <c r="K86" i="5"/>
  <c r="O86" i="8" s="1"/>
  <c r="Q86" i="8" s="1"/>
  <c r="P87" i="8" s="1"/>
  <c r="A88" i="8"/>
  <c r="B88" i="8" s="1"/>
  <c r="A89" i="5"/>
  <c r="R87" i="8" l="1"/>
  <c r="M88" i="5"/>
  <c r="Q87" i="8"/>
  <c r="P88" i="8" s="1"/>
  <c r="A89" i="8"/>
  <c r="B89" i="8" s="1"/>
  <c r="A90" i="5"/>
  <c r="R88" i="8" l="1"/>
  <c r="F88" i="5"/>
  <c r="J88" i="8" s="1"/>
  <c r="K88" i="5"/>
  <c r="O88" i="8" s="1"/>
  <c r="Q88" i="8" s="1"/>
  <c r="P89" i="8" s="1"/>
  <c r="M89" i="5"/>
  <c r="A90" i="8"/>
  <c r="B90" i="8" s="1"/>
  <c r="A91" i="5"/>
  <c r="R89" i="8" l="1"/>
  <c r="F89" i="5"/>
  <c r="J89" i="8" s="1"/>
  <c r="K89" i="5"/>
  <c r="O89" i="8" s="1"/>
  <c r="Q89" i="8" s="1"/>
  <c r="P90" i="8" s="1"/>
  <c r="M90" i="5"/>
  <c r="A91" i="8"/>
  <c r="B91" i="8" s="1"/>
  <c r="A92" i="5"/>
  <c r="R90" i="8" l="1"/>
  <c r="F90" i="5"/>
  <c r="J90" i="8" s="1"/>
  <c r="K90" i="5"/>
  <c r="O90" i="8" s="1"/>
  <c r="Q90" i="8" s="1"/>
  <c r="P91" i="8" s="1"/>
  <c r="M91" i="5"/>
  <c r="A92" i="8"/>
  <c r="B92" i="8" s="1"/>
  <c r="A93" i="5"/>
  <c r="R91" i="8" l="1"/>
  <c r="F91" i="5"/>
  <c r="J91" i="8" s="1"/>
  <c r="K91" i="5"/>
  <c r="O91" i="8" s="1"/>
  <c r="Q91" i="8" s="1"/>
  <c r="P92" i="8" s="1"/>
  <c r="M92" i="5"/>
  <c r="A93" i="8"/>
  <c r="B93" i="8" s="1"/>
  <c r="A94" i="5"/>
  <c r="R92" i="8" l="1"/>
  <c r="K92" i="5"/>
  <c r="O92" i="8" s="1"/>
  <c r="Q92" i="8" s="1"/>
  <c r="P93" i="8" s="1"/>
  <c r="F92" i="5"/>
  <c r="J92" i="8" s="1"/>
  <c r="M93" i="5"/>
  <c r="A94" i="8"/>
  <c r="B94" i="8" s="1"/>
  <c r="A95" i="5"/>
  <c r="R93" i="8" l="1"/>
  <c r="F93" i="5"/>
  <c r="J93" i="8" s="1"/>
  <c r="K93" i="5"/>
  <c r="O93" i="8" s="1"/>
  <c r="Q93" i="8" s="1"/>
  <c r="P94" i="8" s="1"/>
  <c r="M94" i="5"/>
  <c r="A95" i="8"/>
  <c r="B95" i="8" s="1"/>
  <c r="A96" i="5"/>
  <c r="R94" i="8" l="1"/>
  <c r="A97" i="5"/>
  <c r="K94" i="5"/>
  <c r="O94" i="8" s="1"/>
  <c r="Q94" i="8" s="1"/>
  <c r="P95" i="8" s="1"/>
  <c r="F94" i="5"/>
  <c r="J94" i="8" s="1"/>
  <c r="M95" i="5"/>
  <c r="A96" i="8"/>
  <c r="B96" i="8" s="1"/>
  <c r="R95" i="8" l="1"/>
  <c r="A98" i="5"/>
  <c r="M97" i="5"/>
  <c r="F95" i="5"/>
  <c r="J95" i="8" s="1"/>
  <c r="K95" i="5"/>
  <c r="O95" i="8" s="1"/>
  <c r="Q95" i="8" s="1"/>
  <c r="P96" i="8" s="1"/>
  <c r="M96" i="5"/>
  <c r="A97" i="8"/>
  <c r="B97" i="8" s="1"/>
  <c r="R96" i="8" l="1"/>
  <c r="F96" i="5"/>
  <c r="J96" i="8" s="1"/>
  <c r="K96" i="5"/>
  <c r="O96" i="8" s="1"/>
  <c r="Q96" i="8" s="1"/>
  <c r="P97" i="8" s="1"/>
  <c r="F97" i="5"/>
  <c r="J97" i="8" s="1"/>
  <c r="K97" i="5"/>
  <c r="O97" i="8" s="1"/>
  <c r="A99" i="5"/>
  <c r="M98" i="5" s="1"/>
  <c r="A98" i="8"/>
  <c r="B98" i="8" s="1"/>
  <c r="R97" i="8" l="1"/>
  <c r="K98" i="5"/>
  <c r="O98" i="8" s="1"/>
  <c r="F98" i="5"/>
  <c r="J98" i="8" s="1"/>
  <c r="A100" i="5"/>
  <c r="M99" i="5" s="1"/>
  <c r="Q97" i="8"/>
  <c r="P98" i="8" s="1"/>
  <c r="A99" i="8"/>
  <c r="B99" i="8" s="1"/>
  <c r="R98" i="8" l="1"/>
  <c r="F99" i="5"/>
  <c r="J99" i="8" s="1"/>
  <c r="K99" i="5"/>
  <c r="O99" i="8" s="1"/>
  <c r="A101" i="5"/>
  <c r="Q98" i="8"/>
  <c r="P99" i="8" s="1"/>
  <c r="A100" i="8"/>
  <c r="B100" i="8" s="1"/>
  <c r="R99" i="8" l="1"/>
  <c r="A102" i="5"/>
  <c r="M101" i="5" s="1"/>
  <c r="M100" i="5"/>
  <c r="Q99" i="8"/>
  <c r="P100" i="8" s="1"/>
  <c r="A101" i="8"/>
  <c r="B101" i="8" s="1"/>
  <c r="R100" i="8" l="1"/>
  <c r="K101" i="5"/>
  <c r="O101" i="8" s="1"/>
  <c r="F101" i="5"/>
  <c r="J101" i="8" s="1"/>
  <c r="F100" i="5"/>
  <c r="J100" i="8" s="1"/>
  <c r="K100" i="5"/>
  <c r="O100" i="8" s="1"/>
  <c r="Q100" i="8" s="1"/>
  <c r="P101" i="8" s="1"/>
  <c r="A103" i="5"/>
  <c r="M102" i="5" s="1"/>
  <c r="A102" i="8"/>
  <c r="B102" i="8" s="1"/>
  <c r="R101" i="8" l="1"/>
  <c r="K102" i="5"/>
  <c r="O102" i="8" s="1"/>
  <c r="F102" i="5"/>
  <c r="J102" i="8" s="1"/>
  <c r="A104" i="5"/>
  <c r="M103" i="5" s="1"/>
  <c r="Q101" i="8"/>
  <c r="P102" i="8" s="1"/>
  <c r="A103" i="8"/>
  <c r="B103" i="8" s="1"/>
  <c r="R102" i="8" l="1"/>
  <c r="A105" i="5"/>
  <c r="M104" i="5" s="1"/>
  <c r="K103" i="5"/>
  <c r="O103" i="8" s="1"/>
  <c r="F103" i="5"/>
  <c r="J103" i="8" s="1"/>
  <c r="Q102" i="8"/>
  <c r="P103" i="8" s="1"/>
  <c r="A104" i="8"/>
  <c r="B104" i="8" s="1"/>
  <c r="R103" i="8" l="1"/>
  <c r="K104" i="5"/>
  <c r="O104" i="8" s="1"/>
  <c r="F104" i="5"/>
  <c r="J104" i="8" s="1"/>
  <c r="A106" i="5"/>
  <c r="Q103" i="8"/>
  <c r="P104" i="8" s="1"/>
  <c r="A105" i="8"/>
  <c r="B105" i="8" s="1"/>
  <c r="R104" i="8" l="1"/>
  <c r="A107" i="5"/>
  <c r="M106" i="5" s="1"/>
  <c r="M105" i="5"/>
  <c r="Q104" i="8"/>
  <c r="P105" i="8" s="1"/>
  <c r="A106" i="8"/>
  <c r="B106" i="8" s="1"/>
  <c r="R105" i="8" l="1"/>
  <c r="F106" i="5"/>
  <c r="J106" i="8" s="1"/>
  <c r="K106" i="5"/>
  <c r="O106" i="8" s="1"/>
  <c r="F105" i="5"/>
  <c r="J105" i="8" s="1"/>
  <c r="K105" i="5"/>
  <c r="O105" i="8" s="1"/>
  <c r="Q105" i="8" s="1"/>
  <c r="P106" i="8" s="1"/>
  <c r="A108" i="5"/>
  <c r="M107" i="5" s="1"/>
  <c r="A107" i="8"/>
  <c r="B107" i="8" s="1"/>
  <c r="R106" i="8" l="1"/>
  <c r="K107" i="5"/>
  <c r="O107" i="8" s="1"/>
  <c r="F107" i="5"/>
  <c r="J107" i="8" s="1"/>
  <c r="A109" i="5"/>
  <c r="M108" i="5" s="1"/>
  <c r="Q106" i="8"/>
  <c r="P107" i="8" s="1"/>
  <c r="A108" i="8"/>
  <c r="B108" i="8" s="1"/>
  <c r="R107" i="8" l="1"/>
  <c r="K108" i="5"/>
  <c r="O108" i="8" s="1"/>
  <c r="F108" i="5"/>
  <c r="J108" i="8" s="1"/>
  <c r="A110" i="5"/>
  <c r="M109" i="5" s="1"/>
  <c r="Q107" i="8"/>
  <c r="P108" i="8" s="1"/>
  <c r="A109" i="8"/>
  <c r="B109" i="8" s="1"/>
  <c r="R108" i="8" l="1"/>
  <c r="K109" i="5"/>
  <c r="O109" i="8" s="1"/>
  <c r="F109" i="5"/>
  <c r="J109" i="8" s="1"/>
  <c r="A111" i="5"/>
  <c r="M110" i="5" s="1"/>
  <c r="Q108" i="8"/>
  <c r="P109" i="8" s="1"/>
  <c r="A110" i="8"/>
  <c r="B110" i="8" s="1"/>
  <c r="R109" i="8" l="1"/>
  <c r="A112" i="5"/>
  <c r="M111" i="5" s="1"/>
  <c r="K110" i="5"/>
  <c r="O110" i="8" s="1"/>
  <c r="F110" i="5"/>
  <c r="J110" i="8" s="1"/>
  <c r="Q109" i="8"/>
  <c r="P110" i="8" s="1"/>
  <c r="A111" i="8"/>
  <c r="B111" i="8" s="1"/>
  <c r="R110" i="8" l="1"/>
  <c r="F111" i="5"/>
  <c r="J111" i="8" s="1"/>
  <c r="K111" i="5"/>
  <c r="O111" i="8" s="1"/>
  <c r="A113" i="5"/>
  <c r="M112" i="5"/>
  <c r="Q110" i="8"/>
  <c r="P111" i="8" s="1"/>
  <c r="A112" i="8"/>
  <c r="B112" i="8" s="1"/>
  <c r="R111" i="8" l="1"/>
  <c r="F112" i="5"/>
  <c r="J112" i="8" s="1"/>
  <c r="K112" i="5"/>
  <c r="O112" i="8" s="1"/>
  <c r="A114" i="5"/>
  <c r="M113" i="5" s="1"/>
  <c r="Q111" i="8"/>
  <c r="P112" i="8" s="1"/>
  <c r="A113" i="8"/>
  <c r="B113" i="8" s="1"/>
  <c r="R112" i="8" l="1"/>
  <c r="F113" i="5"/>
  <c r="J113" i="8" s="1"/>
  <c r="K113" i="5"/>
  <c r="O113" i="8" s="1"/>
  <c r="A115" i="5"/>
  <c r="M114" i="5" s="1"/>
  <c r="Q112" i="8"/>
  <c r="P113" i="8" s="1"/>
  <c r="A114" i="8"/>
  <c r="B114" i="8" s="1"/>
  <c r="R113" i="8" l="1"/>
  <c r="K114" i="5"/>
  <c r="O114" i="8" s="1"/>
  <c r="F114" i="5"/>
  <c r="J114" i="8" s="1"/>
  <c r="A116" i="5"/>
  <c r="M115" i="5" s="1"/>
  <c r="Q113" i="8"/>
  <c r="P114" i="8" s="1"/>
  <c r="A115" i="8"/>
  <c r="B115" i="8" s="1"/>
  <c r="R114" i="8" l="1"/>
  <c r="F115" i="5"/>
  <c r="J115" i="8" s="1"/>
  <c r="K115" i="5"/>
  <c r="O115" i="8" s="1"/>
  <c r="A117" i="5"/>
  <c r="M116" i="5" s="1"/>
  <c r="Q114" i="8"/>
  <c r="P115" i="8" s="1"/>
  <c r="A116" i="8"/>
  <c r="B116" i="8" s="1"/>
  <c r="R115" i="8" l="1"/>
  <c r="K116" i="5"/>
  <c r="O116" i="8" s="1"/>
  <c r="F116" i="5"/>
  <c r="J116" i="8" s="1"/>
  <c r="A118" i="5"/>
  <c r="Q115" i="8"/>
  <c r="P116" i="8" s="1"/>
  <c r="A117" i="8"/>
  <c r="B117" i="8" s="1"/>
  <c r="R116" i="8" l="1"/>
  <c r="A119" i="5"/>
  <c r="M118" i="5" s="1"/>
  <c r="M117" i="5"/>
  <c r="Q116" i="8"/>
  <c r="P117" i="8" s="1"/>
  <c r="A118" i="8"/>
  <c r="B118" i="8" s="1"/>
  <c r="R117" i="8" l="1"/>
  <c r="F118" i="5"/>
  <c r="J118" i="8" s="1"/>
  <c r="K118" i="5"/>
  <c r="O118" i="8" s="1"/>
  <c r="K117" i="5"/>
  <c r="O117" i="8" s="1"/>
  <c r="Q117" i="8" s="1"/>
  <c r="P118" i="8" s="1"/>
  <c r="F117" i="5"/>
  <c r="J117" i="8" s="1"/>
  <c r="A120" i="5"/>
  <c r="M119" i="5" s="1"/>
  <c r="A119" i="8"/>
  <c r="B119" i="8" s="1"/>
  <c r="R118" i="8" l="1"/>
  <c r="F119" i="5"/>
  <c r="J119" i="8" s="1"/>
  <c r="K119" i="5"/>
  <c r="O119" i="8" s="1"/>
  <c r="A121" i="5"/>
  <c r="M120" i="5" s="1"/>
  <c r="Q118" i="8"/>
  <c r="P119" i="8" s="1"/>
  <c r="A120" i="8"/>
  <c r="B120" i="8" s="1"/>
  <c r="R119" i="8" l="1"/>
  <c r="A122" i="5"/>
  <c r="K120" i="5"/>
  <c r="O120" i="8" s="1"/>
  <c r="F120" i="5"/>
  <c r="J120" i="8" s="1"/>
  <c r="Q119" i="8"/>
  <c r="P120" i="8" s="1"/>
  <c r="A121" i="8"/>
  <c r="B121" i="8" s="1"/>
  <c r="R120" i="8" l="1"/>
  <c r="A123" i="5"/>
  <c r="M122" i="5" s="1"/>
  <c r="M121" i="5"/>
  <c r="Q120" i="8"/>
  <c r="P121" i="8" s="1"/>
  <c r="A122" i="8"/>
  <c r="B122" i="8" s="1"/>
  <c r="R121" i="8" l="1"/>
  <c r="F122" i="5"/>
  <c r="J122" i="8" s="1"/>
  <c r="K122" i="5"/>
  <c r="O122" i="8" s="1"/>
  <c r="F121" i="5"/>
  <c r="J121" i="8" s="1"/>
  <c r="K121" i="5"/>
  <c r="O121" i="8" s="1"/>
  <c r="Q121" i="8" s="1"/>
  <c r="P122" i="8" s="1"/>
  <c r="A124" i="5"/>
  <c r="M123" i="5" s="1"/>
  <c r="A123" i="8"/>
  <c r="B123" i="8" s="1"/>
  <c r="R122" i="8" l="1"/>
  <c r="F123" i="5"/>
  <c r="J123" i="8" s="1"/>
  <c r="K123" i="5"/>
  <c r="O123" i="8" s="1"/>
  <c r="A125" i="5"/>
  <c r="M124" i="5" s="1"/>
  <c r="Q122" i="8"/>
  <c r="P123" i="8" s="1"/>
  <c r="A124" i="8"/>
  <c r="B124" i="8" s="1"/>
  <c r="R123" i="8" l="1"/>
  <c r="F124" i="5"/>
  <c r="J124" i="8" s="1"/>
  <c r="K124" i="5"/>
  <c r="O124" i="8" s="1"/>
  <c r="A126" i="5"/>
  <c r="M125" i="5" s="1"/>
  <c r="Q123" i="8"/>
  <c r="P124" i="8" s="1"/>
  <c r="A125" i="8"/>
  <c r="B125" i="8" s="1"/>
  <c r="R124" i="8" l="1"/>
  <c r="K125" i="5"/>
  <c r="O125" i="8" s="1"/>
  <c r="F125" i="5"/>
  <c r="J125" i="8" s="1"/>
  <c r="A127" i="5"/>
  <c r="Q124" i="8"/>
  <c r="P125" i="8" s="1"/>
  <c r="A126" i="8"/>
  <c r="B126" i="8" s="1"/>
  <c r="R125" i="8" l="1"/>
  <c r="A128" i="5"/>
  <c r="M127" i="5" s="1"/>
  <c r="M126" i="5"/>
  <c r="Q125" i="8"/>
  <c r="P126" i="8" s="1"/>
  <c r="A127" i="8"/>
  <c r="B127" i="8" s="1"/>
  <c r="R126" i="8" l="1"/>
  <c r="K126" i="5"/>
  <c r="O126" i="8" s="1"/>
  <c r="Q126" i="8" s="1"/>
  <c r="P127" i="8" s="1"/>
  <c r="F126" i="5"/>
  <c r="J126" i="8" s="1"/>
  <c r="F127" i="5"/>
  <c r="J127" i="8" s="1"/>
  <c r="K127" i="5"/>
  <c r="O127" i="8" s="1"/>
  <c r="A129" i="5"/>
  <c r="M128" i="5" s="1"/>
  <c r="A128" i="8"/>
  <c r="B128" i="8" s="1"/>
  <c r="R127" i="8" l="1"/>
  <c r="F128" i="5"/>
  <c r="J128" i="8" s="1"/>
  <c r="K128" i="5"/>
  <c r="O128" i="8" s="1"/>
  <c r="A130" i="5"/>
  <c r="M129" i="5" s="1"/>
  <c r="Q127" i="8"/>
  <c r="P128" i="8" s="1"/>
  <c r="A129" i="8"/>
  <c r="B129" i="8" s="1"/>
  <c r="R128" i="8" l="1"/>
  <c r="F129" i="5"/>
  <c r="J129" i="8" s="1"/>
  <c r="K129" i="5"/>
  <c r="O129" i="8" s="1"/>
  <c r="A131" i="5"/>
  <c r="M130" i="5" s="1"/>
  <c r="Q128" i="8"/>
  <c r="P129" i="8" s="1"/>
  <c r="A130" i="8"/>
  <c r="B130" i="8" s="1"/>
  <c r="R129" i="8" l="1"/>
  <c r="F130" i="5"/>
  <c r="J130" i="8" s="1"/>
  <c r="K130" i="5"/>
  <c r="O130" i="8" s="1"/>
  <c r="A132" i="5"/>
  <c r="M131" i="5" s="1"/>
  <c r="Q129" i="8"/>
  <c r="P130" i="8" s="1"/>
  <c r="A131" i="8"/>
  <c r="B131" i="8" s="1"/>
  <c r="R130" i="8" l="1"/>
  <c r="K131" i="5"/>
  <c r="O131" i="8" s="1"/>
  <c r="F131" i="5"/>
  <c r="J131" i="8" s="1"/>
  <c r="A133" i="5"/>
  <c r="M132" i="5" s="1"/>
  <c r="Q130" i="8"/>
  <c r="P131" i="8" s="1"/>
  <c r="A132" i="8"/>
  <c r="B132" i="8" s="1"/>
  <c r="R131" i="8" l="1"/>
  <c r="K132" i="5"/>
  <c r="O132" i="8" s="1"/>
  <c r="F132" i="5"/>
  <c r="J132" i="8" s="1"/>
  <c r="A134" i="5"/>
  <c r="M133" i="5" s="1"/>
  <c r="Q131" i="8"/>
  <c r="P132" i="8" s="1"/>
  <c r="A133" i="8"/>
  <c r="B133" i="8" s="1"/>
  <c r="R132" i="8" l="1"/>
  <c r="K133" i="5"/>
  <c r="O133" i="8" s="1"/>
  <c r="F133" i="5"/>
  <c r="J133" i="8" s="1"/>
  <c r="A135" i="5"/>
  <c r="M134" i="5" s="1"/>
  <c r="Q132" i="8"/>
  <c r="P133" i="8" s="1"/>
  <c r="A134" i="8"/>
  <c r="B134" i="8" s="1"/>
  <c r="R133" i="8" l="1"/>
  <c r="F134" i="5"/>
  <c r="J134" i="8" s="1"/>
  <c r="K134" i="5"/>
  <c r="O134" i="8" s="1"/>
  <c r="A136" i="5"/>
  <c r="M135" i="5" s="1"/>
  <c r="Q133" i="8"/>
  <c r="P134" i="8" s="1"/>
  <c r="A135" i="8"/>
  <c r="B135" i="8" s="1"/>
  <c r="R134" i="8" l="1"/>
  <c r="F135" i="5"/>
  <c r="J135" i="8" s="1"/>
  <c r="K135" i="5"/>
  <c r="O135" i="8" s="1"/>
  <c r="A137" i="5"/>
  <c r="M136" i="5" s="1"/>
  <c r="Q134" i="8"/>
  <c r="P135" i="8" s="1"/>
  <c r="A136" i="8"/>
  <c r="B136" i="8" s="1"/>
  <c r="R135" i="8" l="1"/>
  <c r="K136" i="5"/>
  <c r="O136" i="8" s="1"/>
  <c r="F136" i="5"/>
  <c r="J136" i="8" s="1"/>
  <c r="A138" i="5"/>
  <c r="M137" i="5" s="1"/>
  <c r="Q135" i="8"/>
  <c r="P136" i="8" s="1"/>
  <c r="A137" i="8"/>
  <c r="B137" i="8" s="1"/>
  <c r="R136" i="8" l="1"/>
  <c r="F137" i="5"/>
  <c r="J137" i="8" s="1"/>
  <c r="K137" i="5"/>
  <c r="O137" i="8" s="1"/>
  <c r="A139" i="5"/>
  <c r="M138" i="5" s="1"/>
  <c r="Q136" i="8"/>
  <c r="P137" i="8" s="1"/>
  <c r="A138" i="8"/>
  <c r="B138" i="8" s="1"/>
  <c r="R137" i="8" l="1"/>
  <c r="F138" i="5"/>
  <c r="J138" i="8" s="1"/>
  <c r="K138" i="5"/>
  <c r="O138" i="8" s="1"/>
  <c r="A140" i="5"/>
  <c r="M139" i="5" s="1"/>
  <c r="Q137" i="8"/>
  <c r="P138" i="8" s="1"/>
  <c r="A139" i="8"/>
  <c r="B139" i="8" s="1"/>
  <c r="R138" i="8" l="1"/>
  <c r="F139" i="5"/>
  <c r="J139" i="8" s="1"/>
  <c r="K139" i="5"/>
  <c r="O139" i="8" s="1"/>
  <c r="A141" i="5"/>
  <c r="M140" i="5" s="1"/>
  <c r="Q138" i="8"/>
  <c r="P139" i="8" s="1"/>
  <c r="A140" i="8"/>
  <c r="B140" i="8" s="1"/>
  <c r="R139" i="8" l="1"/>
  <c r="K140" i="5"/>
  <c r="O140" i="8" s="1"/>
  <c r="F140" i="5"/>
  <c r="J140" i="8" s="1"/>
  <c r="A142" i="5"/>
  <c r="M141" i="5" s="1"/>
  <c r="Q139" i="8"/>
  <c r="P140" i="8" s="1"/>
  <c r="A141" i="8"/>
  <c r="B141" i="8" s="1"/>
  <c r="R140" i="8" l="1"/>
  <c r="K141" i="5"/>
  <c r="O141" i="8" s="1"/>
  <c r="F141" i="5"/>
  <c r="J141" i="8" s="1"/>
  <c r="A143" i="5"/>
  <c r="M142" i="5" s="1"/>
  <c r="Q140" i="8"/>
  <c r="P141" i="8" s="1"/>
  <c r="A142" i="8"/>
  <c r="B142" i="8" s="1"/>
  <c r="R141" i="8" l="1"/>
  <c r="K142" i="5"/>
  <c r="O142" i="8" s="1"/>
  <c r="F142" i="5"/>
  <c r="J142" i="8" s="1"/>
  <c r="A144" i="5"/>
  <c r="M143" i="5" s="1"/>
  <c r="Q141" i="8"/>
  <c r="P142" i="8" s="1"/>
  <c r="A143" i="8"/>
  <c r="B143" i="8" s="1"/>
  <c r="R142" i="8" l="1"/>
  <c r="A145" i="5"/>
  <c r="M144" i="5"/>
  <c r="K143" i="5"/>
  <c r="O143" i="8" s="1"/>
  <c r="F143" i="5"/>
  <c r="J143" i="8" s="1"/>
  <c r="Q142" i="8"/>
  <c r="P143" i="8" s="1"/>
  <c r="A144" i="8"/>
  <c r="B144" i="8" s="1"/>
  <c r="R143" i="8" l="1"/>
  <c r="F144" i="5"/>
  <c r="J144" i="8" s="1"/>
  <c r="K144" i="5"/>
  <c r="O144" i="8" s="1"/>
  <c r="A146" i="5"/>
  <c r="M145" i="5" s="1"/>
  <c r="Q143" i="8"/>
  <c r="P144" i="8" s="1"/>
  <c r="A145" i="8"/>
  <c r="B145" i="8" s="1"/>
  <c r="R144" i="8" l="1"/>
  <c r="F145" i="5"/>
  <c r="J145" i="8" s="1"/>
  <c r="K145" i="5"/>
  <c r="O145" i="8" s="1"/>
  <c r="A147" i="5"/>
  <c r="M146" i="5" s="1"/>
  <c r="Q144" i="8"/>
  <c r="P145" i="8" s="1"/>
  <c r="A146" i="8"/>
  <c r="B146" i="8" s="1"/>
  <c r="R145" i="8" l="1"/>
  <c r="K146" i="5"/>
  <c r="O146" i="8" s="1"/>
  <c r="F146" i="5"/>
  <c r="J146" i="8" s="1"/>
  <c r="A148" i="5"/>
  <c r="M147" i="5" s="1"/>
  <c r="Q145" i="8"/>
  <c r="P146" i="8" s="1"/>
  <c r="A147" i="8"/>
  <c r="B147" i="8" s="1"/>
  <c r="R146" i="8" l="1"/>
  <c r="F147" i="5"/>
  <c r="J147" i="8" s="1"/>
  <c r="K147" i="5"/>
  <c r="O147" i="8" s="1"/>
  <c r="A149" i="5"/>
  <c r="M148" i="5" s="1"/>
  <c r="Q146" i="8"/>
  <c r="P147" i="8" s="1"/>
  <c r="A148" i="8"/>
  <c r="B148" i="8" s="1"/>
  <c r="R147" i="8" l="1"/>
  <c r="K148" i="5"/>
  <c r="O148" i="8" s="1"/>
  <c r="F148" i="5"/>
  <c r="J148" i="8" s="1"/>
  <c r="A150" i="5"/>
  <c r="M149" i="5" s="1"/>
  <c r="Q147" i="8"/>
  <c r="P148" i="8" s="1"/>
  <c r="A149" i="8"/>
  <c r="B149" i="8" s="1"/>
  <c r="R148" i="8" l="1"/>
  <c r="K149" i="5"/>
  <c r="O149" i="8" s="1"/>
  <c r="F149" i="5"/>
  <c r="J149" i="8" s="1"/>
  <c r="A151" i="5"/>
  <c r="M150" i="5" s="1"/>
  <c r="Q148" i="8"/>
  <c r="P149" i="8" s="1"/>
  <c r="A150" i="8"/>
  <c r="B150" i="8" s="1"/>
  <c r="R149" i="8" l="1"/>
  <c r="K150" i="5"/>
  <c r="O150" i="8" s="1"/>
  <c r="F150" i="5"/>
  <c r="J150" i="8" s="1"/>
  <c r="A152" i="5"/>
  <c r="M151" i="5" s="1"/>
  <c r="Q149" i="8"/>
  <c r="P150" i="8" s="1"/>
  <c r="A151" i="8"/>
  <c r="B151" i="8" s="1"/>
  <c r="R150" i="8" l="1"/>
  <c r="K151" i="5"/>
  <c r="O151" i="8" s="1"/>
  <c r="F151" i="5"/>
  <c r="J151" i="8" s="1"/>
  <c r="A153" i="5"/>
  <c r="M152" i="5" s="1"/>
  <c r="Q150" i="8"/>
  <c r="P151" i="8" s="1"/>
  <c r="A152" i="8"/>
  <c r="B152" i="8" s="1"/>
  <c r="R151" i="8" l="1"/>
  <c r="K152" i="5"/>
  <c r="O152" i="8" s="1"/>
  <c r="F152" i="5"/>
  <c r="J152" i="8" s="1"/>
  <c r="A154" i="5"/>
  <c r="M153" i="5" s="1"/>
  <c r="Q151" i="8"/>
  <c r="P152" i="8" s="1"/>
  <c r="A153" i="8"/>
  <c r="B153" i="8" s="1"/>
  <c r="R152" i="8" l="1"/>
  <c r="F153" i="5"/>
  <c r="J153" i="8" s="1"/>
  <c r="K153" i="5"/>
  <c r="O153" i="8" s="1"/>
  <c r="A155" i="5"/>
  <c r="M154" i="5" s="1"/>
  <c r="Q152" i="8"/>
  <c r="P153" i="8" s="1"/>
  <c r="A154" i="8"/>
  <c r="B154" i="8" s="1"/>
  <c r="R153" i="8" l="1"/>
  <c r="F154" i="5"/>
  <c r="J154" i="8" s="1"/>
  <c r="K154" i="5"/>
  <c r="O154" i="8" s="1"/>
  <c r="A156" i="5"/>
  <c r="M155" i="5" s="1"/>
  <c r="Q153" i="8"/>
  <c r="P154" i="8" s="1"/>
  <c r="A155" i="8"/>
  <c r="B155" i="8" s="1"/>
  <c r="R154" i="8" l="1"/>
  <c r="K155" i="5"/>
  <c r="O155" i="8" s="1"/>
  <c r="F155" i="5"/>
  <c r="J155" i="8" s="1"/>
  <c r="A157" i="5"/>
  <c r="M156" i="5" s="1"/>
  <c r="Q154" i="8"/>
  <c r="P155" i="8" s="1"/>
  <c r="A156" i="8"/>
  <c r="B156" i="8" s="1"/>
  <c r="R155" i="8" l="1"/>
  <c r="A158" i="5"/>
  <c r="M157" i="5"/>
  <c r="K156" i="5"/>
  <c r="O156" i="8" s="1"/>
  <c r="F156" i="5"/>
  <c r="J156" i="8" s="1"/>
  <c r="Q155" i="8"/>
  <c r="P156" i="8" s="1"/>
  <c r="A157" i="8"/>
  <c r="B157" i="8" s="1"/>
  <c r="R156" i="8" l="1"/>
  <c r="K157" i="5"/>
  <c r="O157" i="8" s="1"/>
  <c r="F157" i="5"/>
  <c r="J157" i="8" s="1"/>
  <c r="A159" i="5"/>
  <c r="M158" i="5" s="1"/>
  <c r="Q156" i="8"/>
  <c r="P157" i="8" s="1"/>
  <c r="A158" i="8"/>
  <c r="B158" i="8" s="1"/>
  <c r="R157" i="8" l="1"/>
  <c r="K158" i="5"/>
  <c r="O158" i="8" s="1"/>
  <c r="F158" i="5"/>
  <c r="J158" i="8" s="1"/>
  <c r="A160" i="5"/>
  <c r="M159" i="5" s="1"/>
  <c r="Q157" i="8"/>
  <c r="P158" i="8" s="1"/>
  <c r="A159" i="8"/>
  <c r="B159" i="8" s="1"/>
  <c r="R158" i="8" l="1"/>
  <c r="K159" i="5"/>
  <c r="O159" i="8" s="1"/>
  <c r="F159" i="5"/>
  <c r="J159" i="8" s="1"/>
  <c r="A161" i="5"/>
  <c r="M160" i="5" s="1"/>
  <c r="Q158" i="8"/>
  <c r="P159" i="8" s="1"/>
  <c r="A160" i="8"/>
  <c r="B160" i="8" s="1"/>
  <c r="R159" i="8" l="1"/>
  <c r="A162" i="5"/>
  <c r="M161" i="5" s="1"/>
  <c r="F160" i="5"/>
  <c r="J160" i="8" s="1"/>
  <c r="K160" i="5"/>
  <c r="O160" i="8" s="1"/>
  <c r="Q159" i="8"/>
  <c r="P160" i="8" s="1"/>
  <c r="A161" i="8"/>
  <c r="B161" i="8" s="1"/>
  <c r="R160" i="8" l="1"/>
  <c r="F161" i="5"/>
  <c r="J161" i="8" s="1"/>
  <c r="K161" i="5"/>
  <c r="O161" i="8" s="1"/>
  <c r="A163" i="5"/>
  <c r="M162" i="5" s="1"/>
  <c r="Q160" i="8"/>
  <c r="P161" i="8" s="1"/>
  <c r="A162" i="8"/>
  <c r="B162" i="8" s="1"/>
  <c r="R161" i="8" l="1"/>
  <c r="F162" i="5"/>
  <c r="J162" i="8" s="1"/>
  <c r="K162" i="5"/>
  <c r="O162" i="8" s="1"/>
  <c r="A164" i="5"/>
  <c r="M163" i="5" s="1"/>
  <c r="Q161" i="8"/>
  <c r="P162" i="8" s="1"/>
  <c r="A163" i="8"/>
  <c r="B163" i="8" s="1"/>
  <c r="R162" i="8" l="1"/>
  <c r="A165" i="5"/>
  <c r="M164" i="5" s="1"/>
  <c r="F163" i="5"/>
  <c r="J163" i="8" s="1"/>
  <c r="K163" i="5"/>
  <c r="O163" i="8" s="1"/>
  <c r="Q162" i="8"/>
  <c r="P163" i="8" s="1"/>
  <c r="A164" i="8"/>
  <c r="B164" i="8" s="1"/>
  <c r="R163" i="8" l="1"/>
  <c r="F164" i="5"/>
  <c r="J164" i="8" s="1"/>
  <c r="K164" i="5"/>
  <c r="O164" i="8" s="1"/>
  <c r="A166" i="5"/>
  <c r="M165" i="5" s="1"/>
  <c r="Q163" i="8"/>
  <c r="P164" i="8" s="1"/>
  <c r="A165" i="8"/>
  <c r="B165" i="8" s="1"/>
  <c r="R164" i="8" l="1"/>
  <c r="F165" i="5"/>
  <c r="J165" i="8" s="1"/>
  <c r="K165" i="5"/>
  <c r="O165" i="8" s="1"/>
  <c r="A167" i="5"/>
  <c r="M166" i="5" s="1"/>
  <c r="Q164" i="8"/>
  <c r="P165" i="8" s="1"/>
  <c r="A166" i="8"/>
  <c r="B166" i="8" s="1"/>
  <c r="R165" i="8" l="1"/>
  <c r="F166" i="5"/>
  <c r="J166" i="8" s="1"/>
  <c r="K166" i="5"/>
  <c r="O166" i="8" s="1"/>
  <c r="A168" i="5"/>
  <c r="M167" i="5" s="1"/>
  <c r="Q165" i="8"/>
  <c r="P166" i="8" s="1"/>
  <c r="A167" i="8"/>
  <c r="B167" i="8" s="1"/>
  <c r="R166" i="8" l="1"/>
  <c r="F167" i="5"/>
  <c r="J167" i="8" s="1"/>
  <c r="K167" i="5"/>
  <c r="O167" i="8" s="1"/>
  <c r="A169" i="5"/>
  <c r="M168" i="5" s="1"/>
  <c r="Q166" i="8"/>
  <c r="P167" i="8" s="1"/>
  <c r="A168" i="8"/>
  <c r="B168" i="8" s="1"/>
  <c r="R167" i="8" l="1"/>
  <c r="A170" i="5"/>
  <c r="M169" i="5" s="1"/>
  <c r="F168" i="5"/>
  <c r="J168" i="8" s="1"/>
  <c r="K168" i="5"/>
  <c r="O168" i="8" s="1"/>
  <c r="Q167" i="8"/>
  <c r="P168" i="8" s="1"/>
  <c r="A169" i="8"/>
  <c r="B169" i="8" s="1"/>
  <c r="R168" i="8" l="1"/>
  <c r="F169" i="5"/>
  <c r="J169" i="8" s="1"/>
  <c r="K169" i="5"/>
  <c r="O169" i="8" s="1"/>
  <c r="A171" i="5"/>
  <c r="M170" i="5" s="1"/>
  <c r="Q168" i="8"/>
  <c r="P169" i="8" s="1"/>
  <c r="A170" i="8"/>
  <c r="B170" i="8" s="1"/>
  <c r="R169" i="8" l="1"/>
  <c r="F170" i="5"/>
  <c r="J170" i="8" s="1"/>
  <c r="K170" i="5"/>
  <c r="O170" i="8" s="1"/>
  <c r="A172" i="5"/>
  <c r="M171" i="5" s="1"/>
  <c r="Q169" i="8"/>
  <c r="P170" i="8" s="1"/>
  <c r="A171" i="8"/>
  <c r="B171" i="8" s="1"/>
  <c r="R170" i="8" l="1"/>
  <c r="K171" i="5"/>
  <c r="O171" i="8" s="1"/>
  <c r="F171" i="5"/>
  <c r="J171" i="8" s="1"/>
  <c r="A173" i="5"/>
  <c r="M172" i="5" s="1"/>
  <c r="Q170" i="8"/>
  <c r="P171" i="8" s="1"/>
  <c r="A172" i="8"/>
  <c r="B172" i="8" s="1"/>
  <c r="R171" i="8" l="1"/>
  <c r="K172" i="5"/>
  <c r="O172" i="8" s="1"/>
  <c r="F172" i="5"/>
  <c r="J172" i="8" s="1"/>
  <c r="A174" i="5"/>
  <c r="M173" i="5" s="1"/>
  <c r="Q171" i="8"/>
  <c r="P172" i="8" s="1"/>
  <c r="A173" i="8"/>
  <c r="B173" i="8" s="1"/>
  <c r="R172" i="8" l="1"/>
  <c r="F173" i="5"/>
  <c r="J173" i="8" s="1"/>
  <c r="K173" i="5"/>
  <c r="O173" i="8" s="1"/>
  <c r="A175" i="5"/>
  <c r="M174" i="5" s="1"/>
  <c r="Q172" i="8"/>
  <c r="P173" i="8" s="1"/>
  <c r="A174" i="8"/>
  <c r="B174" i="8" s="1"/>
  <c r="R173" i="8" l="1"/>
  <c r="A176" i="5"/>
  <c r="M175" i="5" s="1"/>
  <c r="K174" i="5"/>
  <c r="O174" i="8" s="1"/>
  <c r="F174" i="5"/>
  <c r="J174" i="8" s="1"/>
  <c r="Q173" i="8"/>
  <c r="P174" i="8" s="1"/>
  <c r="A175" i="8"/>
  <c r="B175" i="8" s="1"/>
  <c r="R174" i="8" l="1"/>
  <c r="K175" i="5"/>
  <c r="O175" i="8" s="1"/>
  <c r="F175" i="5"/>
  <c r="J175" i="8" s="1"/>
  <c r="A177" i="5"/>
  <c r="M176" i="5" s="1"/>
  <c r="Q174" i="8"/>
  <c r="P175" i="8" s="1"/>
  <c r="A176" i="8"/>
  <c r="B176" i="8" s="1"/>
  <c r="R175" i="8" l="1"/>
  <c r="A178" i="5"/>
  <c r="M177" i="5"/>
  <c r="F176" i="5"/>
  <c r="J176" i="8" s="1"/>
  <c r="K176" i="5"/>
  <c r="O176" i="8" s="1"/>
  <c r="Q175" i="8"/>
  <c r="P176" i="8" s="1"/>
  <c r="A177" i="8"/>
  <c r="B177" i="8" s="1"/>
  <c r="R176" i="8" l="1"/>
  <c r="F177" i="5"/>
  <c r="J177" i="8" s="1"/>
  <c r="K177" i="5"/>
  <c r="O177" i="8" s="1"/>
  <c r="A179" i="5"/>
  <c r="M178" i="5" s="1"/>
  <c r="Q176" i="8"/>
  <c r="P177" i="8" s="1"/>
  <c r="A178" i="8"/>
  <c r="B178" i="8" s="1"/>
  <c r="R177" i="8" l="1"/>
  <c r="F178" i="5"/>
  <c r="J178" i="8" s="1"/>
  <c r="K178" i="5"/>
  <c r="O178" i="8" s="1"/>
  <c r="A180" i="5"/>
  <c r="M179" i="5" s="1"/>
  <c r="Q177" i="8"/>
  <c r="P178" i="8" s="1"/>
  <c r="A179" i="8"/>
  <c r="B179" i="8" s="1"/>
  <c r="R178" i="8" l="1"/>
  <c r="K179" i="5"/>
  <c r="O179" i="8" s="1"/>
  <c r="F179" i="5"/>
  <c r="J179" i="8" s="1"/>
  <c r="A181" i="5"/>
  <c r="M180" i="5"/>
  <c r="Q178" i="8"/>
  <c r="P179" i="8" s="1"/>
  <c r="A180" i="8"/>
  <c r="B180" i="8" s="1"/>
  <c r="R179" i="8" l="1"/>
  <c r="A182" i="5"/>
  <c r="M181" i="5" s="1"/>
  <c r="F180" i="5"/>
  <c r="J180" i="8" s="1"/>
  <c r="K180" i="5"/>
  <c r="O180" i="8" s="1"/>
  <c r="Q179" i="8"/>
  <c r="P180" i="8" s="1"/>
  <c r="A181" i="8"/>
  <c r="B181" i="8" s="1"/>
  <c r="R180" i="8" l="1"/>
  <c r="F181" i="5"/>
  <c r="J181" i="8" s="1"/>
  <c r="K181" i="5"/>
  <c r="O181" i="8" s="1"/>
  <c r="A183" i="5"/>
  <c r="M182" i="5" s="1"/>
  <c r="Q180" i="8"/>
  <c r="P181" i="8" s="1"/>
  <c r="A182" i="8"/>
  <c r="B182" i="8" s="1"/>
  <c r="R181" i="8" l="1"/>
  <c r="F182" i="5"/>
  <c r="J182" i="8" s="1"/>
  <c r="K182" i="5"/>
  <c r="O182" i="8" s="1"/>
  <c r="A184" i="5"/>
  <c r="M183" i="5" s="1"/>
  <c r="Q181" i="8"/>
  <c r="P182" i="8" s="1"/>
  <c r="A183" i="8"/>
  <c r="B183" i="8" s="1"/>
  <c r="R182" i="8" l="1"/>
  <c r="F183" i="5"/>
  <c r="J183" i="8" s="1"/>
  <c r="K183" i="5"/>
  <c r="O183" i="8" s="1"/>
  <c r="A185" i="5"/>
  <c r="M184" i="5" s="1"/>
  <c r="Q182" i="8"/>
  <c r="P183" i="8" s="1"/>
  <c r="A184" i="8"/>
  <c r="B184" i="8" s="1"/>
  <c r="R183" i="8" l="1"/>
  <c r="F184" i="5"/>
  <c r="J184" i="8" s="1"/>
  <c r="K184" i="5"/>
  <c r="O184" i="8" s="1"/>
  <c r="A186" i="5"/>
  <c r="M185" i="5" s="1"/>
  <c r="Q183" i="8"/>
  <c r="P184" i="8" s="1"/>
  <c r="A185" i="8"/>
  <c r="B185" i="8" s="1"/>
  <c r="R184" i="8" l="1"/>
  <c r="F185" i="5"/>
  <c r="J185" i="8" s="1"/>
  <c r="K185" i="5"/>
  <c r="O185" i="8" s="1"/>
  <c r="A187" i="5"/>
  <c r="M186" i="5" s="1"/>
  <c r="Q184" i="8"/>
  <c r="P185" i="8" s="1"/>
  <c r="A186" i="8"/>
  <c r="B186" i="8" s="1"/>
  <c r="R185" i="8" l="1"/>
  <c r="A188" i="5"/>
  <c r="M187" i="5" s="1"/>
  <c r="F186" i="5"/>
  <c r="J186" i="8" s="1"/>
  <c r="K186" i="5"/>
  <c r="O186" i="8" s="1"/>
  <c r="Q185" i="8"/>
  <c r="P186" i="8" s="1"/>
  <c r="A187" i="8"/>
  <c r="B187" i="8" s="1"/>
  <c r="R186" i="8" l="1"/>
  <c r="F187" i="5"/>
  <c r="J187" i="8" s="1"/>
  <c r="K187" i="5"/>
  <c r="O187" i="8" s="1"/>
  <c r="A189" i="5"/>
  <c r="M188" i="5" s="1"/>
  <c r="Q186" i="8"/>
  <c r="P187" i="8" s="1"/>
  <c r="A188" i="8"/>
  <c r="B188" i="8" s="1"/>
  <c r="R187" i="8" l="1"/>
  <c r="F188" i="5"/>
  <c r="J188" i="8" s="1"/>
  <c r="K188" i="5"/>
  <c r="O188" i="8" s="1"/>
  <c r="A190" i="5"/>
  <c r="M189" i="5" s="1"/>
  <c r="Q187" i="8"/>
  <c r="P188" i="8" s="1"/>
  <c r="A189" i="8"/>
  <c r="B189" i="8" s="1"/>
  <c r="R188" i="8" l="1"/>
  <c r="K189" i="5"/>
  <c r="O189" i="8" s="1"/>
  <c r="F189" i="5"/>
  <c r="J189" i="8" s="1"/>
  <c r="A191" i="5"/>
  <c r="M190" i="5" s="1"/>
  <c r="Q188" i="8"/>
  <c r="P189" i="8" s="1"/>
  <c r="A190" i="8"/>
  <c r="B190" i="8" s="1"/>
  <c r="R189" i="8" l="1"/>
  <c r="K190" i="5"/>
  <c r="O190" i="8" s="1"/>
  <c r="F190" i="5"/>
  <c r="J190" i="8" s="1"/>
  <c r="A192" i="5"/>
  <c r="M191" i="5" s="1"/>
  <c r="Q189" i="8"/>
  <c r="P190" i="8" s="1"/>
  <c r="A191" i="8"/>
  <c r="B191" i="8" s="1"/>
  <c r="R190" i="8" l="1"/>
  <c r="K191" i="5"/>
  <c r="O191" i="8" s="1"/>
  <c r="F191" i="5"/>
  <c r="J191" i="8" s="1"/>
  <c r="A193" i="5"/>
  <c r="M192" i="5" s="1"/>
  <c r="Q190" i="8"/>
  <c r="P191" i="8" s="1"/>
  <c r="A192" i="8"/>
  <c r="B192" i="8" s="1"/>
  <c r="R191" i="8" l="1"/>
  <c r="F192" i="5"/>
  <c r="J192" i="8" s="1"/>
  <c r="K192" i="5"/>
  <c r="O192" i="8" s="1"/>
  <c r="A194" i="5"/>
  <c r="M193" i="5" s="1"/>
  <c r="Q191" i="8"/>
  <c r="P192" i="8" s="1"/>
  <c r="A193" i="8"/>
  <c r="B193" i="8" s="1"/>
  <c r="R192" i="8" l="1"/>
  <c r="F193" i="5"/>
  <c r="J193" i="8" s="1"/>
  <c r="K193" i="5"/>
  <c r="O193" i="8" s="1"/>
  <c r="A195" i="5"/>
  <c r="M194" i="5" s="1"/>
  <c r="Q192" i="8"/>
  <c r="P193" i="8" s="1"/>
  <c r="A194" i="8"/>
  <c r="B194" i="8" s="1"/>
  <c r="R193" i="8" l="1"/>
  <c r="A196" i="5"/>
  <c r="M195" i="5" s="1"/>
  <c r="F194" i="5"/>
  <c r="J194" i="8" s="1"/>
  <c r="K194" i="5"/>
  <c r="O194" i="8" s="1"/>
  <c r="Q193" i="8"/>
  <c r="P194" i="8" s="1"/>
  <c r="A195" i="8"/>
  <c r="B195" i="8" s="1"/>
  <c r="R194" i="8" l="1"/>
  <c r="F195" i="5"/>
  <c r="J195" i="8" s="1"/>
  <c r="K195" i="5"/>
  <c r="O195" i="8" s="1"/>
  <c r="A197" i="5"/>
  <c r="M196" i="5" s="1"/>
  <c r="Q194" i="8"/>
  <c r="P195" i="8" s="1"/>
  <c r="A196" i="8"/>
  <c r="B196" i="8" s="1"/>
  <c r="R195" i="8" l="1"/>
  <c r="K196" i="5"/>
  <c r="O196" i="8" s="1"/>
  <c r="F196" i="5"/>
  <c r="J196" i="8" s="1"/>
  <c r="A198" i="5"/>
  <c r="M197" i="5" s="1"/>
  <c r="Q195" i="8"/>
  <c r="P196" i="8" s="1"/>
  <c r="A197" i="8"/>
  <c r="B197" i="8" s="1"/>
  <c r="R196" i="8" l="1"/>
  <c r="K197" i="5"/>
  <c r="O197" i="8" s="1"/>
  <c r="F197" i="5"/>
  <c r="J197" i="8" s="1"/>
  <c r="A199" i="5"/>
  <c r="M198" i="5" s="1"/>
  <c r="Q196" i="8"/>
  <c r="P197" i="8" s="1"/>
  <c r="A198" i="8"/>
  <c r="B198" i="8" s="1"/>
  <c r="R197" i="8" l="1"/>
  <c r="K198" i="5"/>
  <c r="O198" i="8" s="1"/>
  <c r="F198" i="5"/>
  <c r="J198" i="8" s="1"/>
  <c r="A200" i="5"/>
  <c r="M199" i="5" s="1"/>
  <c r="Q197" i="8"/>
  <c r="P198" i="8" s="1"/>
  <c r="A199" i="8"/>
  <c r="B199" i="8" s="1"/>
  <c r="R198" i="8" l="1"/>
  <c r="K199" i="5"/>
  <c r="O199" i="8" s="1"/>
  <c r="F199" i="5"/>
  <c r="J199" i="8" s="1"/>
  <c r="A201" i="5"/>
  <c r="M200" i="5" s="1"/>
  <c r="Q198" i="8"/>
  <c r="P199" i="8" s="1"/>
  <c r="A200" i="8"/>
  <c r="B200" i="8" s="1"/>
  <c r="R199" i="8" l="1"/>
  <c r="K200" i="5"/>
  <c r="O200" i="8" s="1"/>
  <c r="F200" i="5"/>
  <c r="J200" i="8" s="1"/>
  <c r="A202" i="5"/>
  <c r="M201" i="5" s="1"/>
  <c r="Q199" i="8"/>
  <c r="P200" i="8" s="1"/>
  <c r="A201" i="8"/>
  <c r="B201" i="8" s="1"/>
  <c r="R200" i="8" l="1"/>
  <c r="A203" i="5"/>
  <c r="M202" i="5" s="1"/>
  <c r="F201" i="5"/>
  <c r="J201" i="8" s="1"/>
  <c r="K201" i="5"/>
  <c r="O201" i="8" s="1"/>
  <c r="Q200" i="8"/>
  <c r="P201" i="8" s="1"/>
  <c r="A202" i="8"/>
  <c r="B202" i="8" s="1"/>
  <c r="R201" i="8" l="1"/>
  <c r="F202" i="5"/>
  <c r="J202" i="8" s="1"/>
  <c r="K202" i="5"/>
  <c r="O202" i="8" s="1"/>
  <c r="A204" i="5"/>
  <c r="M203" i="5" s="1"/>
  <c r="Q201" i="8"/>
  <c r="P202" i="8" s="1"/>
  <c r="A203" i="8"/>
  <c r="B203" i="8" s="1"/>
  <c r="R202" i="8" l="1"/>
  <c r="F203" i="5"/>
  <c r="J203" i="8" s="1"/>
  <c r="K203" i="5"/>
  <c r="O203" i="8" s="1"/>
  <c r="A205" i="5"/>
  <c r="M204" i="5" s="1"/>
  <c r="Q202" i="8"/>
  <c r="P203" i="8" s="1"/>
  <c r="A204" i="8"/>
  <c r="B204" i="8" s="1"/>
  <c r="R203" i="8" l="1"/>
  <c r="F204" i="5"/>
  <c r="J204" i="8" s="1"/>
  <c r="K204" i="5"/>
  <c r="O204" i="8" s="1"/>
  <c r="A206" i="5"/>
  <c r="M205" i="5" s="1"/>
  <c r="Q203" i="8"/>
  <c r="P204" i="8" s="1"/>
  <c r="A205" i="8"/>
  <c r="B205" i="8" s="1"/>
  <c r="R204" i="8" l="1"/>
  <c r="K205" i="5"/>
  <c r="O205" i="8" s="1"/>
  <c r="F205" i="5"/>
  <c r="J205" i="8" s="1"/>
  <c r="A207" i="5"/>
  <c r="M206" i="5" s="1"/>
  <c r="Q204" i="8"/>
  <c r="P205" i="8" s="1"/>
  <c r="A206" i="8"/>
  <c r="B206" i="8" s="1"/>
  <c r="R205" i="8" l="1"/>
  <c r="F206" i="5"/>
  <c r="J206" i="8" s="1"/>
  <c r="K206" i="5"/>
  <c r="O206" i="8" s="1"/>
  <c r="A208" i="5"/>
  <c r="M207" i="5" s="1"/>
  <c r="Q205" i="8"/>
  <c r="P206" i="8" s="1"/>
  <c r="A207" i="8"/>
  <c r="B207" i="8" s="1"/>
  <c r="R206" i="8" l="1"/>
  <c r="K207" i="5"/>
  <c r="O207" i="8" s="1"/>
  <c r="F207" i="5"/>
  <c r="J207" i="8" s="1"/>
  <c r="A209" i="5"/>
  <c r="Q206" i="8"/>
  <c r="P207" i="8" s="1"/>
  <c r="A208" i="8"/>
  <c r="B208" i="8" s="1"/>
  <c r="R207" i="8" l="1"/>
  <c r="A210" i="5"/>
  <c r="M209" i="5"/>
  <c r="M208" i="5"/>
  <c r="Q207" i="8"/>
  <c r="P208" i="8" s="1"/>
  <c r="A209" i="8"/>
  <c r="B209" i="8" s="1"/>
  <c r="R208" i="8" l="1"/>
  <c r="F208" i="5"/>
  <c r="J208" i="8" s="1"/>
  <c r="K208" i="5"/>
  <c r="O208" i="8" s="1"/>
  <c r="Q208" i="8" s="1"/>
  <c r="P209" i="8" s="1"/>
  <c r="F209" i="5"/>
  <c r="J209" i="8" s="1"/>
  <c r="K209" i="5"/>
  <c r="O209" i="8" s="1"/>
  <c r="A211" i="5"/>
  <c r="M210" i="5" s="1"/>
  <c r="A210" i="8"/>
  <c r="B210" i="8" s="1"/>
  <c r="R209" i="8" l="1"/>
  <c r="F210" i="5"/>
  <c r="J210" i="8" s="1"/>
  <c r="K210" i="5"/>
  <c r="O210" i="8" s="1"/>
  <c r="A212" i="5"/>
  <c r="M211" i="5" s="1"/>
  <c r="Q209" i="8"/>
  <c r="P210" i="8" s="1"/>
  <c r="A211" i="8"/>
  <c r="B211" i="8" s="1"/>
  <c r="R210" i="8" l="1"/>
  <c r="K211" i="5"/>
  <c r="O211" i="8" s="1"/>
  <c r="F211" i="5"/>
  <c r="J211" i="8" s="1"/>
  <c r="A213" i="5"/>
  <c r="M212" i="5" s="1"/>
  <c r="Q210" i="8"/>
  <c r="P211" i="8" s="1"/>
  <c r="A212" i="8"/>
  <c r="B212" i="8" s="1"/>
  <c r="R211" i="8" l="1"/>
  <c r="K212" i="5"/>
  <c r="O212" i="8" s="1"/>
  <c r="F212" i="5"/>
  <c r="J212" i="8" s="1"/>
  <c r="A214" i="5"/>
  <c r="M213" i="5" s="1"/>
  <c r="Q211" i="8"/>
  <c r="P212" i="8" s="1"/>
  <c r="A213" i="8"/>
  <c r="B213" i="8" s="1"/>
  <c r="R212" i="8" l="1"/>
  <c r="K213" i="5"/>
  <c r="O213" i="8" s="1"/>
  <c r="F213" i="5"/>
  <c r="J213" i="8" s="1"/>
  <c r="A215" i="5"/>
  <c r="M214" i="5" s="1"/>
  <c r="Q212" i="8"/>
  <c r="P213" i="8" s="1"/>
  <c r="A214" i="8"/>
  <c r="B214" i="8" s="1"/>
  <c r="R213" i="8" l="1"/>
  <c r="F214" i="5"/>
  <c r="J214" i="8" s="1"/>
  <c r="K214" i="5"/>
  <c r="O214" i="8" s="1"/>
  <c r="A216" i="5"/>
  <c r="M215" i="5" s="1"/>
  <c r="Q213" i="8"/>
  <c r="P214" i="8" s="1"/>
  <c r="A215" i="8"/>
  <c r="B215" i="8" s="1"/>
  <c r="R214" i="8" l="1"/>
  <c r="F215" i="5"/>
  <c r="J215" i="8" s="1"/>
  <c r="K215" i="5"/>
  <c r="O215" i="8" s="1"/>
  <c r="A217" i="5"/>
  <c r="M216" i="5" s="1"/>
  <c r="Q214" i="8"/>
  <c r="P215" i="8" s="1"/>
  <c r="A216" i="8"/>
  <c r="B216" i="8" s="1"/>
  <c r="R215" i="8" l="1"/>
  <c r="A218" i="5"/>
  <c r="M217" i="5" s="1"/>
  <c r="F216" i="5"/>
  <c r="J216" i="8" s="1"/>
  <c r="K216" i="5"/>
  <c r="O216" i="8" s="1"/>
  <c r="Q215" i="8"/>
  <c r="P216" i="8" s="1"/>
  <c r="A217" i="8"/>
  <c r="B217" i="8" s="1"/>
  <c r="R216" i="8" l="1"/>
  <c r="F217" i="5"/>
  <c r="J217" i="8" s="1"/>
  <c r="K217" i="5"/>
  <c r="O217" i="8" s="1"/>
  <c r="A219" i="5"/>
  <c r="M218" i="5" s="1"/>
  <c r="Q216" i="8"/>
  <c r="P217" i="8" s="1"/>
  <c r="A218" i="8"/>
  <c r="B218" i="8" s="1"/>
  <c r="R217" i="8" l="1"/>
  <c r="F218" i="5"/>
  <c r="J218" i="8" s="1"/>
  <c r="K218" i="5"/>
  <c r="O218" i="8" s="1"/>
  <c r="A220" i="5"/>
  <c r="M219" i="5" s="1"/>
  <c r="Q217" i="8"/>
  <c r="P218" i="8" s="1"/>
  <c r="A219" i="8"/>
  <c r="B219" i="8" s="1"/>
  <c r="R218" i="8" l="1"/>
  <c r="F219" i="5"/>
  <c r="J219" i="8" s="1"/>
  <c r="K219" i="5"/>
  <c r="O219" i="8" s="1"/>
  <c r="A221" i="5"/>
  <c r="M220" i="5" s="1"/>
  <c r="Q218" i="8"/>
  <c r="P219" i="8" s="1"/>
  <c r="A220" i="8"/>
  <c r="B220" i="8" s="1"/>
  <c r="R219" i="8" l="1"/>
  <c r="A222" i="5"/>
  <c r="M221" i="5" s="1"/>
  <c r="K220" i="5"/>
  <c r="O220" i="8" s="1"/>
  <c r="F220" i="5"/>
  <c r="J220" i="8" s="1"/>
  <c r="Q219" i="8"/>
  <c r="P220" i="8" s="1"/>
  <c r="A221" i="8"/>
  <c r="B221" i="8" s="1"/>
  <c r="R220" i="8" l="1"/>
  <c r="K221" i="5"/>
  <c r="O221" i="8" s="1"/>
  <c r="F221" i="5"/>
  <c r="J221" i="8" s="1"/>
  <c r="A223" i="5"/>
  <c r="M222" i="5" s="1"/>
  <c r="Q220" i="8"/>
  <c r="P221" i="8" s="1"/>
  <c r="A222" i="8"/>
  <c r="B222" i="8" s="1"/>
  <c r="R221" i="8" l="1"/>
  <c r="F222" i="5"/>
  <c r="J222" i="8" s="1"/>
  <c r="K222" i="5"/>
  <c r="O222" i="8" s="1"/>
  <c r="A224" i="5"/>
  <c r="M223" i="5" s="1"/>
  <c r="Q221" i="8"/>
  <c r="P222" i="8" s="1"/>
  <c r="A223" i="8"/>
  <c r="B223" i="8" s="1"/>
  <c r="R222" i="8" l="1"/>
  <c r="F223" i="5"/>
  <c r="J223" i="8" s="1"/>
  <c r="K223" i="5"/>
  <c r="O223" i="8" s="1"/>
  <c r="A225" i="5"/>
  <c r="M224" i="5" s="1"/>
  <c r="Q222" i="8"/>
  <c r="P223" i="8" s="1"/>
  <c r="A224" i="8"/>
  <c r="B224" i="8" s="1"/>
  <c r="R223" i="8" l="1"/>
  <c r="F224" i="5"/>
  <c r="J224" i="8" s="1"/>
  <c r="K224" i="5"/>
  <c r="O224" i="8" s="1"/>
  <c r="A226" i="5"/>
  <c r="M225" i="5" s="1"/>
  <c r="Q223" i="8"/>
  <c r="P224" i="8" s="1"/>
  <c r="A225" i="8"/>
  <c r="B225" i="8" s="1"/>
  <c r="R224" i="8" l="1"/>
  <c r="F225" i="5"/>
  <c r="J225" i="8" s="1"/>
  <c r="K225" i="5"/>
  <c r="O225" i="8" s="1"/>
  <c r="A227" i="5"/>
  <c r="M226" i="5" s="1"/>
  <c r="Q224" i="8"/>
  <c r="P225" i="8" s="1"/>
  <c r="A226" i="8"/>
  <c r="B226" i="8" s="1"/>
  <c r="R225" i="8" l="1"/>
  <c r="F226" i="5"/>
  <c r="J226" i="8" s="1"/>
  <c r="K226" i="5"/>
  <c r="O226" i="8" s="1"/>
  <c r="A228" i="5"/>
  <c r="M227" i="5" s="1"/>
  <c r="Q225" i="8"/>
  <c r="P226" i="8" s="1"/>
  <c r="A227" i="8"/>
  <c r="B227" i="8" s="1"/>
  <c r="R226" i="8" l="1"/>
  <c r="F227" i="5"/>
  <c r="J227" i="8" s="1"/>
  <c r="K227" i="5"/>
  <c r="O227" i="8" s="1"/>
  <c r="A229" i="5"/>
  <c r="M228" i="5" s="1"/>
  <c r="Q226" i="8"/>
  <c r="P227" i="8" s="1"/>
  <c r="A228" i="8"/>
  <c r="B228" i="8" s="1"/>
  <c r="R227" i="8" l="1"/>
  <c r="K228" i="5"/>
  <c r="O228" i="8" s="1"/>
  <c r="F228" i="5"/>
  <c r="J228" i="8" s="1"/>
  <c r="A230" i="5"/>
  <c r="M229" i="5" s="1"/>
  <c r="Q227" i="8"/>
  <c r="P228" i="8" s="1"/>
  <c r="A229" i="8"/>
  <c r="B229" i="8" s="1"/>
  <c r="R228" i="8" l="1"/>
  <c r="K229" i="5"/>
  <c r="O229" i="8" s="1"/>
  <c r="F229" i="5"/>
  <c r="J229" i="8" s="1"/>
  <c r="A231" i="5"/>
  <c r="M230" i="5" s="1"/>
  <c r="Q228" i="8"/>
  <c r="P229" i="8" s="1"/>
  <c r="A230" i="8"/>
  <c r="B230" i="8" s="1"/>
  <c r="R229" i="8" l="1"/>
  <c r="K230" i="5"/>
  <c r="O230" i="8" s="1"/>
  <c r="F230" i="5"/>
  <c r="J230" i="8" s="1"/>
  <c r="A232" i="5"/>
  <c r="M231" i="5" s="1"/>
  <c r="Q229" i="8"/>
  <c r="P230" i="8" s="1"/>
  <c r="A231" i="8"/>
  <c r="B231" i="8" s="1"/>
  <c r="R230" i="8" l="1"/>
  <c r="K231" i="5"/>
  <c r="O231" i="8" s="1"/>
  <c r="F231" i="5"/>
  <c r="J231" i="8" s="1"/>
  <c r="A233" i="5"/>
  <c r="M232" i="5" s="1"/>
  <c r="Q230" i="8"/>
  <c r="P231" i="8" s="1"/>
  <c r="A232" i="8"/>
  <c r="B232" i="8" s="1"/>
  <c r="R231" i="8" l="1"/>
  <c r="K232" i="5"/>
  <c r="O232" i="8" s="1"/>
  <c r="F232" i="5"/>
  <c r="J232" i="8" s="1"/>
  <c r="A234" i="5"/>
  <c r="Q231" i="8"/>
  <c r="P232" i="8" s="1"/>
  <c r="A233" i="8"/>
  <c r="B233" i="8" s="1"/>
  <c r="R232" i="8" l="1"/>
  <c r="A235" i="5"/>
  <c r="M234" i="5" s="1"/>
  <c r="M233" i="5"/>
  <c r="Q232" i="8"/>
  <c r="P233" i="8" s="1"/>
  <c r="A234" i="8"/>
  <c r="B234" i="8" s="1"/>
  <c r="R233" i="8" l="1"/>
  <c r="F234" i="5"/>
  <c r="J234" i="8" s="1"/>
  <c r="K234" i="5"/>
  <c r="O234" i="8" s="1"/>
  <c r="F233" i="5"/>
  <c r="J233" i="8" s="1"/>
  <c r="K233" i="5"/>
  <c r="O233" i="8" s="1"/>
  <c r="Q233" i="8" s="1"/>
  <c r="P234" i="8" s="1"/>
  <c r="A236" i="5"/>
  <c r="M235" i="5"/>
  <c r="A235" i="8"/>
  <c r="B235" i="8" s="1"/>
  <c r="R234" i="8" l="1"/>
  <c r="K235" i="5"/>
  <c r="O235" i="8" s="1"/>
  <c r="F235" i="5"/>
  <c r="J235" i="8" s="1"/>
  <c r="A237" i="5"/>
  <c r="M236" i="5" s="1"/>
  <c r="Q234" i="8"/>
  <c r="P235" i="8" s="1"/>
  <c r="A236" i="8"/>
  <c r="B236" i="8" s="1"/>
  <c r="R235" i="8" l="1"/>
  <c r="K236" i="5"/>
  <c r="O236" i="8" s="1"/>
  <c r="F236" i="5"/>
  <c r="J236" i="8" s="1"/>
  <c r="A238" i="5"/>
  <c r="M237" i="5" s="1"/>
  <c r="Q235" i="8"/>
  <c r="P236" i="8" s="1"/>
  <c r="A237" i="8"/>
  <c r="B237" i="8" s="1"/>
  <c r="R236" i="8" l="1"/>
  <c r="F237" i="5"/>
  <c r="J237" i="8" s="1"/>
  <c r="K237" i="5"/>
  <c r="O237" i="8" s="1"/>
  <c r="A239" i="5"/>
  <c r="M238" i="5" s="1"/>
  <c r="Q236" i="8"/>
  <c r="P237" i="8" s="1"/>
  <c r="A238" i="8"/>
  <c r="B238" i="8" s="1"/>
  <c r="R237" i="8" l="1"/>
  <c r="K238" i="5"/>
  <c r="O238" i="8" s="1"/>
  <c r="F238" i="5"/>
  <c r="J238" i="8" s="1"/>
  <c r="A240" i="5"/>
  <c r="M239" i="5" s="1"/>
  <c r="Q237" i="8"/>
  <c r="P238" i="8" s="1"/>
  <c r="A239" i="8"/>
  <c r="B239" i="8" s="1"/>
  <c r="R238" i="8" l="1"/>
  <c r="F239" i="5"/>
  <c r="J239" i="8" s="1"/>
  <c r="K239" i="5"/>
  <c r="O239" i="8" s="1"/>
  <c r="A241" i="5"/>
  <c r="M240" i="5" s="1"/>
  <c r="Q238" i="8"/>
  <c r="P239" i="8" s="1"/>
  <c r="A240" i="8"/>
  <c r="B240" i="8" s="1"/>
  <c r="R239" i="8" l="1"/>
  <c r="F240" i="5"/>
  <c r="J240" i="8" s="1"/>
  <c r="K240" i="5"/>
  <c r="O240" i="8" s="1"/>
  <c r="A242" i="5"/>
  <c r="M241" i="5" s="1"/>
  <c r="Q239" i="8"/>
  <c r="P240" i="8" s="1"/>
  <c r="A241" i="8"/>
  <c r="B241" i="8" s="1"/>
  <c r="R240" i="8" l="1"/>
  <c r="F241" i="5"/>
  <c r="J241" i="8" s="1"/>
  <c r="K241" i="5"/>
  <c r="O241" i="8" s="1"/>
  <c r="A243" i="5"/>
  <c r="M242" i="5" s="1"/>
  <c r="Q240" i="8"/>
  <c r="P241" i="8" s="1"/>
  <c r="A242" i="8"/>
  <c r="B242" i="8" s="1"/>
  <c r="R241" i="8" l="1"/>
  <c r="K242" i="5"/>
  <c r="O242" i="8" s="1"/>
  <c r="F242" i="5"/>
  <c r="J242" i="8" s="1"/>
  <c r="A244" i="5"/>
  <c r="M243" i="5" s="1"/>
  <c r="Q241" i="8"/>
  <c r="P242" i="8" s="1"/>
  <c r="A243" i="8"/>
  <c r="B243" i="8" s="1"/>
  <c r="R242" i="8" l="1"/>
  <c r="K243" i="5"/>
  <c r="O243" i="8" s="1"/>
  <c r="F243" i="5"/>
  <c r="J243" i="8" s="1"/>
  <c r="A245" i="5"/>
  <c r="M244" i="5" s="1"/>
  <c r="Q242" i="8"/>
  <c r="P243" i="8" s="1"/>
  <c r="A244" i="8"/>
  <c r="B244" i="8" s="1"/>
  <c r="R243" i="8" l="1"/>
  <c r="K244" i="5"/>
  <c r="O244" i="8" s="1"/>
  <c r="F244" i="5"/>
  <c r="J244" i="8" s="1"/>
  <c r="A246" i="5"/>
  <c r="M245" i="5" s="1"/>
  <c r="Q243" i="8"/>
  <c r="P244" i="8" s="1"/>
  <c r="A245" i="8"/>
  <c r="B245" i="8" s="1"/>
  <c r="R244" i="8" l="1"/>
  <c r="K245" i="5"/>
  <c r="O245" i="8" s="1"/>
  <c r="F245" i="5"/>
  <c r="J245" i="8" s="1"/>
  <c r="A247" i="5"/>
  <c r="M246" i="5" s="1"/>
  <c r="Q244" i="8"/>
  <c r="P245" i="8" s="1"/>
  <c r="A246" i="8"/>
  <c r="B246" i="8" s="1"/>
  <c r="R245" i="8" l="1"/>
  <c r="K246" i="5"/>
  <c r="O246" i="8" s="1"/>
  <c r="F246" i="5"/>
  <c r="J246" i="8" s="1"/>
  <c r="A248" i="5"/>
  <c r="Q245" i="8"/>
  <c r="P246" i="8" s="1"/>
  <c r="A247" i="8"/>
  <c r="B247" i="8" s="1"/>
  <c r="R246" i="8" l="1"/>
  <c r="A249" i="5"/>
  <c r="M248" i="5" s="1"/>
  <c r="M247" i="5"/>
  <c r="Q246" i="8"/>
  <c r="P247" i="8" s="1"/>
  <c r="A248" i="8"/>
  <c r="B248" i="8" s="1"/>
  <c r="R247" i="8" l="1"/>
  <c r="K247" i="5"/>
  <c r="O247" i="8" s="1"/>
  <c r="Q247" i="8" s="1"/>
  <c r="P248" i="8" s="1"/>
  <c r="F247" i="5"/>
  <c r="J247" i="8" s="1"/>
  <c r="F248" i="5"/>
  <c r="J248" i="8" s="1"/>
  <c r="K248" i="5"/>
  <c r="O248" i="8" s="1"/>
  <c r="A250" i="5"/>
  <c r="M249" i="5" s="1"/>
  <c r="A249" i="8"/>
  <c r="B249" i="8" s="1"/>
  <c r="R248" i="8" l="1"/>
  <c r="F249" i="5"/>
  <c r="J249" i="8" s="1"/>
  <c r="K249" i="5"/>
  <c r="O249" i="8" s="1"/>
  <c r="A251" i="5"/>
  <c r="M250" i="5" s="1"/>
  <c r="Q248" i="8"/>
  <c r="P249" i="8" s="1"/>
  <c r="A250" i="8"/>
  <c r="B250" i="8" s="1"/>
  <c r="R249" i="8" l="1"/>
  <c r="A252" i="5"/>
  <c r="M251" i="5" s="1"/>
  <c r="F250" i="5"/>
  <c r="J250" i="8" s="1"/>
  <c r="K250" i="5"/>
  <c r="O250" i="8" s="1"/>
  <c r="Q249" i="8"/>
  <c r="P250" i="8" s="1"/>
  <c r="A251" i="8"/>
  <c r="B251" i="8" s="1"/>
  <c r="R250" i="8" l="1"/>
  <c r="K251" i="5"/>
  <c r="O251" i="8" s="1"/>
  <c r="F251" i="5"/>
  <c r="J251" i="8" s="1"/>
  <c r="A253" i="5"/>
  <c r="M252" i="5"/>
  <c r="Q250" i="8"/>
  <c r="P251" i="8" s="1"/>
  <c r="A252" i="8"/>
  <c r="B252" i="8" s="1"/>
  <c r="R251" i="8" l="1"/>
  <c r="K252" i="5"/>
  <c r="O252" i="8" s="1"/>
  <c r="F252" i="5"/>
  <c r="J252" i="8" s="1"/>
  <c r="A254" i="5"/>
  <c r="M253" i="5" s="1"/>
  <c r="Q251" i="8"/>
  <c r="P252" i="8" s="1"/>
  <c r="A253" i="8"/>
  <c r="B253" i="8" s="1"/>
  <c r="R252" i="8" l="1"/>
  <c r="A255" i="5"/>
  <c r="M254" i="5" s="1"/>
  <c r="K253" i="5"/>
  <c r="O253" i="8" s="1"/>
  <c r="F253" i="5"/>
  <c r="J253" i="8" s="1"/>
  <c r="Q252" i="8"/>
  <c r="P253" i="8" s="1"/>
  <c r="A254" i="8"/>
  <c r="B254" i="8" s="1"/>
  <c r="R253" i="8" l="1"/>
  <c r="K254" i="5"/>
  <c r="O254" i="8" s="1"/>
  <c r="F254" i="5"/>
  <c r="J254" i="8" s="1"/>
  <c r="A256" i="5"/>
  <c r="Q253" i="8"/>
  <c r="P254" i="8" s="1"/>
  <c r="A255" i="8"/>
  <c r="B255" i="8" s="1"/>
  <c r="R254" i="8" l="1"/>
  <c r="A257" i="5"/>
  <c r="M256" i="5" s="1"/>
  <c r="M255" i="5"/>
  <c r="Q254" i="8"/>
  <c r="P255" i="8" s="1"/>
  <c r="A256" i="8"/>
  <c r="B256" i="8" s="1"/>
  <c r="R255" i="8" l="1"/>
  <c r="F256" i="5"/>
  <c r="J256" i="8" s="1"/>
  <c r="K256" i="5"/>
  <c r="O256" i="8" s="1"/>
  <c r="K255" i="5"/>
  <c r="O255" i="8" s="1"/>
  <c r="Q255" i="8" s="1"/>
  <c r="P256" i="8" s="1"/>
  <c r="F255" i="5"/>
  <c r="J255" i="8" s="1"/>
  <c r="A258" i="5"/>
  <c r="M257" i="5" s="1"/>
  <c r="A257" i="8"/>
  <c r="B257" i="8" s="1"/>
  <c r="R256" i="8" l="1"/>
  <c r="F257" i="5"/>
  <c r="J257" i="8" s="1"/>
  <c r="K257" i="5"/>
  <c r="O257" i="8" s="1"/>
  <c r="A259" i="5"/>
  <c r="M258" i="5" s="1"/>
  <c r="Q256" i="8"/>
  <c r="P257" i="8" s="1"/>
  <c r="A258" i="8"/>
  <c r="B258" i="8" s="1"/>
  <c r="R257" i="8" l="1"/>
  <c r="F258" i="5"/>
  <c r="J258" i="8" s="1"/>
  <c r="K258" i="5"/>
  <c r="O258" i="8" s="1"/>
  <c r="A260" i="5"/>
  <c r="Q257" i="8"/>
  <c r="P258" i="8" s="1"/>
  <c r="A259" i="8"/>
  <c r="B259" i="8" s="1"/>
  <c r="R258" i="8" l="1"/>
  <c r="A261" i="5"/>
  <c r="M260" i="5" s="1"/>
  <c r="M259" i="5"/>
  <c r="Q258" i="8"/>
  <c r="P259" i="8" s="1"/>
  <c r="A260" i="8"/>
  <c r="B260" i="8" s="1"/>
  <c r="R259" i="8" l="1"/>
  <c r="K260" i="5"/>
  <c r="O260" i="8" s="1"/>
  <c r="F260" i="5"/>
  <c r="J260" i="8" s="1"/>
  <c r="K259" i="5"/>
  <c r="O259" i="8" s="1"/>
  <c r="Q259" i="8" s="1"/>
  <c r="P260" i="8" s="1"/>
  <c r="F259" i="5"/>
  <c r="J259" i="8" s="1"/>
  <c r="A262" i="5"/>
  <c r="M261" i="5" s="1"/>
  <c r="A261" i="8"/>
  <c r="B261" i="8" s="1"/>
  <c r="R260" i="8" l="1"/>
  <c r="F261" i="5"/>
  <c r="J261" i="8" s="1"/>
  <c r="K261" i="5"/>
  <c r="O261" i="8" s="1"/>
  <c r="A263" i="5"/>
  <c r="M262" i="5" s="1"/>
  <c r="Q260" i="8"/>
  <c r="P261" i="8" s="1"/>
  <c r="A262" i="8"/>
  <c r="B262" i="8" s="1"/>
  <c r="R261" i="8" l="1"/>
  <c r="A264" i="5"/>
  <c r="M263" i="5" s="1"/>
  <c r="F262" i="5"/>
  <c r="J262" i="8" s="1"/>
  <c r="K262" i="5"/>
  <c r="O262" i="8" s="1"/>
  <c r="Q261" i="8"/>
  <c r="P262" i="8" s="1"/>
  <c r="A263" i="8"/>
  <c r="B263" i="8" s="1"/>
  <c r="R262" i="8" l="1"/>
  <c r="F263" i="5"/>
  <c r="J263" i="8" s="1"/>
  <c r="K263" i="5"/>
  <c r="O263" i="8" s="1"/>
  <c r="A265" i="5"/>
  <c r="M264" i="5" s="1"/>
  <c r="Q262" i="8"/>
  <c r="P263" i="8" s="1"/>
  <c r="A264" i="8"/>
  <c r="B264" i="8" s="1"/>
  <c r="R263" i="8" l="1"/>
  <c r="K264" i="5"/>
  <c r="O264" i="8" s="1"/>
  <c r="F264" i="5"/>
  <c r="J264" i="8" s="1"/>
  <c r="A266" i="5"/>
  <c r="M265" i="5" s="1"/>
  <c r="Q263" i="8"/>
  <c r="P264" i="8" s="1"/>
  <c r="A265" i="8"/>
  <c r="B265" i="8" s="1"/>
  <c r="R264" i="8" l="1"/>
  <c r="F265" i="5"/>
  <c r="J265" i="8" s="1"/>
  <c r="K265" i="5"/>
  <c r="O265" i="8" s="1"/>
  <c r="A267" i="5"/>
  <c r="M266" i="5" s="1"/>
  <c r="Q264" i="8"/>
  <c r="P265" i="8" s="1"/>
  <c r="A266" i="8"/>
  <c r="B266" i="8" s="1"/>
  <c r="R265" i="8" l="1"/>
  <c r="F266" i="5"/>
  <c r="J266" i="8" s="1"/>
  <c r="K266" i="5"/>
  <c r="O266" i="8" s="1"/>
  <c r="A268" i="5"/>
  <c r="M267" i="5"/>
  <c r="Q265" i="8"/>
  <c r="P266" i="8" s="1"/>
  <c r="A267" i="8"/>
  <c r="B267" i="8" s="1"/>
  <c r="R266" i="8" l="1"/>
  <c r="A269" i="5"/>
  <c r="M268" i="5" s="1"/>
  <c r="F267" i="5"/>
  <c r="J267" i="8" s="1"/>
  <c r="K267" i="5"/>
  <c r="O267" i="8" s="1"/>
  <c r="Q266" i="8"/>
  <c r="P267" i="8" s="1"/>
  <c r="A268" i="8"/>
  <c r="B268" i="8" s="1"/>
  <c r="R267" i="8" l="1"/>
  <c r="F268" i="5"/>
  <c r="J268" i="8" s="1"/>
  <c r="K268" i="5"/>
  <c r="O268" i="8" s="1"/>
  <c r="A270" i="5"/>
  <c r="M269" i="5" s="1"/>
  <c r="Q267" i="8"/>
  <c r="P268" i="8" s="1"/>
  <c r="A269" i="8"/>
  <c r="B269" i="8" s="1"/>
  <c r="R268" i="8" l="1"/>
  <c r="A271" i="5"/>
  <c r="M270" i="5" s="1"/>
  <c r="K269" i="5"/>
  <c r="O269" i="8" s="1"/>
  <c r="F269" i="5"/>
  <c r="J269" i="8" s="1"/>
  <c r="Q268" i="8"/>
  <c r="P269" i="8" s="1"/>
  <c r="A270" i="8"/>
  <c r="B270" i="8" s="1"/>
  <c r="R269" i="8" l="1"/>
  <c r="F270" i="5"/>
  <c r="J270" i="8" s="1"/>
  <c r="K270" i="5"/>
  <c r="O270" i="8" s="1"/>
  <c r="A272" i="5"/>
  <c r="Q269" i="8"/>
  <c r="P270" i="8" s="1"/>
  <c r="A271" i="8"/>
  <c r="B271" i="8" s="1"/>
  <c r="R270" i="8" l="1"/>
  <c r="A273" i="5"/>
  <c r="M272" i="5" s="1"/>
  <c r="M271" i="5"/>
  <c r="Q270" i="8"/>
  <c r="P271" i="8" s="1"/>
  <c r="A272" i="8"/>
  <c r="B272" i="8" s="1"/>
  <c r="R271" i="8" l="1"/>
  <c r="F271" i="5"/>
  <c r="J271" i="8" s="1"/>
  <c r="K271" i="5"/>
  <c r="O271" i="8" s="1"/>
  <c r="Q271" i="8" s="1"/>
  <c r="P272" i="8" s="1"/>
  <c r="F272" i="5"/>
  <c r="J272" i="8" s="1"/>
  <c r="K272" i="5"/>
  <c r="O272" i="8" s="1"/>
  <c r="A274" i="5"/>
  <c r="M273" i="5" s="1"/>
  <c r="A273" i="8"/>
  <c r="B273" i="8" s="1"/>
  <c r="R272" i="8" l="1"/>
  <c r="F273" i="5"/>
  <c r="J273" i="8" s="1"/>
  <c r="K273" i="5"/>
  <c r="O273" i="8" s="1"/>
  <c r="A275" i="5"/>
  <c r="M274" i="5" s="1"/>
  <c r="Q272" i="8"/>
  <c r="P273" i="8" s="1"/>
  <c r="A274" i="8"/>
  <c r="B274" i="8" s="1"/>
  <c r="R273" i="8" l="1"/>
  <c r="F274" i="5"/>
  <c r="J274" i="8" s="1"/>
  <c r="K274" i="5"/>
  <c r="O274" i="8" s="1"/>
  <c r="A276" i="5"/>
  <c r="M275" i="5" s="1"/>
  <c r="Q273" i="8"/>
  <c r="P274" i="8" s="1"/>
  <c r="A275" i="8"/>
  <c r="B275" i="8" s="1"/>
  <c r="R274" i="8" l="1"/>
  <c r="F275" i="5"/>
  <c r="J275" i="8" s="1"/>
  <c r="K275" i="5"/>
  <c r="O275" i="8" s="1"/>
  <c r="A277" i="5"/>
  <c r="Q274" i="8"/>
  <c r="P275" i="8" s="1"/>
  <c r="A276" i="8"/>
  <c r="B276" i="8" s="1"/>
  <c r="R275" i="8" l="1"/>
  <c r="A278" i="5"/>
  <c r="M277" i="5" s="1"/>
  <c r="M276" i="5"/>
  <c r="Q275" i="8"/>
  <c r="P276" i="8" s="1"/>
  <c r="A277" i="8"/>
  <c r="B277" i="8" s="1"/>
  <c r="R276" i="8" l="1"/>
  <c r="F277" i="5"/>
  <c r="J277" i="8" s="1"/>
  <c r="K277" i="5"/>
  <c r="O277" i="8" s="1"/>
  <c r="K276" i="5"/>
  <c r="O276" i="8" s="1"/>
  <c r="Q276" i="8" s="1"/>
  <c r="P277" i="8" s="1"/>
  <c r="F276" i="5"/>
  <c r="J276" i="8" s="1"/>
  <c r="A279" i="5"/>
  <c r="M278" i="5" s="1"/>
  <c r="A278" i="8"/>
  <c r="B278" i="8" s="1"/>
  <c r="R277" i="8" l="1"/>
  <c r="F278" i="5"/>
  <c r="J278" i="8" s="1"/>
  <c r="K278" i="5"/>
  <c r="O278" i="8" s="1"/>
  <c r="A280" i="5"/>
  <c r="M279" i="5" s="1"/>
  <c r="Q277" i="8"/>
  <c r="P278" i="8" s="1"/>
  <c r="A279" i="8"/>
  <c r="B279" i="8" s="1"/>
  <c r="R278" i="8" l="1"/>
  <c r="K279" i="5"/>
  <c r="O279" i="8" s="1"/>
  <c r="F279" i="5"/>
  <c r="J279" i="8" s="1"/>
  <c r="A281" i="5"/>
  <c r="Q278" i="8"/>
  <c r="P279" i="8" s="1"/>
  <c r="A280" i="8"/>
  <c r="B280" i="8" s="1"/>
  <c r="R279" i="8" l="1"/>
  <c r="A282" i="5"/>
  <c r="M281" i="5" s="1"/>
  <c r="M280" i="5"/>
  <c r="Q279" i="8"/>
  <c r="P280" i="8" s="1"/>
  <c r="A281" i="8"/>
  <c r="B281" i="8" s="1"/>
  <c r="R280" i="8" l="1"/>
  <c r="F280" i="5"/>
  <c r="J280" i="8" s="1"/>
  <c r="K280" i="5"/>
  <c r="O280" i="8" s="1"/>
  <c r="Q280" i="8" s="1"/>
  <c r="P281" i="8" s="1"/>
  <c r="F281" i="5"/>
  <c r="J281" i="8" s="1"/>
  <c r="K281" i="5"/>
  <c r="O281" i="8" s="1"/>
  <c r="A283" i="5"/>
  <c r="A282" i="8"/>
  <c r="B282" i="8" s="1"/>
  <c r="R281" i="8" l="1"/>
  <c r="A284" i="5"/>
  <c r="M283" i="5" s="1"/>
  <c r="M282" i="5"/>
  <c r="Q281" i="8"/>
  <c r="P282" i="8" s="1"/>
  <c r="A283" i="8"/>
  <c r="B283" i="8" s="1"/>
  <c r="R282" i="8" l="1"/>
  <c r="F283" i="5"/>
  <c r="J283" i="8" s="1"/>
  <c r="K283" i="5"/>
  <c r="O283" i="8" s="1"/>
  <c r="F282" i="5"/>
  <c r="J282" i="8" s="1"/>
  <c r="K282" i="5"/>
  <c r="O282" i="8" s="1"/>
  <c r="Q282" i="8" s="1"/>
  <c r="P283" i="8" s="1"/>
  <c r="A285" i="5"/>
  <c r="M284" i="5" s="1"/>
  <c r="A284" i="8"/>
  <c r="B284" i="8" s="1"/>
  <c r="R283" i="8" l="1"/>
  <c r="K284" i="5"/>
  <c r="O284" i="8" s="1"/>
  <c r="F284" i="5"/>
  <c r="J284" i="8" s="1"/>
  <c r="A286" i="5"/>
  <c r="M285" i="5" s="1"/>
  <c r="Q283" i="8"/>
  <c r="P284" i="8" s="1"/>
  <c r="A285" i="8"/>
  <c r="B285" i="8" s="1"/>
  <c r="R284" i="8" l="1"/>
  <c r="K285" i="5"/>
  <c r="O285" i="8" s="1"/>
  <c r="F285" i="5"/>
  <c r="J285" i="8" s="1"/>
  <c r="A287" i="5"/>
  <c r="M286" i="5" s="1"/>
  <c r="Q284" i="8"/>
  <c r="P285" i="8" s="1"/>
  <c r="A286" i="8"/>
  <c r="B286" i="8" s="1"/>
  <c r="R285" i="8" l="1"/>
  <c r="K286" i="5"/>
  <c r="O286" i="8" s="1"/>
  <c r="F286" i="5"/>
  <c r="J286" i="8" s="1"/>
  <c r="A288" i="5"/>
  <c r="M287" i="5" s="1"/>
  <c r="Q285" i="8"/>
  <c r="P286" i="8" s="1"/>
  <c r="A287" i="8"/>
  <c r="B287" i="8" s="1"/>
  <c r="R286" i="8" l="1"/>
  <c r="K287" i="5"/>
  <c r="O287" i="8" s="1"/>
  <c r="F287" i="5"/>
  <c r="J287" i="8" s="1"/>
  <c r="A289" i="5"/>
  <c r="M288" i="5" s="1"/>
  <c r="Q286" i="8"/>
  <c r="P287" i="8" s="1"/>
  <c r="A288" i="8"/>
  <c r="B288" i="8" s="1"/>
  <c r="R287" i="8" l="1"/>
  <c r="F288" i="5"/>
  <c r="J288" i="8" s="1"/>
  <c r="K288" i="5"/>
  <c r="O288" i="8" s="1"/>
  <c r="A290" i="5"/>
  <c r="M289" i="5" s="1"/>
  <c r="Q287" i="8"/>
  <c r="P288" i="8" s="1"/>
  <c r="A289" i="8"/>
  <c r="B289" i="8" s="1"/>
  <c r="R288" i="8" l="1"/>
  <c r="F289" i="5"/>
  <c r="J289" i="8" s="1"/>
  <c r="K289" i="5"/>
  <c r="O289" i="8" s="1"/>
  <c r="A291" i="5"/>
  <c r="M290" i="5" s="1"/>
  <c r="Q288" i="8"/>
  <c r="P289" i="8" s="1"/>
  <c r="A290" i="8"/>
  <c r="B290" i="8" s="1"/>
  <c r="R289" i="8" l="1"/>
  <c r="K290" i="5"/>
  <c r="O290" i="8" s="1"/>
  <c r="F290" i="5"/>
  <c r="J290" i="8" s="1"/>
  <c r="A292" i="5"/>
  <c r="M291" i="5" s="1"/>
  <c r="Q289" i="8"/>
  <c r="P290" i="8" s="1"/>
  <c r="A291" i="8"/>
  <c r="B291" i="8" s="1"/>
  <c r="R290" i="8" l="1"/>
  <c r="F291" i="5"/>
  <c r="J291" i="8" s="1"/>
  <c r="K291" i="5"/>
  <c r="O291" i="8" s="1"/>
  <c r="A293" i="5"/>
  <c r="M292" i="5" s="1"/>
  <c r="Q290" i="8"/>
  <c r="P291" i="8" s="1"/>
  <c r="A292" i="8"/>
  <c r="B292" i="8" s="1"/>
  <c r="R291" i="8" l="1"/>
  <c r="F292" i="5"/>
  <c r="J292" i="8" s="1"/>
  <c r="K292" i="5"/>
  <c r="O292" i="8" s="1"/>
  <c r="A294" i="5"/>
  <c r="Q291" i="8"/>
  <c r="P292" i="8" s="1"/>
  <c r="A293" i="8"/>
  <c r="B293" i="8" s="1"/>
  <c r="R292" i="8" l="1"/>
  <c r="A295" i="5"/>
  <c r="M294" i="5" s="1"/>
  <c r="M293" i="5"/>
  <c r="Q292" i="8"/>
  <c r="P293" i="8" s="1"/>
  <c r="A294" i="8"/>
  <c r="B294" i="8" s="1"/>
  <c r="R293" i="8" l="1"/>
  <c r="K293" i="5"/>
  <c r="O293" i="8" s="1"/>
  <c r="Q293" i="8" s="1"/>
  <c r="P294" i="8" s="1"/>
  <c r="F293" i="5"/>
  <c r="J293" i="8" s="1"/>
  <c r="K294" i="5"/>
  <c r="O294" i="8" s="1"/>
  <c r="F294" i="5"/>
  <c r="J294" i="8" s="1"/>
  <c r="A296" i="5"/>
  <c r="M295" i="5" s="1"/>
  <c r="A295" i="8"/>
  <c r="B295" i="8" s="1"/>
  <c r="R294" i="8" l="1"/>
  <c r="A297" i="5"/>
  <c r="M296" i="5" s="1"/>
  <c r="K295" i="5"/>
  <c r="O295" i="8" s="1"/>
  <c r="F295" i="5"/>
  <c r="J295" i="8" s="1"/>
  <c r="Q294" i="8"/>
  <c r="P295" i="8" s="1"/>
  <c r="A296" i="8"/>
  <c r="B296" i="8" s="1"/>
  <c r="R295" i="8" l="1"/>
  <c r="K296" i="5"/>
  <c r="O296" i="8" s="1"/>
  <c r="F296" i="5"/>
  <c r="J296" i="8" s="1"/>
  <c r="A298" i="5"/>
  <c r="M297" i="5" s="1"/>
  <c r="Q295" i="8"/>
  <c r="P296" i="8" s="1"/>
  <c r="A297" i="8"/>
  <c r="B297" i="8" s="1"/>
  <c r="R296" i="8" l="1"/>
  <c r="A299" i="5"/>
  <c r="M298" i="5"/>
  <c r="F297" i="5"/>
  <c r="J297" i="8" s="1"/>
  <c r="K297" i="5"/>
  <c r="O297" i="8" s="1"/>
  <c r="Q296" i="8"/>
  <c r="P297" i="8" s="1"/>
  <c r="A298" i="8"/>
  <c r="B298" i="8" s="1"/>
  <c r="R297" i="8" l="1"/>
  <c r="F298" i="5"/>
  <c r="J298" i="8" s="1"/>
  <c r="K298" i="5"/>
  <c r="O298" i="8" s="1"/>
  <c r="A300" i="5"/>
  <c r="M299" i="5" s="1"/>
  <c r="Q297" i="8"/>
  <c r="P298" i="8" s="1"/>
  <c r="A299" i="8"/>
  <c r="B299" i="8" s="1"/>
  <c r="R298" i="8" l="1"/>
  <c r="K299" i="5"/>
  <c r="O299" i="8" s="1"/>
  <c r="F299" i="5"/>
  <c r="J299" i="8" s="1"/>
  <c r="A301" i="5"/>
  <c r="Q298" i="8"/>
  <c r="P299" i="8" s="1"/>
  <c r="A300" i="8"/>
  <c r="B300" i="8" s="1"/>
  <c r="R299" i="8" l="1"/>
  <c r="A302" i="5"/>
  <c r="M301" i="5" s="1"/>
  <c r="M300" i="5"/>
  <c r="Q299" i="8"/>
  <c r="P300" i="8" s="1"/>
  <c r="A301" i="8"/>
  <c r="B301" i="8" s="1"/>
  <c r="R300" i="8" l="1"/>
  <c r="K301" i="5"/>
  <c r="O301" i="8" s="1"/>
  <c r="F301" i="5"/>
  <c r="J301" i="8" s="1"/>
  <c r="F300" i="5"/>
  <c r="J300" i="8" s="1"/>
  <c r="K300" i="5"/>
  <c r="O300" i="8" s="1"/>
  <c r="Q300" i="8" s="1"/>
  <c r="P301" i="8" s="1"/>
  <c r="A303" i="5"/>
  <c r="M302" i="5" s="1"/>
  <c r="A302" i="8"/>
  <c r="B302" i="8" s="1"/>
  <c r="R301" i="8" l="1"/>
  <c r="K302" i="5"/>
  <c r="O302" i="8" s="1"/>
  <c r="F302" i="5"/>
  <c r="J302" i="8" s="1"/>
  <c r="A304" i="5"/>
  <c r="M303" i="5" s="1"/>
  <c r="Q301" i="8"/>
  <c r="P302" i="8" s="1"/>
  <c r="A303" i="8"/>
  <c r="B303" i="8" s="1"/>
  <c r="R302" i="8" l="1"/>
  <c r="K303" i="5"/>
  <c r="O303" i="8" s="1"/>
  <c r="F303" i="5"/>
  <c r="J303" i="8" s="1"/>
  <c r="A305" i="5"/>
  <c r="M304" i="5" s="1"/>
  <c r="Q302" i="8"/>
  <c r="P303" i="8" s="1"/>
  <c r="A304" i="8"/>
  <c r="B304" i="8" s="1"/>
  <c r="R303" i="8" l="1"/>
  <c r="A306" i="5"/>
  <c r="M305" i="5" s="1"/>
  <c r="F304" i="5"/>
  <c r="J304" i="8" s="1"/>
  <c r="K304" i="5"/>
  <c r="O304" i="8" s="1"/>
  <c r="Q303" i="8"/>
  <c r="P304" i="8" s="1"/>
  <c r="A305" i="8"/>
  <c r="B305" i="8" s="1"/>
  <c r="R304" i="8" l="1"/>
  <c r="F305" i="5"/>
  <c r="J305" i="8" s="1"/>
  <c r="K305" i="5"/>
  <c r="O305" i="8" s="1"/>
  <c r="A307" i="5"/>
  <c r="M306" i="5" s="1"/>
  <c r="Q304" i="8"/>
  <c r="P305" i="8" s="1"/>
  <c r="A306" i="8"/>
  <c r="B306" i="8" s="1"/>
  <c r="R305" i="8" l="1"/>
  <c r="F306" i="5"/>
  <c r="J306" i="8" s="1"/>
  <c r="K306" i="5"/>
  <c r="O306" i="8" s="1"/>
  <c r="A308" i="5"/>
  <c r="M307" i="5" s="1"/>
  <c r="Q305" i="8"/>
  <c r="P306" i="8" s="1"/>
  <c r="A307" i="8"/>
  <c r="B307" i="8" s="1"/>
  <c r="R306" i="8" l="1"/>
  <c r="K307" i="5"/>
  <c r="O307" i="8" s="1"/>
  <c r="F307" i="5"/>
  <c r="J307" i="8" s="1"/>
  <c r="A309" i="5"/>
  <c r="M308" i="5" s="1"/>
  <c r="Q306" i="8"/>
  <c r="P307" i="8" s="1"/>
  <c r="A308" i="8"/>
  <c r="B308" i="8" s="1"/>
  <c r="R307" i="8" l="1"/>
  <c r="F308" i="5"/>
  <c r="J308" i="8" s="1"/>
  <c r="K308" i="5"/>
  <c r="O308" i="8" s="1"/>
  <c r="A310" i="5"/>
  <c r="Q307" i="8"/>
  <c r="P308" i="8" s="1"/>
  <c r="A309" i="8"/>
  <c r="B309" i="8" s="1"/>
  <c r="R308" i="8" l="1"/>
  <c r="A311" i="5"/>
  <c r="M310" i="5" s="1"/>
  <c r="M309" i="5"/>
  <c r="Q308" i="8"/>
  <c r="P309" i="8" s="1"/>
  <c r="A310" i="8"/>
  <c r="B310" i="8" s="1"/>
  <c r="R309" i="8" l="1"/>
  <c r="F310" i="5"/>
  <c r="J310" i="8" s="1"/>
  <c r="K310" i="5"/>
  <c r="O310" i="8" s="1"/>
  <c r="F309" i="5"/>
  <c r="J309" i="8" s="1"/>
  <c r="K309" i="5"/>
  <c r="O309" i="8" s="1"/>
  <c r="Q309" i="8" s="1"/>
  <c r="P310" i="8" s="1"/>
  <c r="A312" i="5"/>
  <c r="M311" i="5" s="1"/>
  <c r="A311" i="8"/>
  <c r="B311" i="8" s="1"/>
  <c r="R310" i="8" l="1"/>
  <c r="F311" i="5"/>
  <c r="J311" i="8" s="1"/>
  <c r="K311" i="5"/>
  <c r="O311" i="8" s="1"/>
  <c r="A313" i="5"/>
  <c r="M312" i="5" s="1"/>
  <c r="Q310" i="8"/>
  <c r="P311" i="8" s="1"/>
  <c r="A312" i="8"/>
  <c r="B312" i="8" s="1"/>
  <c r="R311" i="8" l="1"/>
  <c r="F312" i="5"/>
  <c r="J312" i="8" s="1"/>
  <c r="K312" i="5"/>
  <c r="O312" i="8" s="1"/>
  <c r="A314" i="5"/>
  <c r="M313" i="5" s="1"/>
  <c r="Q311" i="8"/>
  <c r="P312" i="8" s="1"/>
  <c r="A313" i="8"/>
  <c r="B313" i="8" s="1"/>
  <c r="R312" i="8" l="1"/>
  <c r="F313" i="5"/>
  <c r="J313" i="8" s="1"/>
  <c r="K313" i="5"/>
  <c r="O313" i="8" s="1"/>
  <c r="A315" i="5"/>
  <c r="M314" i="5" s="1"/>
  <c r="Q312" i="8"/>
  <c r="P313" i="8" s="1"/>
  <c r="A314" i="8"/>
  <c r="B314" i="8" s="1"/>
  <c r="R313" i="8" l="1"/>
  <c r="A316" i="5"/>
  <c r="M315" i="5" s="1"/>
  <c r="F314" i="5"/>
  <c r="J314" i="8" s="1"/>
  <c r="K314" i="5"/>
  <c r="O314" i="8" s="1"/>
  <c r="Q313" i="8"/>
  <c r="P314" i="8" s="1"/>
  <c r="A315" i="8"/>
  <c r="B315" i="8" s="1"/>
  <c r="R314" i="8" l="1"/>
  <c r="F315" i="5"/>
  <c r="J315" i="8" s="1"/>
  <c r="K315" i="5"/>
  <c r="O315" i="8" s="1"/>
  <c r="A317" i="5"/>
  <c r="M316" i="5"/>
  <c r="Q314" i="8"/>
  <c r="P315" i="8" s="1"/>
  <c r="A316" i="8"/>
  <c r="B316" i="8" s="1"/>
  <c r="R315" i="8" l="1"/>
  <c r="K316" i="5"/>
  <c r="O316" i="8" s="1"/>
  <c r="F316" i="5"/>
  <c r="J316" i="8" s="1"/>
  <c r="A318" i="5"/>
  <c r="Q315" i="8"/>
  <c r="P316" i="8" s="1"/>
  <c r="A317" i="8"/>
  <c r="B317" i="8" s="1"/>
  <c r="R316" i="8" l="1"/>
  <c r="A319" i="5"/>
  <c r="M318" i="5" s="1"/>
  <c r="M317" i="5"/>
  <c r="Q316" i="8"/>
  <c r="P317" i="8" s="1"/>
  <c r="A318" i="8"/>
  <c r="B318" i="8" s="1"/>
  <c r="R317" i="8" l="1"/>
  <c r="K318" i="5"/>
  <c r="O318" i="8" s="1"/>
  <c r="F318" i="5"/>
  <c r="J318" i="8" s="1"/>
  <c r="F317" i="5"/>
  <c r="J317" i="8" s="1"/>
  <c r="K317" i="5"/>
  <c r="O317" i="8" s="1"/>
  <c r="Q317" i="8" s="1"/>
  <c r="P318" i="8" s="1"/>
  <c r="A320" i="5"/>
  <c r="M319" i="5" s="1"/>
  <c r="A319" i="8"/>
  <c r="B319" i="8" s="1"/>
  <c r="R318" i="8" l="1"/>
  <c r="K319" i="5"/>
  <c r="O319" i="8" s="1"/>
  <c r="F319" i="5"/>
  <c r="J319" i="8" s="1"/>
  <c r="A321" i="5"/>
  <c r="Q318" i="8"/>
  <c r="P319" i="8" s="1"/>
  <c r="A320" i="8"/>
  <c r="B320" i="8" s="1"/>
  <c r="R319" i="8" l="1"/>
  <c r="A322" i="5"/>
  <c r="M321" i="5" s="1"/>
  <c r="M320" i="5"/>
  <c r="Q319" i="8"/>
  <c r="P320" i="8" s="1"/>
  <c r="A321" i="8"/>
  <c r="B321" i="8" s="1"/>
  <c r="R320" i="8" l="1"/>
  <c r="F321" i="5"/>
  <c r="J321" i="8" s="1"/>
  <c r="K321" i="5"/>
  <c r="O321" i="8" s="1"/>
  <c r="F320" i="5"/>
  <c r="J320" i="8" s="1"/>
  <c r="K320" i="5"/>
  <c r="O320" i="8" s="1"/>
  <c r="Q320" i="8" s="1"/>
  <c r="P321" i="8" s="1"/>
  <c r="A323" i="5"/>
  <c r="A322" i="8"/>
  <c r="B322" i="8" s="1"/>
  <c r="R321" i="8" l="1"/>
  <c r="A324" i="5"/>
  <c r="M323" i="5" s="1"/>
  <c r="M322" i="5"/>
  <c r="Q321" i="8"/>
  <c r="P322" i="8" s="1"/>
  <c r="A323" i="8"/>
  <c r="B323" i="8" s="1"/>
  <c r="R322" i="8" l="1"/>
  <c r="K323" i="5"/>
  <c r="O323" i="8" s="1"/>
  <c r="F323" i="5"/>
  <c r="J323" i="8" s="1"/>
  <c r="K322" i="5"/>
  <c r="O322" i="8" s="1"/>
  <c r="Q322" i="8" s="1"/>
  <c r="P323" i="8" s="1"/>
  <c r="F322" i="5"/>
  <c r="J322" i="8" s="1"/>
  <c r="A325" i="5"/>
  <c r="M324" i="5" s="1"/>
  <c r="A324" i="8"/>
  <c r="B324" i="8" s="1"/>
  <c r="R323" i="8" l="1"/>
  <c r="A326" i="5"/>
  <c r="M325" i="5" s="1"/>
  <c r="K324" i="5"/>
  <c r="O324" i="8" s="1"/>
  <c r="F324" i="5"/>
  <c r="J324" i="8" s="1"/>
  <c r="Q323" i="8"/>
  <c r="P324" i="8" s="1"/>
  <c r="A325" i="8"/>
  <c r="B325" i="8" s="1"/>
  <c r="R324" i="8" l="1"/>
  <c r="K325" i="5"/>
  <c r="O325" i="8" s="1"/>
  <c r="F325" i="5"/>
  <c r="J325" i="8" s="1"/>
  <c r="A327" i="5"/>
  <c r="M326" i="5" s="1"/>
  <c r="Q324" i="8"/>
  <c r="P325" i="8" s="1"/>
  <c r="A326" i="8"/>
  <c r="B326" i="8" s="1"/>
  <c r="R325" i="8" l="1"/>
  <c r="K326" i="5"/>
  <c r="O326" i="8" s="1"/>
  <c r="F326" i="5"/>
  <c r="J326" i="8" s="1"/>
  <c r="A328" i="5"/>
  <c r="M327" i="5" s="1"/>
  <c r="Q325" i="8"/>
  <c r="P326" i="8" s="1"/>
  <c r="A327" i="8"/>
  <c r="B327" i="8" s="1"/>
  <c r="R326" i="8" l="1"/>
  <c r="K327" i="5"/>
  <c r="O327" i="8" s="1"/>
  <c r="F327" i="5"/>
  <c r="J327" i="8" s="1"/>
  <c r="A329" i="5"/>
  <c r="M328" i="5" s="1"/>
  <c r="Q326" i="8"/>
  <c r="P327" i="8" s="1"/>
  <c r="A328" i="8"/>
  <c r="B328" i="8" s="1"/>
  <c r="R327" i="8" l="1"/>
  <c r="A330" i="5"/>
  <c r="M329" i="5" s="1"/>
  <c r="F328" i="5"/>
  <c r="J328" i="8" s="1"/>
  <c r="K328" i="5"/>
  <c r="O328" i="8" s="1"/>
  <c r="Q327" i="8"/>
  <c r="P328" i="8" s="1"/>
  <c r="A329" i="8"/>
  <c r="B329" i="8" s="1"/>
  <c r="R328" i="8" l="1"/>
  <c r="F329" i="5"/>
  <c r="J329" i="8" s="1"/>
  <c r="K329" i="5"/>
  <c r="O329" i="8" s="1"/>
  <c r="A331" i="5"/>
  <c r="M330" i="5" s="1"/>
  <c r="Q328" i="8"/>
  <c r="P329" i="8" s="1"/>
  <c r="A330" i="8"/>
  <c r="B330" i="8" s="1"/>
  <c r="R329" i="8" l="1"/>
  <c r="F330" i="5"/>
  <c r="J330" i="8" s="1"/>
  <c r="K330" i="5"/>
  <c r="O330" i="8" s="1"/>
  <c r="A332" i="5"/>
  <c r="Q329" i="8"/>
  <c r="P330" i="8" s="1"/>
  <c r="A331" i="8"/>
  <c r="B331" i="8" s="1"/>
  <c r="R330" i="8" l="1"/>
  <c r="A333" i="5"/>
  <c r="M332" i="5" s="1"/>
  <c r="M331" i="5"/>
  <c r="Q330" i="8"/>
  <c r="P331" i="8" s="1"/>
  <c r="A332" i="8"/>
  <c r="B332" i="8" s="1"/>
  <c r="R331" i="8" l="1"/>
  <c r="F331" i="5"/>
  <c r="J331" i="8" s="1"/>
  <c r="K331" i="5"/>
  <c r="O331" i="8" s="1"/>
  <c r="Q331" i="8" s="1"/>
  <c r="K332" i="5"/>
  <c r="O332" i="8" s="1"/>
  <c r="F332" i="5"/>
  <c r="J332" i="8" s="1"/>
  <c r="A334" i="5"/>
  <c r="M333" i="5" s="1"/>
  <c r="A333" i="8"/>
  <c r="B333" i="8" s="1"/>
  <c r="P332" i="8" l="1"/>
  <c r="Q332" i="8" s="1"/>
  <c r="P333" i="8" s="1"/>
  <c r="R332" i="8"/>
  <c r="A335" i="5"/>
  <c r="M334" i="5" s="1"/>
  <c r="K333" i="5"/>
  <c r="O333" i="8" s="1"/>
  <c r="F333" i="5"/>
  <c r="J333" i="8" s="1"/>
  <c r="A334" i="8"/>
  <c r="B334" i="8" s="1"/>
  <c r="R333" i="8" l="1"/>
  <c r="F334" i="5"/>
  <c r="J334" i="8" s="1"/>
  <c r="K334" i="5"/>
  <c r="O334" i="8" s="1"/>
  <c r="A336" i="5"/>
  <c r="Q333" i="8"/>
  <c r="P334" i="8" s="1"/>
  <c r="A335" i="8"/>
  <c r="B335" i="8" s="1"/>
  <c r="R334" i="8" l="1"/>
  <c r="A337" i="5"/>
  <c r="M336" i="5" s="1"/>
  <c r="M335" i="5"/>
  <c r="Q334" i="8"/>
  <c r="P335" i="8" s="1"/>
  <c r="A336" i="8"/>
  <c r="B336" i="8" s="1"/>
  <c r="R335" i="8" l="1"/>
  <c r="F336" i="5"/>
  <c r="J336" i="8" s="1"/>
  <c r="K336" i="5"/>
  <c r="O336" i="8" s="1"/>
  <c r="K335" i="5"/>
  <c r="O335" i="8" s="1"/>
  <c r="Q335" i="8" s="1"/>
  <c r="P336" i="8" s="1"/>
  <c r="F335" i="5"/>
  <c r="J335" i="8" s="1"/>
  <c r="A338" i="5"/>
  <c r="M337" i="5" s="1"/>
  <c r="A337" i="8"/>
  <c r="B337" i="8" s="1"/>
  <c r="R336" i="8" l="1"/>
  <c r="F337" i="5"/>
  <c r="J337" i="8" s="1"/>
  <c r="K337" i="5"/>
  <c r="O337" i="8" s="1"/>
  <c r="A339" i="5"/>
  <c r="Q336" i="8"/>
  <c r="P337" i="8" s="1"/>
  <c r="A338" i="8"/>
  <c r="B338" i="8" s="1"/>
  <c r="R337" i="8" l="1"/>
  <c r="A340" i="5"/>
  <c r="M339" i="5" s="1"/>
  <c r="M338" i="5"/>
  <c r="Q337" i="8"/>
  <c r="P338" i="8" s="1"/>
  <c r="A339" i="8"/>
  <c r="B339" i="8" s="1"/>
  <c r="R338" i="8" l="1"/>
  <c r="K339" i="5"/>
  <c r="O339" i="8" s="1"/>
  <c r="F339" i="5"/>
  <c r="J339" i="8" s="1"/>
  <c r="K338" i="5"/>
  <c r="O338" i="8" s="1"/>
  <c r="Q338" i="8" s="1"/>
  <c r="P339" i="8" s="1"/>
  <c r="F338" i="5"/>
  <c r="J338" i="8" s="1"/>
  <c r="A341" i="5"/>
  <c r="M340" i="5" s="1"/>
  <c r="A340" i="8"/>
  <c r="B340" i="8" s="1"/>
  <c r="R339" i="8" l="1"/>
  <c r="F340" i="5"/>
  <c r="J340" i="8" s="1"/>
  <c r="K340" i="5"/>
  <c r="O340" i="8" s="1"/>
  <c r="A342" i="5"/>
  <c r="M341" i="5" s="1"/>
  <c r="Q339" i="8"/>
  <c r="P340" i="8" s="1"/>
  <c r="A341" i="8"/>
  <c r="B341" i="8" s="1"/>
  <c r="R340" i="8" l="1"/>
  <c r="K341" i="5"/>
  <c r="O341" i="8" s="1"/>
  <c r="F341" i="5"/>
  <c r="J341" i="8" s="1"/>
  <c r="A343" i="5"/>
  <c r="Q340" i="8"/>
  <c r="P341" i="8" s="1"/>
  <c r="A342" i="8"/>
  <c r="B342" i="8" s="1"/>
  <c r="R341" i="8" l="1"/>
  <c r="A344" i="5"/>
  <c r="M343" i="5" s="1"/>
  <c r="M342" i="5"/>
  <c r="Q341" i="8"/>
  <c r="P342" i="8" s="1"/>
  <c r="A343" i="8"/>
  <c r="B343" i="8" s="1"/>
  <c r="R342" i="8" l="1"/>
  <c r="K343" i="5"/>
  <c r="O343" i="8" s="1"/>
  <c r="F343" i="5"/>
  <c r="J343" i="8" s="1"/>
  <c r="K342" i="5"/>
  <c r="O342" i="8" s="1"/>
  <c r="Q342" i="8" s="1"/>
  <c r="P343" i="8" s="1"/>
  <c r="F342" i="5"/>
  <c r="J342" i="8" s="1"/>
  <c r="A345" i="5"/>
  <c r="M344" i="5" s="1"/>
  <c r="A344" i="8"/>
  <c r="B344" i="8" s="1"/>
  <c r="R343" i="8" l="1"/>
  <c r="A346" i="5"/>
  <c r="M345" i="5" s="1"/>
  <c r="K344" i="5"/>
  <c r="O344" i="8" s="1"/>
  <c r="F344" i="5"/>
  <c r="J344" i="8" s="1"/>
  <c r="Q343" i="8"/>
  <c r="P344" i="8" s="1"/>
  <c r="A345" i="8"/>
  <c r="B345" i="8" s="1"/>
  <c r="R344" i="8" l="1"/>
  <c r="F345" i="5"/>
  <c r="J345" i="8" s="1"/>
  <c r="K345" i="5"/>
  <c r="O345" i="8" s="1"/>
  <c r="A347" i="5"/>
  <c r="M346" i="5" s="1"/>
  <c r="Q344" i="8"/>
  <c r="P345" i="8" s="1"/>
  <c r="A346" i="8"/>
  <c r="B346" i="8" s="1"/>
  <c r="R345" i="8" l="1"/>
  <c r="F346" i="5"/>
  <c r="J346" i="8" s="1"/>
  <c r="K346" i="5"/>
  <c r="O346" i="8" s="1"/>
  <c r="A348" i="5"/>
  <c r="M347" i="5" s="1"/>
  <c r="Q345" i="8"/>
  <c r="P346" i="8" s="1"/>
  <c r="A347" i="8"/>
  <c r="B347" i="8" s="1"/>
  <c r="R346" i="8" l="1"/>
  <c r="A349" i="5"/>
  <c r="M348" i="5" s="1"/>
  <c r="K347" i="5"/>
  <c r="O347" i="8" s="1"/>
  <c r="F347" i="5"/>
  <c r="J347" i="8" s="1"/>
  <c r="Q346" i="8"/>
  <c r="P347" i="8" s="1"/>
  <c r="A348" i="8"/>
  <c r="B348" i="8" s="1"/>
  <c r="R347" i="8" l="1"/>
  <c r="K348" i="5"/>
  <c r="O348" i="8" s="1"/>
  <c r="F348" i="5"/>
  <c r="J348" i="8" s="1"/>
  <c r="A350" i="5"/>
  <c r="M349" i="5" s="1"/>
  <c r="Q347" i="8"/>
  <c r="P348" i="8" s="1"/>
  <c r="A349" i="8"/>
  <c r="B349" i="8" s="1"/>
  <c r="R348" i="8" l="1"/>
  <c r="K349" i="5"/>
  <c r="O349" i="8" s="1"/>
  <c r="F349" i="5"/>
  <c r="J349" i="8" s="1"/>
  <c r="A351" i="5"/>
  <c r="Q348" i="8"/>
  <c r="P349" i="8" s="1"/>
  <c r="A350" i="8"/>
  <c r="B350" i="8" s="1"/>
  <c r="R349" i="8" l="1"/>
  <c r="A352" i="5"/>
  <c r="M351" i="5" s="1"/>
  <c r="M350" i="5"/>
  <c r="Q349" i="8"/>
  <c r="P350" i="8" s="1"/>
  <c r="A351" i="8"/>
  <c r="B351" i="8" s="1"/>
  <c r="R350" i="8" l="1"/>
  <c r="K351" i="5"/>
  <c r="O351" i="8" s="1"/>
  <c r="F351" i="5"/>
  <c r="J351" i="8" s="1"/>
  <c r="F350" i="5"/>
  <c r="J350" i="8" s="1"/>
  <c r="K350" i="5"/>
  <c r="O350" i="8" s="1"/>
  <c r="Q350" i="8" s="1"/>
  <c r="P351" i="8" s="1"/>
  <c r="A353" i="5"/>
  <c r="M352" i="5" s="1"/>
  <c r="A352" i="8"/>
  <c r="B352" i="8" s="1"/>
  <c r="R351" i="8" l="1"/>
  <c r="A354" i="5"/>
  <c r="M353" i="5" s="1"/>
  <c r="F352" i="5"/>
  <c r="J352" i="8" s="1"/>
  <c r="K352" i="5"/>
  <c r="O352" i="8" s="1"/>
  <c r="Q351" i="8"/>
  <c r="P352" i="8" s="1"/>
  <c r="A353" i="8"/>
  <c r="B353" i="8" s="1"/>
  <c r="R352" i="8" l="1"/>
  <c r="F353" i="5"/>
  <c r="J353" i="8" s="1"/>
  <c r="K353" i="5"/>
  <c r="O353" i="8" s="1"/>
  <c r="A355" i="5"/>
  <c r="Q352" i="8"/>
  <c r="P353" i="8" s="1"/>
  <c r="A354" i="8"/>
  <c r="B354" i="8" s="1"/>
  <c r="R353" i="8" l="1"/>
  <c r="A356" i="5"/>
  <c r="M355" i="5" s="1"/>
  <c r="M354" i="5"/>
  <c r="Q353" i="8"/>
  <c r="P354" i="8" s="1"/>
  <c r="A355" i="8"/>
  <c r="B355" i="8" s="1"/>
  <c r="R354" i="8" l="1"/>
  <c r="K355" i="5"/>
  <c r="O355" i="8" s="1"/>
  <c r="F355" i="5"/>
  <c r="J355" i="8" s="1"/>
  <c r="F354" i="5"/>
  <c r="J354" i="8" s="1"/>
  <c r="K354" i="5"/>
  <c r="O354" i="8" s="1"/>
  <c r="Q354" i="8" s="1"/>
  <c r="P355" i="8" s="1"/>
  <c r="A357" i="5"/>
  <c r="M356" i="5" s="1"/>
  <c r="A356" i="8"/>
  <c r="B356" i="8" s="1"/>
  <c r="R355" i="8" l="1"/>
  <c r="K356" i="5"/>
  <c r="O356" i="8" s="1"/>
  <c r="F356" i="5"/>
  <c r="J356" i="8" s="1"/>
  <c r="A358" i="5"/>
  <c r="M357" i="5" s="1"/>
  <c r="Q355" i="8"/>
  <c r="P356" i="8" s="1"/>
  <c r="A357" i="8"/>
  <c r="B357" i="8" s="1"/>
  <c r="R356" i="8" l="1"/>
  <c r="F357" i="5"/>
  <c r="J357" i="8" s="1"/>
  <c r="K357" i="5"/>
  <c r="O357" i="8" s="1"/>
  <c r="A359" i="5"/>
  <c r="Q356" i="8"/>
  <c r="P357" i="8" s="1"/>
  <c r="A358" i="8"/>
  <c r="B358" i="8" s="1"/>
  <c r="R357" i="8" l="1"/>
  <c r="A360" i="5"/>
  <c r="M359" i="5" s="1"/>
  <c r="M358" i="5"/>
  <c r="Q357" i="8"/>
  <c r="P358" i="8" s="1"/>
  <c r="A359" i="8"/>
  <c r="B359" i="8" s="1"/>
  <c r="R358" i="8" l="1"/>
  <c r="F359" i="5"/>
  <c r="J359" i="8" s="1"/>
  <c r="K359" i="5"/>
  <c r="O359" i="8" s="1"/>
  <c r="F358" i="5"/>
  <c r="J358" i="8" s="1"/>
  <c r="K358" i="5"/>
  <c r="O358" i="8" s="1"/>
  <c r="Q358" i="8" s="1"/>
  <c r="P359" i="8" s="1"/>
  <c r="A361" i="5"/>
  <c r="M360" i="5" s="1"/>
  <c r="A360" i="8"/>
  <c r="B360" i="8" s="1"/>
  <c r="R359" i="8" l="1"/>
  <c r="F360" i="5"/>
  <c r="J360" i="8" s="1"/>
  <c r="K360" i="5"/>
  <c r="O360" i="8" s="1"/>
  <c r="A362" i="5"/>
  <c r="M361" i="5" s="1"/>
  <c r="Q359" i="8"/>
  <c r="P360" i="8" s="1"/>
  <c r="A361" i="8"/>
  <c r="B361" i="8" s="1"/>
  <c r="R360" i="8" l="1"/>
  <c r="F361" i="5"/>
  <c r="J361" i="8" s="1"/>
  <c r="K361" i="5"/>
  <c r="O361" i="8" s="1"/>
  <c r="A363" i="5"/>
  <c r="M362" i="5" s="1"/>
  <c r="Q360" i="8"/>
  <c r="P361" i="8" s="1"/>
  <c r="A362" i="8"/>
  <c r="B362" i="8" s="1"/>
  <c r="R361" i="8" l="1"/>
  <c r="F362" i="5"/>
  <c r="J362" i="8" s="1"/>
  <c r="K362" i="5"/>
  <c r="O362" i="8" s="1"/>
  <c r="A364" i="5"/>
  <c r="M363" i="5" s="1"/>
  <c r="Q361" i="8"/>
  <c r="P362" i="8" s="1"/>
  <c r="A363" i="8"/>
  <c r="B363" i="8" s="1"/>
  <c r="R362" i="8" l="1"/>
  <c r="K363" i="5"/>
  <c r="O363" i="8" s="1"/>
  <c r="F363" i="5"/>
  <c r="J363" i="8" s="1"/>
  <c r="A365" i="5"/>
  <c r="M364" i="5" s="1"/>
  <c r="Q362" i="8"/>
  <c r="P363" i="8" s="1"/>
  <c r="A364" i="8"/>
  <c r="B364" i="8" s="1"/>
  <c r="R363" i="8" l="1"/>
  <c r="F364" i="5"/>
  <c r="J364" i="8" s="1"/>
  <c r="K364" i="5"/>
  <c r="O364" i="8" s="1"/>
  <c r="A366" i="5"/>
  <c r="M365" i="5" s="1"/>
  <c r="Q363" i="8"/>
  <c r="P364" i="8" s="1"/>
  <c r="A365" i="8"/>
  <c r="B365" i="8" s="1"/>
  <c r="R364" i="8" l="1"/>
  <c r="K365" i="5"/>
  <c r="O365" i="8" s="1"/>
  <c r="F365" i="5"/>
  <c r="J365" i="8" s="1"/>
  <c r="A367" i="5"/>
  <c r="M367" i="5" s="1"/>
  <c r="Q364" i="8"/>
  <c r="P365" i="8" s="1"/>
  <c r="A366" i="8"/>
  <c r="B366" i="8" s="1"/>
  <c r="U2" i="8" s="1" a="1"/>
  <c r="U2" i="8" s="1"/>
  <c r="M366" i="5" l="1"/>
  <c r="F366" i="5" s="1"/>
  <c r="J366" i="8" s="1"/>
  <c r="R365" i="8"/>
  <c r="F367" i="5"/>
  <c r="K367" i="5"/>
  <c r="Q365" i="8"/>
  <c r="P366" i="8" s="1"/>
  <c r="K366" i="5" l="1"/>
  <c r="O366" i="8" s="1"/>
  <c r="Q366" i="8" s="1"/>
  <c r="E6" i="7" s="1"/>
  <c r="R366" i="8"/>
  <c r="M4" i="8"/>
  <c r="K4" i="8"/>
  <c r="L4" i="8" l="1"/>
  <c r="M5" i="8" s="1"/>
  <c r="K5" i="8" l="1"/>
  <c r="L5" i="8" l="1"/>
  <c r="M6" i="8" l="1"/>
  <c r="K6" i="8"/>
  <c r="L6" i="8" l="1"/>
  <c r="K7" i="8" s="1"/>
  <c r="M7" i="8" l="1"/>
  <c r="L7" i="8"/>
  <c r="M8" i="8" l="1"/>
  <c r="K8" i="8"/>
  <c r="L8" i="8" l="1"/>
  <c r="M9" i="8" s="1"/>
  <c r="K9" i="8" l="1"/>
  <c r="L9" i="8" l="1"/>
  <c r="M10" i="8" s="1"/>
  <c r="K10" i="8" l="1"/>
  <c r="L10" i="8" s="1"/>
  <c r="K11" i="8" s="1"/>
  <c r="M11" i="8" l="1"/>
  <c r="L11" i="8"/>
  <c r="K12" i="8" s="1"/>
  <c r="M12" i="8" l="1"/>
  <c r="L12" i="8"/>
  <c r="M13" i="8" l="1"/>
  <c r="K13" i="8"/>
  <c r="L13" i="8" l="1"/>
  <c r="M14" i="8" s="1"/>
  <c r="K14" i="8" l="1"/>
  <c r="L14" i="8" l="1"/>
  <c r="M15" i="8" s="1"/>
  <c r="K15" i="8" l="1"/>
  <c r="L15" i="8" s="1"/>
  <c r="K16" i="8" s="1"/>
  <c r="M16" i="8" l="1"/>
  <c r="L16" i="8"/>
  <c r="K17" i="8" s="1"/>
  <c r="M17" i="8" l="1"/>
  <c r="L17" i="8"/>
  <c r="K18" i="8" s="1"/>
  <c r="M18" i="8" l="1"/>
  <c r="L18" i="8"/>
  <c r="K19" i="8" s="1"/>
  <c r="L19" i="8" l="1"/>
  <c r="K20" i="8" s="1"/>
  <c r="M19" i="8"/>
  <c r="M20" i="8" l="1"/>
  <c r="L20" i="8"/>
  <c r="K21" i="8" s="1"/>
  <c r="L21" i="8" l="1"/>
  <c r="K22" i="8" s="1"/>
  <c r="M21" i="8"/>
  <c r="M22" i="8" l="1"/>
  <c r="L22" i="8"/>
  <c r="M23" i="8" l="1"/>
  <c r="K23" i="8"/>
  <c r="L23" i="8" s="1"/>
  <c r="M24" i="8" l="1"/>
  <c r="K24" i="8"/>
  <c r="L24" i="8" l="1"/>
  <c r="M25" i="8" s="1"/>
  <c r="K25" i="8" l="1"/>
  <c r="L25" i="8" l="1"/>
  <c r="M26" i="8" s="1"/>
  <c r="K26" i="8" l="1"/>
  <c r="L26" i="8" s="1"/>
  <c r="M27" i="8" s="1"/>
  <c r="K27" i="8" l="1"/>
  <c r="L27" i="8" s="1"/>
  <c r="M28" i="8" s="1"/>
  <c r="K28" i="8" l="1"/>
  <c r="L28" i="8" l="1"/>
  <c r="M29" i="8" s="1"/>
  <c r="K29" i="8" l="1"/>
  <c r="L29" i="8" l="1"/>
  <c r="M30" i="8" s="1"/>
  <c r="K30" i="8" l="1"/>
  <c r="L30" i="8" l="1"/>
  <c r="M31" i="8" s="1"/>
  <c r="K31" i="8" l="1"/>
  <c r="L31" i="8" l="1"/>
  <c r="M32" i="8" s="1"/>
  <c r="K32" i="8" l="1"/>
  <c r="L32" i="8" l="1"/>
  <c r="M33" i="8" s="1"/>
  <c r="K33" i="8" l="1"/>
  <c r="L33" i="8" s="1"/>
  <c r="M34" i="8" s="1"/>
  <c r="K34" i="8" l="1"/>
  <c r="L34" i="8" s="1"/>
  <c r="M35" i="8" s="1"/>
  <c r="K35" i="8" l="1"/>
  <c r="L35" i="8" l="1"/>
  <c r="M36" i="8" s="1"/>
  <c r="K36" i="8" l="1"/>
  <c r="L36" i="8" s="1"/>
  <c r="K37" i="8" s="1"/>
  <c r="M37" i="8" l="1"/>
  <c r="L37" i="8"/>
  <c r="M38" i="8" l="1"/>
  <c r="K38" i="8"/>
  <c r="L38" i="8" l="1"/>
  <c r="M39" i="8" s="1"/>
  <c r="K39" i="8" l="1"/>
  <c r="L39" i="8" l="1"/>
  <c r="M40" i="8" s="1"/>
  <c r="K40" i="8" l="1"/>
  <c r="L40" i="8" l="1"/>
  <c r="M41" i="8" s="1"/>
  <c r="K41" i="8" l="1"/>
  <c r="L41" i="8" s="1"/>
  <c r="K42" i="8" s="1"/>
  <c r="L42" i="8" l="1"/>
  <c r="K43" i="8" s="1"/>
  <c r="M42" i="8"/>
  <c r="M43" i="8" l="1"/>
  <c r="L43" i="8"/>
  <c r="K44" i="8" s="1"/>
  <c r="M44" i="8" l="1"/>
  <c r="L44" i="8"/>
  <c r="M45" i="8" l="1"/>
  <c r="K45" i="8"/>
  <c r="L45" i="8" l="1"/>
  <c r="M46" i="8" s="1"/>
  <c r="K46" i="8" l="1"/>
  <c r="L46" i="8" l="1"/>
  <c r="M47" i="8" s="1"/>
  <c r="K47" i="8" l="1"/>
  <c r="L47" i="8" l="1"/>
  <c r="M48" i="8" s="1"/>
  <c r="K48" i="8" l="1"/>
  <c r="L48" i="8" l="1"/>
  <c r="M49" i="8" s="1"/>
  <c r="K49" i="8" l="1"/>
  <c r="L49" i="8" l="1"/>
  <c r="M50" i="8" s="1"/>
  <c r="K50" i="8" l="1"/>
  <c r="L50" i="8" s="1"/>
  <c r="K51" i="8" s="1"/>
  <c r="L51" i="8" l="1"/>
  <c r="K52" i="8" s="1"/>
  <c r="M51" i="8"/>
  <c r="M52" i="8" l="1"/>
  <c r="L52" i="8"/>
  <c r="K53" i="8" s="1"/>
  <c r="M53" i="8" l="1"/>
  <c r="L53" i="8"/>
  <c r="M54" i="8" l="1"/>
  <c r="K54" i="8"/>
  <c r="L54" i="8" l="1"/>
  <c r="M55" i="8" s="1"/>
  <c r="K55" i="8" l="1"/>
  <c r="L55" i="8" l="1"/>
  <c r="M56" i="8" s="1"/>
  <c r="K56" i="8" l="1"/>
  <c r="L56" i="8" l="1"/>
  <c r="M57" i="8" s="1"/>
  <c r="K57" i="8" l="1"/>
  <c r="L57" i="8" s="1"/>
  <c r="M58" i="8" s="1"/>
  <c r="K58" i="8" l="1"/>
  <c r="L58" i="8" l="1"/>
  <c r="M59" i="8" s="1"/>
  <c r="K59" i="8" l="1"/>
  <c r="L59" i="8" l="1"/>
  <c r="M60" i="8" s="1"/>
  <c r="K60" i="8" l="1"/>
  <c r="L60" i="8" s="1"/>
  <c r="K61" i="8" s="1"/>
  <c r="L61" i="8" l="1"/>
  <c r="K62" i="8" s="1"/>
  <c r="M61" i="8"/>
  <c r="M62" i="8" l="1"/>
  <c r="L62" i="8"/>
  <c r="K63" i="8" s="1"/>
  <c r="L63" i="8" l="1"/>
  <c r="K64" i="8" s="1"/>
  <c r="M63" i="8"/>
  <c r="M64" i="8" l="1"/>
  <c r="L64" i="8"/>
  <c r="M65" i="8" l="1"/>
  <c r="K65" i="8"/>
  <c r="L65" i="8" l="1"/>
  <c r="M66" i="8" s="1"/>
  <c r="K66" i="8" l="1"/>
  <c r="L66" i="8" s="1"/>
  <c r="K67" i="8" s="1"/>
  <c r="L67" i="8" l="1"/>
  <c r="K68" i="8" s="1"/>
  <c r="M67" i="8"/>
  <c r="M68" i="8" l="1"/>
  <c r="L68" i="8"/>
  <c r="M69" i="8" l="1"/>
  <c r="K69" i="8"/>
  <c r="L69" i="8" l="1"/>
  <c r="M70" i="8" s="1"/>
  <c r="K70" i="8" l="1"/>
  <c r="L70" i="8" l="1"/>
  <c r="M71" i="8" s="1"/>
  <c r="K71" i="8" l="1"/>
  <c r="L71" i="8" l="1"/>
  <c r="M72" i="8" s="1"/>
  <c r="K72" i="8" l="1"/>
  <c r="L72" i="8" l="1"/>
  <c r="M73" i="8" s="1"/>
  <c r="K73" i="8" l="1"/>
  <c r="L73" i="8" l="1"/>
  <c r="M74" i="8" s="1"/>
  <c r="K74" i="8" l="1"/>
  <c r="L74" i="8" s="1"/>
  <c r="M75" i="8" s="1"/>
  <c r="K75" i="8" l="1"/>
  <c r="L75" i="8" l="1"/>
  <c r="M76" i="8" s="1"/>
  <c r="K76" i="8" l="1"/>
  <c r="L76" i="8" s="1"/>
  <c r="K77" i="8" l="1"/>
  <c r="L77" i="8" s="1"/>
  <c r="K78" i="8" s="1"/>
  <c r="M77" i="8"/>
  <c r="M78" i="8" l="1"/>
  <c r="L78" i="8"/>
  <c r="K79" i="8" s="1"/>
  <c r="M79" i="8" l="1"/>
  <c r="L79" i="8"/>
  <c r="M80" i="8" l="1"/>
  <c r="K80" i="8"/>
  <c r="L80" i="8" s="1"/>
  <c r="M81" i="8" l="1"/>
  <c r="K81" i="8"/>
  <c r="L81" i="8" s="1"/>
  <c r="M82" i="8" l="1"/>
  <c r="K82" i="8"/>
  <c r="L82" i="8" s="1"/>
  <c r="M83" i="8" l="1"/>
  <c r="K83" i="8"/>
  <c r="L83" i="8" l="1"/>
  <c r="M84" i="8" s="1"/>
  <c r="K84" i="8" l="1"/>
  <c r="L84" i="8" l="1"/>
  <c r="M85" i="8" s="1"/>
  <c r="K85" i="8" l="1"/>
  <c r="L85" i="8" l="1"/>
  <c r="M86" i="8" s="1"/>
  <c r="K86" i="8" l="1"/>
  <c r="L86" i="8" l="1"/>
  <c r="M87" i="8" s="1"/>
  <c r="K87" i="8" l="1"/>
  <c r="L87" i="8" s="1"/>
  <c r="K88" i="8" s="1"/>
  <c r="M88" i="8" l="1"/>
  <c r="L88" i="8"/>
  <c r="K89" i="8" s="1"/>
  <c r="M89" i="8" l="1"/>
  <c r="L89" i="8"/>
  <c r="K90" i="8" s="1"/>
  <c r="M90" i="8" l="1"/>
  <c r="L90" i="8"/>
  <c r="K91" i="8" s="1"/>
  <c r="M91" i="8" l="1"/>
  <c r="L91" i="8"/>
  <c r="K92" i="8" s="1"/>
  <c r="L92" i="8" l="1"/>
  <c r="K93" i="8" s="1"/>
  <c r="M92" i="8"/>
  <c r="M93" i="8" l="1"/>
  <c r="L93" i="8"/>
  <c r="K94" i="8" s="1"/>
  <c r="M94" i="8" l="1"/>
  <c r="L94" i="8"/>
  <c r="K95" i="8" s="1"/>
  <c r="L95" i="8" l="1"/>
  <c r="K96" i="8" s="1"/>
  <c r="M95" i="8"/>
  <c r="M96" i="8" l="1"/>
  <c r="L96" i="8"/>
  <c r="M97" i="8" l="1"/>
  <c r="K97" i="8"/>
  <c r="L97" i="8" l="1"/>
  <c r="M98" i="8" s="1"/>
  <c r="K98" i="8" l="1"/>
  <c r="L98" i="8" l="1"/>
  <c r="M99" i="8" s="1"/>
  <c r="K99" i="8" l="1"/>
  <c r="L99" i="8" l="1"/>
  <c r="M100" i="8" s="1"/>
  <c r="K100" i="8" l="1"/>
  <c r="L100" i="8" s="1"/>
  <c r="K101" i="8" s="1"/>
  <c r="M101" i="8" l="1"/>
  <c r="L101" i="8"/>
  <c r="K102" i="8" s="1"/>
  <c r="L102" i="8" l="1"/>
  <c r="K103" i="8" s="1"/>
  <c r="M102" i="8"/>
  <c r="M103" i="8" l="1"/>
  <c r="L103" i="8"/>
  <c r="M104" i="8" l="1"/>
  <c r="K104" i="8"/>
  <c r="L104" i="8" s="1"/>
  <c r="M105" i="8" l="1"/>
  <c r="K105" i="8"/>
  <c r="L105" i="8" l="1"/>
  <c r="M106" i="8" s="1"/>
  <c r="K106" i="8" l="1"/>
  <c r="L106" i="8" s="1"/>
  <c r="K107" i="8" s="1"/>
  <c r="M107" i="8" l="1"/>
  <c r="L107" i="8"/>
  <c r="K108" i="8" s="1"/>
  <c r="M108" i="8" l="1"/>
  <c r="L108" i="8"/>
  <c r="K109" i="8" s="1"/>
  <c r="L109" i="8" l="1"/>
  <c r="K110" i="8" s="1"/>
  <c r="M109" i="8"/>
  <c r="L110" i="8" l="1"/>
  <c r="K111" i="8" s="1"/>
  <c r="M110" i="8"/>
  <c r="L111" i="8" l="1"/>
  <c r="K112" i="8" s="1"/>
  <c r="M111" i="8"/>
  <c r="M112" i="8" l="1"/>
  <c r="L112" i="8"/>
  <c r="K113" i="8" s="1"/>
  <c r="L113" i="8" l="1"/>
  <c r="K114" i="8" s="1"/>
  <c r="M113" i="8"/>
  <c r="M114" i="8" l="1"/>
  <c r="L114" i="8"/>
  <c r="K115" i="8" s="1"/>
  <c r="M115" i="8" l="1"/>
  <c r="L115" i="8"/>
  <c r="K116" i="8" s="1"/>
  <c r="L116" i="8" l="1"/>
  <c r="K117" i="8" s="1"/>
  <c r="M116" i="8"/>
  <c r="L117" i="8" l="1"/>
  <c r="K118" i="8" s="1"/>
  <c r="M117" i="8"/>
  <c r="L118" i="8" l="1"/>
  <c r="K119" i="8" s="1"/>
  <c r="M118" i="8"/>
  <c r="L119" i="8" l="1"/>
  <c r="K120" i="8" s="1"/>
  <c r="M119" i="8"/>
  <c r="L120" i="8" l="1"/>
  <c r="K121" i="8" s="1"/>
  <c r="M120" i="8"/>
  <c r="L121" i="8" l="1"/>
  <c r="K122" i="8" s="1"/>
  <c r="M121" i="8"/>
  <c r="L122" i="8" l="1"/>
  <c r="K123" i="8" s="1"/>
  <c r="M122" i="8"/>
  <c r="M123" i="8" l="1"/>
  <c r="L123" i="8"/>
  <c r="K124" i="8" s="1"/>
  <c r="L124" i="8" l="1"/>
  <c r="K125" i="8" s="1"/>
  <c r="M124" i="8"/>
  <c r="L125" i="8" l="1"/>
  <c r="K126" i="8" s="1"/>
  <c r="M125" i="8"/>
  <c r="M126" i="8" l="1"/>
  <c r="L126" i="8"/>
  <c r="K127" i="8" s="1"/>
  <c r="M127" i="8" l="1"/>
  <c r="L127" i="8"/>
  <c r="M128" i="8" l="1"/>
  <c r="K128" i="8"/>
  <c r="L128" i="8" l="1"/>
  <c r="M129" i="8" s="1"/>
  <c r="K129" i="8" l="1"/>
  <c r="L129" i="8" l="1"/>
  <c r="M130" i="8" s="1"/>
  <c r="K130" i="8" l="1"/>
  <c r="L130" i="8" l="1"/>
  <c r="M131" i="8" s="1"/>
  <c r="K131" i="8" l="1"/>
  <c r="L131" i="8" l="1"/>
  <c r="M132" i="8" s="1"/>
  <c r="K132" i="8" l="1"/>
  <c r="L132" i="8" l="1"/>
  <c r="M133" i="8" s="1"/>
  <c r="K133" i="8" l="1"/>
  <c r="L133" i="8" l="1"/>
  <c r="M134" i="8" s="1"/>
  <c r="K134" i="8" l="1"/>
  <c r="L134" i="8" l="1"/>
  <c r="M135" i="8" s="1"/>
  <c r="K135" i="8" l="1"/>
  <c r="L135" i="8" s="1"/>
  <c r="K136" i="8" s="1"/>
  <c r="M136" i="8" l="1"/>
  <c r="L136" i="8"/>
  <c r="M137" i="8" l="1"/>
  <c r="K137" i="8"/>
  <c r="L137" i="8" l="1"/>
  <c r="M138" i="8" s="1"/>
  <c r="K138" i="8" l="1"/>
  <c r="L138" i="8" s="1"/>
  <c r="K139" i="8" l="1"/>
  <c r="L139" i="8" s="1"/>
  <c r="K140" i="8" s="1"/>
  <c r="M139" i="8"/>
  <c r="M140" i="8" l="1"/>
  <c r="L140" i="8"/>
  <c r="M141" i="8" l="1"/>
  <c r="K141" i="8"/>
  <c r="L141" i="8" l="1"/>
  <c r="M142" i="8" s="1"/>
  <c r="K142" i="8" l="1"/>
  <c r="L142" i="8" l="1"/>
  <c r="M143" i="8" s="1"/>
  <c r="K143" i="8" l="1"/>
  <c r="L143" i="8" s="1"/>
  <c r="K144" i="8" l="1"/>
  <c r="L144" i="8" s="1"/>
  <c r="K145" i="8" s="1"/>
  <c r="M144" i="8"/>
  <c r="L145" i="8" l="1"/>
  <c r="K146" i="8" s="1"/>
  <c r="M145" i="8"/>
  <c r="M146" i="8" l="1"/>
  <c r="L146" i="8"/>
  <c r="K147" i="8" s="1"/>
  <c r="M147" i="8" l="1"/>
  <c r="L147" i="8"/>
  <c r="K148" i="8" s="1"/>
  <c r="M148" i="8" l="1"/>
  <c r="L148" i="8"/>
  <c r="K149" i="8" s="1"/>
  <c r="M149" i="8" l="1"/>
  <c r="L149" i="8"/>
  <c r="K150" i="8" s="1"/>
  <c r="M150" i="8" l="1"/>
  <c r="L150" i="8"/>
  <c r="K151" i="8" s="1"/>
  <c r="M151" i="8" l="1"/>
  <c r="L151" i="8"/>
  <c r="M152" i="8" l="1"/>
  <c r="K152" i="8"/>
  <c r="L152" i="8" l="1"/>
  <c r="M153" i="8" s="1"/>
  <c r="K153" i="8" l="1"/>
  <c r="L153" i="8" s="1"/>
  <c r="K154" i="8" s="1"/>
  <c r="L154" i="8" l="1"/>
  <c r="K155" i="8" s="1"/>
  <c r="M154" i="8"/>
  <c r="M155" i="8" l="1"/>
  <c r="L155" i="8"/>
  <c r="K156" i="8" s="1"/>
  <c r="M156" i="8" l="1"/>
  <c r="L156" i="8"/>
  <c r="M157" i="8" l="1"/>
  <c r="K157" i="8"/>
  <c r="L157" i="8" l="1"/>
  <c r="M158" i="8" s="1"/>
  <c r="K158" i="8" l="1"/>
  <c r="L158" i="8" l="1"/>
  <c r="M159" i="8" s="1"/>
  <c r="K159" i="8" l="1"/>
  <c r="L159" i="8" s="1"/>
  <c r="K160" i="8" s="1"/>
  <c r="M160" i="8" l="1"/>
  <c r="L160" i="8"/>
  <c r="K161" i="8" s="1"/>
  <c r="M161" i="8" l="1"/>
  <c r="L161" i="8"/>
  <c r="K162" i="8" s="1"/>
  <c r="M162" i="8" l="1"/>
  <c r="L162" i="8"/>
  <c r="M163" i="8" l="1"/>
  <c r="K163" i="8"/>
  <c r="L163" i="8" l="1"/>
  <c r="M164" i="8" s="1"/>
  <c r="K164" i="8" l="1"/>
  <c r="L164" i="8" s="1"/>
  <c r="K165" i="8" l="1"/>
  <c r="L165" i="8" s="1"/>
  <c r="K166" i="8" s="1"/>
  <c r="M165" i="8"/>
  <c r="L166" i="8" l="1"/>
  <c r="K167" i="8" s="1"/>
  <c r="M166" i="8"/>
  <c r="M167" i="8" l="1"/>
  <c r="L167" i="8"/>
  <c r="M168" i="8" l="1"/>
  <c r="K168" i="8"/>
  <c r="L168" i="8" s="1"/>
  <c r="M169" i="8" l="1"/>
  <c r="K169" i="8"/>
  <c r="L169" i="8" l="1"/>
  <c r="M170" i="8" s="1"/>
  <c r="K170" i="8" l="1"/>
  <c r="L170" i="8" l="1"/>
  <c r="M171" i="8" s="1"/>
  <c r="K171" i="8" l="1"/>
  <c r="L171" i="8" l="1"/>
  <c r="M172" i="8" s="1"/>
  <c r="K172" i="8" l="1"/>
  <c r="L172" i="8" s="1"/>
  <c r="K173" i="8" l="1"/>
  <c r="L173" i="8" s="1"/>
  <c r="K174" i="8" s="1"/>
  <c r="M173" i="8"/>
  <c r="M174" i="8" l="1"/>
  <c r="L174" i="8"/>
  <c r="K175" i="8" s="1"/>
  <c r="M175" i="8" l="1"/>
  <c r="L175" i="8"/>
  <c r="K176" i="8" s="1"/>
  <c r="M176" i="8" l="1"/>
  <c r="L176" i="8"/>
  <c r="K177" i="8" s="1"/>
  <c r="M177" i="8" l="1"/>
  <c r="L177" i="8"/>
  <c r="M178" i="8" l="1"/>
  <c r="K178" i="8"/>
  <c r="L178" i="8" l="1"/>
  <c r="M179" i="8" s="1"/>
  <c r="K179" i="8" l="1"/>
  <c r="L179" i="8" l="1"/>
  <c r="M180" i="8" s="1"/>
  <c r="K180" i="8" l="1"/>
  <c r="L180" i="8" l="1"/>
  <c r="M181" i="8" s="1"/>
  <c r="K181" i="8" l="1"/>
  <c r="L181" i="8" l="1"/>
  <c r="M182" i="8" s="1"/>
  <c r="K182" i="8" l="1"/>
  <c r="L182" i="8" l="1"/>
  <c r="M183" i="8" s="1"/>
  <c r="K183" i="8" l="1"/>
  <c r="L183" i="8" s="1"/>
  <c r="K184" i="8" s="1"/>
  <c r="M184" i="8" l="1"/>
  <c r="L184" i="8"/>
  <c r="K185" i="8" s="1"/>
  <c r="M185" i="8" l="1"/>
  <c r="L185" i="8"/>
  <c r="M186" i="8" l="1"/>
  <c r="K186" i="8"/>
  <c r="L186" i="8" l="1"/>
  <c r="M187" i="8" s="1"/>
  <c r="K187" i="8" l="1"/>
  <c r="L187" i="8" l="1"/>
  <c r="M188" i="8" s="1"/>
  <c r="K188" i="8" l="1"/>
  <c r="L188" i="8" s="1"/>
  <c r="M189" i="8" s="1"/>
  <c r="K189" i="8" l="1"/>
  <c r="L189" i="8" l="1"/>
  <c r="M190" i="8" s="1"/>
  <c r="K190" i="8" l="1"/>
  <c r="L190" i="8" l="1"/>
  <c r="M191" i="8" s="1"/>
  <c r="K191" i="8" l="1"/>
  <c r="L191" i="8" l="1"/>
  <c r="M192" i="8" s="1"/>
  <c r="K192" i="8" l="1"/>
  <c r="L192" i="8" l="1"/>
  <c r="M193" i="8" s="1"/>
  <c r="K193" i="8" l="1"/>
  <c r="L193" i="8" l="1"/>
  <c r="M194" i="8" s="1"/>
  <c r="K194" i="8" l="1"/>
  <c r="L194" i="8" s="1"/>
  <c r="K195" i="8" s="1"/>
  <c r="M195" i="8" l="1"/>
  <c r="L195" i="8"/>
  <c r="K196" i="8" s="1"/>
  <c r="M196" i="8" l="1"/>
  <c r="L196" i="8"/>
  <c r="K197" i="8" s="1"/>
  <c r="M197" i="8" l="1"/>
  <c r="L197" i="8"/>
  <c r="K198" i="8" s="1"/>
  <c r="M198" i="8" l="1"/>
  <c r="L198" i="8"/>
  <c r="K199" i="8" s="1"/>
  <c r="M199" i="8" l="1"/>
  <c r="L199" i="8"/>
  <c r="K200" i="8" s="1"/>
  <c r="M200" i="8" l="1"/>
  <c r="L200" i="8"/>
  <c r="M201" i="8" l="1"/>
  <c r="K201" i="8"/>
  <c r="L201" i="8" l="1"/>
  <c r="M202" i="8" s="1"/>
  <c r="K202" i="8" l="1"/>
  <c r="L202" i="8" l="1"/>
  <c r="M203" i="8" s="1"/>
  <c r="K203" i="8" l="1"/>
  <c r="L203" i="8" l="1"/>
  <c r="M204" i="8" s="1"/>
  <c r="K204" i="8" l="1"/>
  <c r="L204" i="8" l="1"/>
  <c r="M205" i="8" s="1"/>
  <c r="K205" i="8" l="1"/>
  <c r="L205" i="8" l="1"/>
  <c r="M206" i="8" s="1"/>
  <c r="K206" i="8" l="1"/>
  <c r="L206" i="8" l="1"/>
  <c r="M207" i="8" s="1"/>
  <c r="K207" i="8" l="1"/>
  <c r="L207" i="8" s="1"/>
  <c r="K208" i="8" s="1"/>
  <c r="L208" i="8" l="1"/>
  <c r="K209" i="8" s="1"/>
  <c r="M208" i="8"/>
  <c r="M209" i="8" l="1"/>
  <c r="L209" i="8"/>
  <c r="M210" i="8" l="1"/>
  <c r="K210" i="8"/>
  <c r="L210" i="8" l="1"/>
  <c r="M211" i="8" s="1"/>
  <c r="K211" i="8" l="1"/>
  <c r="L211" i="8" l="1"/>
  <c r="M212" i="8" s="1"/>
  <c r="K212" i="8" l="1"/>
  <c r="L212" i="8" l="1"/>
  <c r="M213" i="8" s="1"/>
  <c r="K213" i="8" l="1"/>
  <c r="L213" i="8" l="1"/>
  <c r="M214" i="8" s="1"/>
  <c r="K214" i="8" l="1"/>
  <c r="L214" i="8" l="1"/>
  <c r="M215" i="8" s="1"/>
  <c r="K215" i="8" l="1"/>
  <c r="L215" i="8" l="1"/>
  <c r="M216" i="8" s="1"/>
  <c r="K216" i="8" l="1"/>
  <c r="L216" i="8" l="1"/>
  <c r="M217" i="8" s="1"/>
  <c r="K217" i="8" l="1"/>
  <c r="L217" i="8" l="1"/>
  <c r="M218" i="8" s="1"/>
  <c r="K218" i="8" l="1"/>
  <c r="L218" i="8" l="1"/>
  <c r="M219" i="8" s="1"/>
  <c r="K219" i="8" l="1"/>
  <c r="L219" i="8" l="1"/>
  <c r="M220" i="8" s="1"/>
  <c r="K220" i="8" l="1"/>
  <c r="L220" i="8" s="1"/>
  <c r="K221" i="8" s="1"/>
  <c r="M221" i="8" l="1"/>
  <c r="L221" i="8"/>
  <c r="K222" i="8" s="1"/>
  <c r="L222" i="8" l="1"/>
  <c r="K223" i="8" s="1"/>
  <c r="M222" i="8"/>
  <c r="M223" i="8" l="1"/>
  <c r="L223" i="8"/>
  <c r="K224" i="8" s="1"/>
  <c r="M224" i="8" l="1"/>
  <c r="L224" i="8"/>
  <c r="K225" i="8" s="1"/>
  <c r="M225" i="8" l="1"/>
  <c r="L225" i="8"/>
  <c r="K226" i="8" s="1"/>
  <c r="L226" i="8" l="1"/>
  <c r="K227" i="8" s="1"/>
  <c r="M226" i="8"/>
  <c r="M227" i="8" l="1"/>
  <c r="L227" i="8"/>
  <c r="K228" i="8" s="1"/>
  <c r="M228" i="8" l="1"/>
  <c r="L228" i="8"/>
  <c r="K229" i="8" s="1"/>
  <c r="M229" i="8" l="1"/>
  <c r="L229" i="8"/>
  <c r="K230" i="8" s="1"/>
  <c r="M230" i="8" l="1"/>
  <c r="L230" i="8"/>
  <c r="K231" i="8" s="1"/>
  <c r="M231" i="8" l="1"/>
  <c r="L231" i="8"/>
  <c r="K232" i="8" s="1"/>
  <c r="M232" i="8" l="1"/>
  <c r="L232" i="8"/>
  <c r="M233" i="8" l="1"/>
  <c r="K233" i="8"/>
  <c r="L233" i="8" s="1"/>
  <c r="M234" i="8" l="1"/>
  <c r="K234" i="8"/>
  <c r="L234" i="8" s="1"/>
  <c r="M235" i="8" l="1"/>
  <c r="K235" i="8"/>
  <c r="L235" i="8" l="1"/>
  <c r="M236" i="8" s="1"/>
  <c r="K236" i="8" l="1"/>
  <c r="L236" i="8" l="1"/>
  <c r="M237" i="8" s="1"/>
  <c r="K237" i="8" l="1"/>
  <c r="L237" i="8" l="1"/>
  <c r="M238" i="8" s="1"/>
  <c r="K238" i="8" l="1"/>
  <c r="L238" i="8" l="1"/>
  <c r="M239" i="8" s="1"/>
  <c r="K239" i="8" l="1"/>
  <c r="L239" i="8" s="1"/>
  <c r="K240" i="8" s="1"/>
  <c r="M240" i="8" l="1"/>
  <c r="L240" i="8"/>
  <c r="K241" i="8" s="1"/>
  <c r="M241" i="8" l="1"/>
  <c r="L241" i="8"/>
  <c r="K242" i="8" s="1"/>
  <c r="M242" i="8" l="1"/>
  <c r="L242" i="8"/>
  <c r="K243" i="8" s="1"/>
  <c r="M243" i="8" l="1"/>
  <c r="L243" i="8"/>
  <c r="K244" i="8" s="1"/>
  <c r="L244" i="8" l="1"/>
  <c r="K245" i="8" s="1"/>
  <c r="M244" i="8"/>
  <c r="M245" i="8" l="1"/>
  <c r="L245" i="8"/>
  <c r="K246" i="8" s="1"/>
  <c r="M246" i="8" l="1"/>
  <c r="L246" i="8"/>
  <c r="K247" i="8" s="1"/>
  <c r="M247" i="8" l="1"/>
  <c r="L247" i="8"/>
  <c r="M248" i="8" l="1"/>
  <c r="K248" i="8"/>
  <c r="L248" i="8" l="1"/>
  <c r="M249" i="8" s="1"/>
  <c r="K249" i="8" l="1"/>
  <c r="L249" i="8" s="1"/>
  <c r="K250" i="8" s="1"/>
  <c r="L250" i="8" l="1"/>
  <c r="K251" i="8" s="1"/>
  <c r="M250" i="8"/>
  <c r="M251" i="8" l="1"/>
  <c r="L251" i="8"/>
  <c r="K252" i="8" s="1"/>
  <c r="L252" i="8" l="1"/>
  <c r="K253" i="8" s="1"/>
  <c r="M252" i="8"/>
  <c r="M253" i="8" l="1"/>
  <c r="L253" i="8"/>
  <c r="K254" i="8" s="1"/>
  <c r="M254" i="8" l="1"/>
  <c r="L254" i="8"/>
  <c r="K255" i="8" s="1"/>
  <c r="M255" i="8" l="1"/>
  <c r="L255" i="8"/>
  <c r="K256" i="8" s="1"/>
  <c r="M256" i="8" l="1"/>
  <c r="L256" i="8"/>
  <c r="K257" i="8" s="1"/>
  <c r="M257" i="8" l="1"/>
  <c r="L257" i="8"/>
  <c r="K258" i="8" s="1"/>
  <c r="M258" i="8" l="1"/>
  <c r="L258" i="8"/>
  <c r="M259" i="8" l="1"/>
  <c r="K259" i="8"/>
  <c r="L259" i="8" l="1"/>
  <c r="M260" i="8" s="1"/>
  <c r="K260" i="8" l="1"/>
  <c r="L260" i="8" l="1"/>
  <c r="M261" i="8" s="1"/>
  <c r="K261" i="8" l="1"/>
  <c r="L261" i="8" l="1"/>
  <c r="M262" i="8" s="1"/>
  <c r="K262" i="8" l="1"/>
  <c r="L262" i="8" l="1"/>
  <c r="M263" i="8" s="1"/>
  <c r="K263" i="8" l="1"/>
  <c r="L263" i="8" s="1"/>
  <c r="K264" i="8" s="1"/>
  <c r="M264" i="8" l="1"/>
  <c r="L264" i="8"/>
  <c r="M265" i="8" l="1"/>
  <c r="K265" i="8"/>
  <c r="L265" i="8" l="1"/>
  <c r="M266" i="8" s="1"/>
  <c r="K266" i="8" l="1"/>
  <c r="L266" i="8" l="1"/>
  <c r="M267" i="8" s="1"/>
  <c r="K267" i="8" l="1"/>
  <c r="L267" i="8" l="1"/>
  <c r="M268" i="8" s="1"/>
  <c r="K268" i="8" l="1"/>
  <c r="L268" i="8" l="1"/>
  <c r="M269" i="8" s="1"/>
  <c r="K269" i="8" l="1"/>
  <c r="L269" i="8" l="1"/>
  <c r="M270" i="8" s="1"/>
  <c r="K270" i="8" l="1"/>
  <c r="L270" i="8" l="1"/>
  <c r="M271" i="8" s="1"/>
  <c r="K271" i="8" l="1"/>
  <c r="L271" i="8" s="1"/>
  <c r="K272" i="8" s="1"/>
  <c r="M272" i="8" l="1"/>
  <c r="L272" i="8"/>
  <c r="M273" i="8" l="1"/>
  <c r="K273" i="8"/>
  <c r="L273" i="8" s="1"/>
  <c r="M274" i="8" l="1"/>
  <c r="K274" i="8"/>
  <c r="L274" i="8" l="1"/>
  <c r="M275" i="8" s="1"/>
  <c r="K275" i="8" l="1"/>
  <c r="L275" i="8" l="1"/>
  <c r="M276" i="8" s="1"/>
  <c r="K276" i="8" l="1"/>
  <c r="L276" i="8" l="1"/>
  <c r="M277" i="8" s="1"/>
  <c r="K277" i="8" l="1"/>
  <c r="L277" i="8" l="1"/>
  <c r="M278" i="8" s="1"/>
  <c r="K278" i="8" l="1"/>
  <c r="L278" i="8" l="1"/>
  <c r="M279" i="8" s="1"/>
  <c r="K279" i="8" l="1"/>
  <c r="L279" i="8" s="1"/>
  <c r="K280" i="8" s="1"/>
  <c r="M280" i="8" l="1"/>
  <c r="L280" i="8"/>
  <c r="K281" i="8" s="1"/>
  <c r="M281" i="8" l="1"/>
  <c r="L281" i="8"/>
  <c r="K282" i="8" s="1"/>
  <c r="M282" i="8" l="1"/>
  <c r="L282" i="8"/>
  <c r="K283" i="8" s="1"/>
  <c r="M283" i="8" l="1"/>
  <c r="L283" i="8"/>
  <c r="K284" i="8" s="1"/>
  <c r="M284" i="8" l="1"/>
  <c r="L284" i="8"/>
  <c r="K285" i="8" s="1"/>
  <c r="M285" i="8" l="1"/>
  <c r="L285" i="8"/>
  <c r="K286" i="8" s="1"/>
  <c r="M286" i="8" l="1"/>
  <c r="L286" i="8"/>
  <c r="K287" i="8" s="1"/>
  <c r="M287" i="8" l="1"/>
  <c r="L287" i="8"/>
  <c r="M288" i="8" l="1"/>
  <c r="K288" i="8"/>
  <c r="L288" i="8" s="1"/>
  <c r="M289" i="8" l="1"/>
  <c r="K289" i="8"/>
  <c r="L289" i="8" s="1"/>
  <c r="M290" i="8" l="1"/>
  <c r="K290" i="8"/>
  <c r="L290" i="8" l="1"/>
  <c r="M291" i="8" s="1"/>
  <c r="K291" i="8" l="1"/>
  <c r="L291" i="8" l="1"/>
  <c r="M292" i="8" s="1"/>
  <c r="K292" i="8" l="1"/>
  <c r="L292" i="8" l="1"/>
  <c r="M293" i="8" s="1"/>
  <c r="K293" i="8" l="1"/>
  <c r="L293" i="8" l="1"/>
  <c r="M294" i="8" s="1"/>
  <c r="K294" i="8" l="1"/>
  <c r="L294" i="8" l="1"/>
  <c r="M295" i="8" s="1"/>
  <c r="K295" i="8" l="1"/>
  <c r="L295" i="8" l="1"/>
  <c r="M296" i="8" s="1"/>
  <c r="K296" i="8" l="1"/>
  <c r="L296" i="8" l="1"/>
  <c r="M297" i="8" s="1"/>
  <c r="K297" i="8" l="1"/>
  <c r="L297" i="8" l="1"/>
  <c r="M298" i="8" s="1"/>
  <c r="K298" i="8" l="1"/>
  <c r="L298" i="8" s="1"/>
  <c r="K299" i="8" l="1"/>
  <c r="L299" i="8" s="1"/>
  <c r="K300" i="8" s="1"/>
  <c r="M299" i="8"/>
  <c r="M300" i="8" l="1"/>
  <c r="L300" i="8"/>
  <c r="K301" i="8" s="1"/>
  <c r="M301" i="8" l="1"/>
  <c r="L301" i="8"/>
  <c r="K302" i="8" s="1"/>
  <c r="M302" i="8" l="1"/>
  <c r="L302" i="8"/>
  <c r="K303" i="8" s="1"/>
  <c r="L303" i="8" l="1"/>
  <c r="K304" i="8" s="1"/>
  <c r="M303" i="8"/>
  <c r="M304" i="8" l="1"/>
  <c r="L304" i="8"/>
  <c r="K305" i="8" s="1"/>
  <c r="M305" i="8" l="1"/>
  <c r="L305" i="8"/>
  <c r="K306" i="8" s="1"/>
  <c r="M306" i="8" l="1"/>
  <c r="L306" i="8"/>
  <c r="K307" i="8" s="1"/>
  <c r="M307" i="8" l="1"/>
  <c r="L307" i="8"/>
  <c r="K308" i="8" s="1"/>
  <c r="L308" i="8" l="1"/>
  <c r="K309" i="8" s="1"/>
  <c r="M308" i="8"/>
  <c r="L309" i="8" l="1"/>
  <c r="K310" i="8" s="1"/>
  <c r="M309" i="8"/>
  <c r="L310" i="8" l="1"/>
  <c r="K311" i="8" s="1"/>
  <c r="M310" i="8"/>
  <c r="M311" i="8" l="1"/>
  <c r="L311" i="8"/>
  <c r="K312" i="8" s="1"/>
  <c r="L312" i="8" l="1"/>
  <c r="K313" i="8" s="1"/>
  <c r="M312" i="8"/>
  <c r="M313" i="8" l="1"/>
  <c r="L313" i="8"/>
  <c r="K314" i="8" s="1"/>
  <c r="M314" i="8" l="1"/>
  <c r="L314" i="8"/>
  <c r="K315" i="8" s="1"/>
  <c r="L315" i="8" l="1"/>
  <c r="K316" i="8" s="1"/>
  <c r="M315" i="8"/>
  <c r="L316" i="8" l="1"/>
  <c r="K317" i="8" s="1"/>
  <c r="M316" i="8"/>
  <c r="M317" i="8" l="1"/>
  <c r="L317" i="8"/>
  <c r="K318" i="8" s="1"/>
  <c r="M318" i="8" l="1"/>
  <c r="L318" i="8"/>
  <c r="M319" i="8" l="1"/>
  <c r="K319" i="8"/>
  <c r="L319" i="8" s="1"/>
  <c r="M320" i="8" l="1"/>
  <c r="K320" i="8"/>
  <c r="L320" i="8" l="1"/>
  <c r="M321" i="8" s="1"/>
  <c r="K321" i="8" l="1"/>
  <c r="L321" i="8" l="1"/>
  <c r="M322" i="8" s="1"/>
  <c r="K322" i="8" l="1"/>
  <c r="L322" i="8" s="1"/>
  <c r="K323" i="8" s="1"/>
  <c r="M323" i="8" l="1"/>
  <c r="L323" i="8"/>
  <c r="M324" i="8" l="1"/>
  <c r="K324" i="8"/>
  <c r="L324" i="8" s="1"/>
  <c r="M325" i="8" l="1"/>
  <c r="K325" i="8"/>
  <c r="L325" i="8" l="1"/>
  <c r="M326" i="8" s="1"/>
  <c r="K326" i="8" l="1"/>
  <c r="L326" i="8" l="1"/>
  <c r="M327" i="8" s="1"/>
  <c r="K327" i="8" l="1"/>
  <c r="L327" i="8" s="1"/>
  <c r="K328" i="8" s="1"/>
  <c r="M328" i="8" l="1"/>
  <c r="L328" i="8"/>
  <c r="K329" i="8" s="1"/>
  <c r="M329" i="8" l="1"/>
  <c r="L329" i="8"/>
  <c r="K330" i="8" s="1"/>
  <c r="M330" i="8" l="1"/>
  <c r="L330" i="8"/>
  <c r="K331" i="8" s="1"/>
  <c r="M331" i="8" l="1"/>
  <c r="L331" i="8"/>
  <c r="K332" i="8" s="1"/>
  <c r="L332" i="8" l="1"/>
  <c r="K333" i="8" s="1"/>
  <c r="M332" i="8"/>
  <c r="M333" i="8" l="1"/>
  <c r="L333" i="8"/>
  <c r="K334" i="8" s="1"/>
  <c r="M334" i="8" l="1"/>
  <c r="L334" i="8"/>
  <c r="K335" i="8" s="1"/>
  <c r="M335" i="8" l="1"/>
  <c r="L335" i="8"/>
  <c r="K336" i="8" s="1"/>
  <c r="L336" i="8" l="1"/>
  <c r="K337" i="8" s="1"/>
  <c r="M336" i="8"/>
  <c r="M337" i="8" l="1"/>
  <c r="L337" i="8"/>
  <c r="K338" i="8" s="1"/>
  <c r="M338" i="8" l="1"/>
  <c r="L338" i="8"/>
  <c r="M339" i="8" l="1"/>
  <c r="K339" i="8"/>
  <c r="L339" i="8" s="1"/>
  <c r="M340" i="8" l="1"/>
  <c r="K340" i="8"/>
  <c r="L340" i="8" s="1"/>
  <c r="K341" i="8" s="1"/>
  <c r="M341" i="8" l="1"/>
  <c r="L341" i="8"/>
  <c r="M342" i="8" l="1"/>
  <c r="K342" i="8"/>
  <c r="L342" i="8" s="1"/>
  <c r="M343" i="8" l="1"/>
  <c r="K343" i="8"/>
  <c r="L343" i="8" l="1"/>
  <c r="M344" i="8" s="1"/>
  <c r="K344" i="8" l="1"/>
  <c r="L344" i="8" l="1"/>
  <c r="M345" i="8" s="1"/>
  <c r="K345" i="8" l="1"/>
  <c r="L345" i="8" s="1"/>
  <c r="K346" i="8" s="1"/>
  <c r="L346" i="8" l="1"/>
  <c r="K347" i="8" s="1"/>
  <c r="M346" i="8"/>
  <c r="M347" i="8" l="1"/>
  <c r="L347" i="8"/>
  <c r="K348" i="8" s="1"/>
  <c r="M348" i="8" l="1"/>
  <c r="L348" i="8"/>
  <c r="K349" i="8" s="1"/>
  <c r="M349" i="8" l="1"/>
  <c r="L349" i="8"/>
  <c r="K350" i="8" s="1"/>
  <c r="L350" i="8" l="1"/>
  <c r="K351" i="8" s="1"/>
  <c r="M350" i="8"/>
  <c r="M351" i="8" l="1"/>
  <c r="L351" i="8"/>
  <c r="M352" i="8" l="1"/>
  <c r="K352" i="8"/>
  <c r="L352" i="8" l="1"/>
  <c r="M353" i="8" s="1"/>
  <c r="K353" i="8" l="1"/>
  <c r="L353" i="8" s="1"/>
  <c r="K354" i="8" l="1"/>
  <c r="L354" i="8" s="1"/>
  <c r="K355" i="8" s="1"/>
  <c r="M354" i="8"/>
  <c r="M355" i="8" l="1"/>
  <c r="L355" i="8"/>
  <c r="K356" i="8" s="1"/>
  <c r="M356" i="8" l="1"/>
  <c r="L356" i="8"/>
  <c r="K357" i="8" s="1"/>
  <c r="M357" i="8" l="1"/>
  <c r="L357" i="8"/>
  <c r="K358" i="8" s="1"/>
  <c r="M358" i="8" l="1"/>
  <c r="L358" i="8"/>
  <c r="K359" i="8" s="1"/>
  <c r="M359" i="8" l="1"/>
  <c r="L359" i="8"/>
  <c r="M360" i="8" l="1"/>
  <c r="K360" i="8"/>
  <c r="L360" i="8" l="1"/>
  <c r="M361" i="8" s="1"/>
  <c r="K361" i="8" l="1"/>
  <c r="L361" i="8" s="1"/>
  <c r="K362" i="8" s="1"/>
  <c r="M362" i="8" l="1"/>
  <c r="L362" i="8"/>
  <c r="M363" i="8" l="1"/>
  <c r="K363" i="8"/>
  <c r="L363" i="8" l="1"/>
  <c r="M364" i="8" s="1"/>
  <c r="K364" i="8" l="1"/>
  <c r="L364" i="8" l="1"/>
  <c r="M365" i="8" s="1"/>
  <c r="K365" i="8" l="1"/>
  <c r="L365" i="8" l="1"/>
  <c r="M366" i="8" s="1"/>
  <c r="K366" i="8" l="1"/>
  <c r="L366" i="8" s="1"/>
  <c r="E4" i="7" s="1"/>
  <c r="E10" i="7" l="1"/>
  <c r="E8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<sst xmlns="http://schemas.openxmlformats.org/spreadsheetml/2006/main" count="241" uniqueCount="119">
  <si>
    <t>Notice d'utilisation</t>
  </si>
  <si>
    <t>Code couleur</t>
  </si>
  <si>
    <t>exemple</t>
  </si>
  <si>
    <t>Donné d'entrée modifiable</t>
  </si>
  <si>
    <t>Report de donnée d'un autre onglet</t>
  </si>
  <si>
    <t>Résultat d'un calcul interne</t>
  </si>
  <si>
    <t>Autre</t>
  </si>
  <si>
    <t>Poireaux</t>
  </si>
  <si>
    <t>Texture</t>
  </si>
  <si>
    <t>[sélectioner votre texture du sol]</t>
  </si>
  <si>
    <t>Limon sableux</t>
  </si>
  <si>
    <t>Courgette</t>
  </si>
  <si>
    <t>Densité apparente des mottes</t>
  </si>
  <si>
    <t>[Connaissez vous la dEnsité apparente ?]</t>
  </si>
  <si>
    <t>Non</t>
  </si>
  <si>
    <t>[A renseigner si connu]</t>
  </si>
  <si>
    <t>g/cm^3</t>
  </si>
  <si>
    <t>Densitité apparente de l'horizon</t>
  </si>
  <si>
    <t>Teneur en eau du sol</t>
  </si>
  <si>
    <t>[en fonction de la table de BRUAND]</t>
  </si>
  <si>
    <t>cm^3 d'eau/cm^3 de sol</t>
  </si>
  <si>
    <t>Piérrosité</t>
  </si>
  <si>
    <t>[% d'éléments grossier (&gt;2mm)]</t>
  </si>
  <si>
    <t>%</t>
  </si>
  <si>
    <t>Profondeur</t>
  </si>
  <si>
    <t>[du sol ou des racines en cm]</t>
  </si>
  <si>
    <t>cm</t>
  </si>
  <si>
    <t>Réserve Utile Maximum</t>
  </si>
  <si>
    <t>mm</t>
  </si>
  <si>
    <t>Réserve Dificilement Utilisable</t>
  </si>
  <si>
    <t>Longitude</t>
  </si>
  <si>
    <t>Lattitde</t>
  </si>
  <si>
    <t>Culture</t>
  </si>
  <si>
    <t>Kc</t>
  </si>
  <si>
    <t>Hauteur PV</t>
  </si>
  <si>
    <t>m</t>
  </si>
  <si>
    <t>Taux de Couverture</t>
  </si>
  <si>
    <t>Perte d'ensoleillement</t>
  </si>
  <si>
    <t>Stade</t>
  </si>
  <si>
    <t>Date</t>
  </si>
  <si>
    <t>plantation</t>
  </si>
  <si>
    <t>Reprise</t>
  </si>
  <si>
    <t>floraison</t>
  </si>
  <si>
    <t>Récolte</t>
  </si>
  <si>
    <t>mi-récolte</t>
  </si>
  <si>
    <t>fin récolte</t>
  </si>
  <si>
    <t>Indicateur d'irrigation</t>
  </si>
  <si>
    <t>Irigation sans panneaux</t>
  </si>
  <si>
    <t>irrigation avec panneaux</t>
  </si>
  <si>
    <t>Economie d'irrigation par les panneaux</t>
  </si>
  <si>
    <t>Economie d'irrigation relative</t>
  </si>
  <si>
    <t>Graphique du bilan hydrique</t>
  </si>
  <si>
    <t>Graphique d'une période</t>
  </si>
  <si>
    <t>Date de départ</t>
  </si>
  <si>
    <t>date de fin</t>
  </si>
  <si>
    <t>classe de densité apparente des mottes</t>
  </si>
  <si>
    <t>Densité apparente estimé de l'horizon</t>
  </si>
  <si>
    <t>capacité au champ</t>
  </si>
  <si>
    <t>point de flétrissement</t>
  </si>
  <si>
    <t>RU</t>
  </si>
  <si>
    <t>Classe de texture</t>
  </si>
  <si>
    <t xml:space="preserve">source : </t>
  </si>
  <si>
    <t>https://www,researchgate,net/profile/Bruand-A/publication/279263071_Estimation_des_proprietes_de_retention_en_eau_des_sols_Utilisation_de_classes_de_pedotransfert_apres_stratifications_texturale_et_texturo-structurale/links/55fa938108aeba1d9f356013/Estimation-des-proprietes-de-retention-en-eau-des-sols-Utilisation-de-classes-de-pedotransfert-apres-stratifications-texturale-et-texturo-structurale,pdf</t>
  </si>
  <si>
    <t>Argile lourde</t>
  </si>
  <si>
    <t>page 17</t>
  </si>
  <si>
    <t>Argile</t>
  </si>
  <si>
    <t>A,BRUAND</t>
  </si>
  <si>
    <t>Argile sableuse</t>
  </si>
  <si>
    <t>Limon</t>
  </si>
  <si>
    <t>Limon très sableux</t>
  </si>
  <si>
    <t>Sable argilo-Limoneux</t>
  </si>
  <si>
    <t>Sable</t>
  </si>
  <si>
    <t>Oui</t>
  </si>
  <si>
    <t>Température moy (°C)</t>
  </si>
  <si>
    <t>Sum precipitation (mm)</t>
  </si>
  <si>
    <t>Sum global Irradiance (W/m²)</t>
  </si>
  <si>
    <t>Ig (W/m²)</t>
  </si>
  <si>
    <t>Ig(cal/j/cm²)</t>
  </si>
  <si>
    <t>t (°C)</t>
  </si>
  <si>
    <t>ETP (mm)</t>
  </si>
  <si>
    <t>ETR (mm)</t>
  </si>
  <si>
    <t>Ig mod</t>
  </si>
  <si>
    <t>t mod</t>
  </si>
  <si>
    <t>ETP_PV (mm)</t>
  </si>
  <si>
    <t>ETR_PV (mm)</t>
  </si>
  <si>
    <t>Mois</t>
  </si>
  <si>
    <t>Capacité au champs</t>
  </si>
  <si>
    <t>RDU</t>
  </si>
  <si>
    <t>Point de Flétrissement</t>
  </si>
  <si>
    <t>Précipitation (mm)</t>
  </si>
  <si>
    <t>Eau utile</t>
  </si>
  <si>
    <t>irrigation</t>
  </si>
  <si>
    <t>Irrigation cummulé</t>
  </si>
  <si>
    <t>Eau utile PV</t>
  </si>
  <si>
    <t>irrigation_PV</t>
  </si>
  <si>
    <t>Irrigation_PV cummulé</t>
  </si>
  <si>
    <t>Mois unique</t>
  </si>
  <si>
    <t>Semis</t>
  </si>
  <si>
    <t>-</t>
  </si>
  <si>
    <t>récolte</t>
  </si>
  <si>
    <t>[simulation viable jusqu'à 50%taux de couverture]</t>
  </si>
  <si>
    <t>Carotte</t>
  </si>
  <si>
    <t>Petit Pois</t>
  </si>
  <si>
    <t>6 semaine après plantation</t>
  </si>
  <si>
    <t>stade "crayon"</t>
  </si>
  <si>
    <t>Levée</t>
  </si>
  <si>
    <t>boutons floraux</t>
  </si>
  <si>
    <t>remplissages des grains</t>
  </si>
  <si>
    <t xml:space="preserve"> </t>
  </si>
  <si>
    <t>1er gousse</t>
  </si>
  <si>
    <t>[hauteur du point le plus bas]</t>
  </si>
  <si>
    <t>[% de la toiture recouvert par des panneaux]</t>
  </si>
  <si>
    <t>"hourly":{"time":</t>
  </si>
  <si>
    <t>"temperature_2m":</t>
  </si>
  <si>
    <t>"precipitation":</t>
  </si>
  <si>
    <t>"direct_radiation":</t>
  </si>
  <si>
    <t>"diffuse_radiation":</t>
  </si>
  <si>
    <r>
      <t xml:space="preserve">Date </t>
    </r>
    <r>
      <rPr>
        <b/>
        <i/>
        <sz val="11"/>
        <color theme="1"/>
        <rFont val="Calibri"/>
        <family val="2"/>
        <scheme val="minor"/>
      </rPr>
      <t>[format JJ/MM/AAAA</t>
    </r>
    <r>
      <rPr>
        <b/>
        <sz val="11"/>
        <color theme="1"/>
        <rFont val="Calibri"/>
        <family val="2"/>
        <scheme val="minor"/>
      </rPr>
      <t>]</t>
    </r>
  </si>
  <si>
    <t>Date [format JJ/MM/AAAA]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</si>
</sst>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dd\-mm\-yyyy"/>
    <numFmt numFmtId="166" formatCode="mm/dd/yyyy"/>
    <numFmt numFmtId="167" formatCode="0.00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Montserrat"/>
    </font>
    <font>
      <b/>
      <sz val="14"/>
      <name val="Montserrat"/>
    </font>
    <font>
      <sz val="11"/>
      <name val="Montserrat"/>
    </font>
    <font>
      <b/>
      <sz val="11"/>
      <color theme="0"/>
      <name val="Montserrat"/>
    </font>
    <font>
      <b/>
      <sz val="10"/>
      <color theme="0"/>
      <name val="Montserrat"/>
    </font>
    <font>
      <sz val="10"/>
      <color theme="8" tint="-0.249977111117893"/>
      <name val="Montserrat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EB88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dashDot">
        <color indexed="64"/>
      </left>
      <right style="dashDot">
        <color indexed="64"/>
      </right>
      <top style="dashDot">
        <color indexed="64"/>
      </top>
      <bottom/>
      <diagonal/>
    </border>
    <border>
      <left style="dashDot">
        <color indexed="64"/>
      </left>
      <right/>
      <top/>
      <bottom/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">
        <color indexed="64"/>
      </left>
      <right style="dashDot">
        <color indexed="64"/>
      </right>
      <top/>
      <bottom style="dashDot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1" xfId="0" applyBorder="1"/>
    <xf numFmtId="2" fontId="0" fillId="0" borderId="1" xfId="0" applyNumberFormat="1" applyBorder="1"/>
    <xf numFmtId="2" fontId="0" fillId="0" borderId="0" xfId="0" applyNumberFormat="1"/>
    <xf numFmtId="0" fontId="2" fillId="0" borderId="0" xfId="0" applyFont="1"/>
    <xf numFmtId="15" fontId="0" fillId="0" borderId="0" xfId="0" applyNumberFormat="1"/>
    <xf numFmtId="0" fontId="3" fillId="0" borderId="0" xfId="0" applyFont="1"/>
    <xf numFmtId="0" fontId="4" fillId="0" borderId="0" xfId="1"/>
    <xf numFmtId="14" fontId="0" fillId="0" borderId="0" xfId="0" applyNumberFormat="1"/>
    <xf numFmtId="0" fontId="3" fillId="0" borderId="1" xfId="0" applyFont="1" applyBorder="1"/>
    <xf numFmtId="0" fontId="2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2" fillId="0" borderId="7" xfId="0" applyFont="1" applyBorder="1"/>
    <xf numFmtId="0" fontId="3" fillId="0" borderId="8" xfId="0" applyFont="1" applyBorder="1"/>
    <xf numFmtId="0" fontId="2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0" fillId="0" borderId="6" xfId="0" applyBorder="1"/>
    <xf numFmtId="0" fontId="0" fillId="0" borderId="8" xfId="0" applyBorder="1"/>
    <xf numFmtId="0" fontId="0" fillId="0" borderId="11" xfId="0" applyBorder="1"/>
    <xf numFmtId="0" fontId="5" fillId="0" borderId="0" xfId="0" applyFont="1"/>
    <xf numFmtId="0" fontId="6" fillId="0" borderId="12" xfId="0" applyFont="1" applyBorder="1"/>
    <xf numFmtId="0" fontId="7" fillId="0" borderId="12" xfId="0" applyFont="1" applyBorder="1"/>
    <xf numFmtId="0" fontId="9" fillId="0" borderId="0" xfId="0" applyFont="1"/>
    <xf numFmtId="0" fontId="10" fillId="3" borderId="14" xfId="0" applyFont="1" applyFill="1" applyBorder="1" applyAlignment="1">
      <alignment horizontal="center"/>
    </xf>
    <xf numFmtId="0" fontId="5" fillId="4" borderId="16" xfId="0" applyFont="1" applyFill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0" fillId="0" borderId="18" xfId="0" applyBorder="1"/>
    <xf numFmtId="2" fontId="0" fillId="0" borderId="18" xfId="0" applyNumberFormat="1" applyBorder="1"/>
    <xf numFmtId="0" fontId="2" fillId="0" borderId="19" xfId="0" applyFont="1" applyBorder="1"/>
    <xf numFmtId="0" fontId="2" fillId="0" borderId="22" xfId="0" applyFont="1" applyBorder="1"/>
    <xf numFmtId="0" fontId="2" fillId="0" borderId="23" xfId="0" applyFont="1" applyBorder="1"/>
    <xf numFmtId="0" fontId="10" fillId="3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0" fillId="3" borderId="18" xfId="0" applyFont="1" applyFill="1" applyBorder="1" applyAlignment="1">
      <alignment horizontal="center"/>
    </xf>
    <xf numFmtId="0" fontId="0" fillId="0" borderId="25" xfId="0" applyBorder="1"/>
    <xf numFmtId="0" fontId="2" fillId="0" borderId="26" xfId="0" applyFont="1" applyBorder="1"/>
    <xf numFmtId="0" fontId="3" fillId="0" borderId="27" xfId="0" applyFont="1" applyBorder="1"/>
    <xf numFmtId="0" fontId="3" fillId="0" borderId="28" xfId="0" applyFont="1" applyBorder="1"/>
    <xf numFmtId="0" fontId="0" fillId="0" borderId="27" xfId="0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3" fillId="0" borderId="18" xfId="0" applyFont="1" applyBorder="1"/>
    <xf numFmtId="0" fontId="3" fillId="0" borderId="33" xfId="0" applyFont="1" applyBorder="1"/>
    <xf numFmtId="0" fontId="0" fillId="0" borderId="2" xfId="0" applyBorder="1"/>
    <xf numFmtId="0" fontId="0" fillId="0" borderId="3" xfId="0" applyBorder="1"/>
    <xf numFmtId="1" fontId="5" fillId="0" borderId="27" xfId="0" applyNumberFormat="1" applyFont="1" applyBorder="1" applyAlignment="1">
      <alignment horizontal="center"/>
    </xf>
    <xf numFmtId="14" fontId="10" fillId="3" borderId="1" xfId="0" applyNumberFormat="1" applyFon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10" fillId="3" borderId="34" xfId="0" applyFont="1" applyFill="1" applyBorder="1" applyAlignment="1">
      <alignment horizontal="center"/>
    </xf>
    <xf numFmtId="0" fontId="2" fillId="0" borderId="1" xfId="0" applyFont="1" applyBorder="1"/>
    <xf numFmtId="0" fontId="0" fillId="0" borderId="1" xfId="0" applyBorder="1" applyAlignment="1">
      <alignment horizontal="center"/>
    </xf>
    <xf numFmtId="164" fontId="0" fillId="0" borderId="0" xfId="0" applyNumberFormat="1"/>
    <xf numFmtId="0" fontId="10" fillId="3" borderId="5" xfId="0" applyFon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10" fillId="3" borderId="5" xfId="0" quotePrefix="1" applyFont="1" applyFill="1" applyBorder="1" applyAlignment="1">
      <alignment horizontal="center"/>
    </xf>
    <xf numFmtId="0" fontId="2" fillId="0" borderId="35" xfId="0" applyFont="1" applyBorder="1"/>
    <xf numFmtId="0" fontId="3" fillId="0" borderId="36" xfId="0" applyFont="1" applyBorder="1"/>
    <xf numFmtId="0" fontId="10" fillId="3" borderId="37" xfId="0" applyFont="1" applyFill="1" applyBorder="1" applyAlignment="1">
      <alignment horizontal="center"/>
    </xf>
    <xf numFmtId="0" fontId="0" fillId="0" borderId="38" xfId="0" applyBorder="1"/>
    <xf numFmtId="0" fontId="0" fillId="0" borderId="39" xfId="0" applyBorder="1"/>
    <xf numFmtId="0" fontId="2" fillId="0" borderId="8" xfId="0" applyFont="1" applyBorder="1"/>
    <xf numFmtId="0" fontId="5" fillId="4" borderId="8" xfId="0" applyFont="1" applyFill="1" applyBorder="1" applyAlignment="1">
      <alignment horizontal="center"/>
    </xf>
    <xf numFmtId="0" fontId="0" fillId="0" borderId="40" xfId="0" applyBorder="1"/>
    <xf numFmtId="0" fontId="0" fillId="0" borderId="10" xfId="0" applyBorder="1"/>
    <xf numFmtId="0" fontId="5" fillId="4" borderId="11" xfId="0" applyFont="1" applyFill="1" applyBorder="1" applyAlignment="1">
      <alignment horizontal="center"/>
    </xf>
    <xf numFmtId="20" fontId="0" fillId="0" borderId="0" xfId="0" applyNumberFormat="1"/>
    <xf numFmtId="14" fontId="10" fillId="3" borderId="34" xfId="0" quotePrefix="1" applyNumberFormat="1" applyFont="1" applyFill="1" applyBorder="1" applyAlignment="1">
      <alignment horizontal="center"/>
    </xf>
    <xf numFmtId="0" fontId="10" fillId="3" borderId="41" xfId="0" quotePrefix="1" applyFont="1" applyFill="1" applyBorder="1" applyAlignment="1">
      <alignment horizontal="center"/>
    </xf>
    <xf numFmtId="167" fontId="5" fillId="0" borderId="24" xfId="0" applyNumberFormat="1" applyFont="1" applyBorder="1" applyAlignment="1">
      <alignment horizontal="center"/>
    </xf>
    <xf numFmtId="14" fontId="10" fillId="3" borderId="1" xfId="0" quotePrefix="1" applyNumberFormat="1" applyFont="1" applyFill="1" applyBorder="1" applyAlignment="1">
      <alignment horizontal="center"/>
    </xf>
    <xf numFmtId="14" fontId="10" fillId="3" borderId="34" xfId="0" applyNumberFormat="1" applyFont="1" applyFill="1" applyBorder="1" applyAlignment="1">
      <alignment horizontal="center"/>
    </xf>
    <xf numFmtId="14" fontId="10" fillId="3" borderId="10" xfId="0" applyNumberFormat="1" applyFont="1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9" fillId="2" borderId="13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2" fontId="2" fillId="0" borderId="20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Available Water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916674972590438E-2"/>
          <c:y val="0.10957850540621052"/>
          <c:w val="0.77452506727798265"/>
          <c:h val="0.67527497249438295"/>
        </c:manualLayout>
      </c:layout>
      <c:lineChart>
        <c:grouping val="standard"/>
        <c:varyColors val="0"/>
        <c:ser>
          <c:idx val="0"/>
          <c:order val="0"/>
          <c:tx>
            <c:v>control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Bilan_hydrique!$A$2:$A$366</c:f>
              <c:numCache>
                <c:formatCode>m/d/yyyy</c:formatCode>
                <c:ptCount val="365"/>
                <c:pt idx="0">
                  <c:v>42050</c:v>
                </c:pt>
                <c:pt idx="1">
                  <c:v>42051</c:v>
                </c:pt>
                <c:pt idx="2">
                  <c:v>42052</c:v>
                </c:pt>
                <c:pt idx="3">
                  <c:v>42053</c:v>
                </c:pt>
                <c:pt idx="4">
                  <c:v>42054</c:v>
                </c:pt>
                <c:pt idx="5">
                  <c:v>42055</c:v>
                </c:pt>
                <c:pt idx="6">
                  <c:v>42056</c:v>
                </c:pt>
                <c:pt idx="7">
                  <c:v>42057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42063</c:v>
                </c:pt>
                <c:pt idx="14">
                  <c:v>42064</c:v>
                </c:pt>
                <c:pt idx="15">
                  <c:v>42065</c:v>
                </c:pt>
                <c:pt idx="16">
                  <c:v>42066</c:v>
                </c:pt>
                <c:pt idx="17">
                  <c:v>42067</c:v>
                </c:pt>
                <c:pt idx="18">
                  <c:v>42068</c:v>
                </c:pt>
                <c:pt idx="19">
                  <c:v>42069</c:v>
                </c:pt>
                <c:pt idx="20">
                  <c:v>42070</c:v>
                </c:pt>
                <c:pt idx="21">
                  <c:v>42071</c:v>
                </c:pt>
                <c:pt idx="22">
                  <c:v>42072</c:v>
                </c:pt>
                <c:pt idx="23">
                  <c:v>42073</c:v>
                </c:pt>
                <c:pt idx="24">
                  <c:v>42074</c:v>
                </c:pt>
                <c:pt idx="25">
                  <c:v>42075</c:v>
                </c:pt>
                <c:pt idx="26">
                  <c:v>42076</c:v>
                </c:pt>
                <c:pt idx="27">
                  <c:v>42077</c:v>
                </c:pt>
                <c:pt idx="28">
                  <c:v>42078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42084</c:v>
                </c:pt>
                <c:pt idx="35">
                  <c:v>42085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42091</c:v>
                </c:pt>
                <c:pt idx="42">
                  <c:v>42092</c:v>
                </c:pt>
                <c:pt idx="43">
                  <c:v>42093</c:v>
                </c:pt>
                <c:pt idx="44">
                  <c:v>42094</c:v>
                </c:pt>
                <c:pt idx="45">
                  <c:v>42095</c:v>
                </c:pt>
                <c:pt idx="46">
                  <c:v>42096</c:v>
                </c:pt>
                <c:pt idx="47">
                  <c:v>42097</c:v>
                </c:pt>
                <c:pt idx="48">
                  <c:v>42098</c:v>
                </c:pt>
                <c:pt idx="49">
                  <c:v>42099</c:v>
                </c:pt>
                <c:pt idx="50">
                  <c:v>42100</c:v>
                </c:pt>
                <c:pt idx="51">
                  <c:v>42101</c:v>
                </c:pt>
                <c:pt idx="52">
                  <c:v>42102</c:v>
                </c:pt>
                <c:pt idx="53">
                  <c:v>42103</c:v>
                </c:pt>
                <c:pt idx="54">
                  <c:v>42104</c:v>
                </c:pt>
                <c:pt idx="55">
                  <c:v>42105</c:v>
                </c:pt>
                <c:pt idx="56">
                  <c:v>42106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42112</c:v>
                </c:pt>
                <c:pt idx="63">
                  <c:v>42113</c:v>
                </c:pt>
                <c:pt idx="64">
                  <c:v>42114</c:v>
                </c:pt>
                <c:pt idx="65">
                  <c:v>42115</c:v>
                </c:pt>
                <c:pt idx="66">
                  <c:v>42116</c:v>
                </c:pt>
                <c:pt idx="67">
                  <c:v>42117</c:v>
                </c:pt>
                <c:pt idx="68">
                  <c:v>42118</c:v>
                </c:pt>
                <c:pt idx="69">
                  <c:v>42119</c:v>
                </c:pt>
                <c:pt idx="70">
                  <c:v>42120</c:v>
                </c:pt>
                <c:pt idx="71">
                  <c:v>42121</c:v>
                </c:pt>
                <c:pt idx="72">
                  <c:v>42122</c:v>
                </c:pt>
                <c:pt idx="73">
                  <c:v>42123</c:v>
                </c:pt>
                <c:pt idx="74">
                  <c:v>42124</c:v>
                </c:pt>
                <c:pt idx="75">
                  <c:v>42125</c:v>
                </c:pt>
                <c:pt idx="76">
                  <c:v>42126</c:v>
                </c:pt>
                <c:pt idx="77">
                  <c:v>42127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42133</c:v>
                </c:pt>
                <c:pt idx="84">
                  <c:v>42134</c:v>
                </c:pt>
                <c:pt idx="85">
                  <c:v>42135</c:v>
                </c:pt>
                <c:pt idx="86">
                  <c:v>42136</c:v>
                </c:pt>
                <c:pt idx="87">
                  <c:v>42137</c:v>
                </c:pt>
                <c:pt idx="88">
                  <c:v>42138</c:v>
                </c:pt>
                <c:pt idx="89">
                  <c:v>42139</c:v>
                </c:pt>
                <c:pt idx="90">
                  <c:v>42140</c:v>
                </c:pt>
                <c:pt idx="91">
                  <c:v>42141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42144</c:v>
                </c:pt>
                <c:pt idx="96">
                  <c:v>42144</c:v>
                </c:pt>
                <c:pt idx="97">
                  <c:v>42144</c:v>
                </c:pt>
                <c:pt idx="98">
                  <c:v>42144</c:v>
                </c:pt>
                <c:pt idx="99">
                  <c:v>42144</c:v>
                </c:pt>
                <c:pt idx="100">
                  <c:v>42144</c:v>
                </c:pt>
                <c:pt idx="101">
                  <c:v>42144</c:v>
                </c:pt>
                <c:pt idx="102">
                  <c:v>42144</c:v>
                </c:pt>
                <c:pt idx="103">
                  <c:v>42144</c:v>
                </c:pt>
                <c:pt idx="104">
                  <c:v>42144</c:v>
                </c:pt>
                <c:pt idx="105">
                  <c:v>42144</c:v>
                </c:pt>
                <c:pt idx="106">
                  <c:v>42144</c:v>
                </c:pt>
                <c:pt idx="107">
                  <c:v>42144</c:v>
                </c:pt>
                <c:pt idx="108">
                  <c:v>42144</c:v>
                </c:pt>
                <c:pt idx="109">
                  <c:v>42144</c:v>
                </c:pt>
                <c:pt idx="110">
                  <c:v>42144</c:v>
                </c:pt>
                <c:pt idx="111">
                  <c:v>42144</c:v>
                </c:pt>
                <c:pt idx="112">
                  <c:v>42144</c:v>
                </c:pt>
                <c:pt idx="113">
                  <c:v>42144</c:v>
                </c:pt>
                <c:pt idx="114">
                  <c:v>42144</c:v>
                </c:pt>
                <c:pt idx="115">
                  <c:v>42144</c:v>
                </c:pt>
                <c:pt idx="116">
                  <c:v>42144</c:v>
                </c:pt>
                <c:pt idx="117">
                  <c:v>42144</c:v>
                </c:pt>
                <c:pt idx="118">
                  <c:v>42144</c:v>
                </c:pt>
                <c:pt idx="119">
                  <c:v>42144</c:v>
                </c:pt>
                <c:pt idx="120">
                  <c:v>42144</c:v>
                </c:pt>
                <c:pt idx="121">
                  <c:v>42144</c:v>
                </c:pt>
                <c:pt idx="122">
                  <c:v>42144</c:v>
                </c:pt>
                <c:pt idx="123">
                  <c:v>42144</c:v>
                </c:pt>
                <c:pt idx="124">
                  <c:v>42144</c:v>
                </c:pt>
                <c:pt idx="125">
                  <c:v>42144</c:v>
                </c:pt>
                <c:pt idx="126">
                  <c:v>42144</c:v>
                </c:pt>
                <c:pt idx="127">
                  <c:v>42144</c:v>
                </c:pt>
                <c:pt idx="128">
                  <c:v>42144</c:v>
                </c:pt>
                <c:pt idx="129">
                  <c:v>42144</c:v>
                </c:pt>
                <c:pt idx="130">
                  <c:v>42144</c:v>
                </c:pt>
                <c:pt idx="131">
                  <c:v>42144</c:v>
                </c:pt>
                <c:pt idx="132">
                  <c:v>42144</c:v>
                </c:pt>
                <c:pt idx="133">
                  <c:v>42144</c:v>
                </c:pt>
                <c:pt idx="134">
                  <c:v>42144</c:v>
                </c:pt>
                <c:pt idx="135">
                  <c:v>42144</c:v>
                </c:pt>
                <c:pt idx="136">
                  <c:v>42144</c:v>
                </c:pt>
                <c:pt idx="137">
                  <c:v>42144</c:v>
                </c:pt>
                <c:pt idx="138">
                  <c:v>42144</c:v>
                </c:pt>
                <c:pt idx="139">
                  <c:v>42144</c:v>
                </c:pt>
                <c:pt idx="140">
                  <c:v>42144</c:v>
                </c:pt>
                <c:pt idx="141">
                  <c:v>42144</c:v>
                </c:pt>
                <c:pt idx="142">
                  <c:v>42144</c:v>
                </c:pt>
                <c:pt idx="143">
                  <c:v>42144</c:v>
                </c:pt>
                <c:pt idx="144">
                  <c:v>42144</c:v>
                </c:pt>
                <c:pt idx="145">
                  <c:v>42144</c:v>
                </c:pt>
                <c:pt idx="146">
                  <c:v>42144</c:v>
                </c:pt>
                <c:pt idx="147">
                  <c:v>42144</c:v>
                </c:pt>
                <c:pt idx="148">
                  <c:v>42144</c:v>
                </c:pt>
                <c:pt idx="149">
                  <c:v>42144</c:v>
                </c:pt>
                <c:pt idx="150">
                  <c:v>42144</c:v>
                </c:pt>
                <c:pt idx="151">
                  <c:v>42144</c:v>
                </c:pt>
                <c:pt idx="152">
                  <c:v>42144</c:v>
                </c:pt>
                <c:pt idx="153">
                  <c:v>42144</c:v>
                </c:pt>
                <c:pt idx="154">
                  <c:v>42144</c:v>
                </c:pt>
                <c:pt idx="155">
                  <c:v>42144</c:v>
                </c:pt>
                <c:pt idx="156">
                  <c:v>42144</c:v>
                </c:pt>
                <c:pt idx="157">
                  <c:v>42144</c:v>
                </c:pt>
                <c:pt idx="158">
                  <c:v>42144</c:v>
                </c:pt>
                <c:pt idx="159">
                  <c:v>42144</c:v>
                </c:pt>
                <c:pt idx="160">
                  <c:v>42144</c:v>
                </c:pt>
                <c:pt idx="161">
                  <c:v>42144</c:v>
                </c:pt>
                <c:pt idx="162">
                  <c:v>42144</c:v>
                </c:pt>
                <c:pt idx="163">
                  <c:v>42144</c:v>
                </c:pt>
                <c:pt idx="164">
                  <c:v>42144</c:v>
                </c:pt>
                <c:pt idx="165">
                  <c:v>42144</c:v>
                </c:pt>
                <c:pt idx="166">
                  <c:v>42144</c:v>
                </c:pt>
                <c:pt idx="167">
                  <c:v>42144</c:v>
                </c:pt>
                <c:pt idx="168">
                  <c:v>42144</c:v>
                </c:pt>
                <c:pt idx="169">
                  <c:v>42144</c:v>
                </c:pt>
                <c:pt idx="170">
                  <c:v>42144</c:v>
                </c:pt>
                <c:pt idx="171">
                  <c:v>42144</c:v>
                </c:pt>
                <c:pt idx="172">
                  <c:v>42144</c:v>
                </c:pt>
                <c:pt idx="173">
                  <c:v>42144</c:v>
                </c:pt>
                <c:pt idx="174">
                  <c:v>42144</c:v>
                </c:pt>
                <c:pt idx="175">
                  <c:v>42144</c:v>
                </c:pt>
                <c:pt idx="176">
                  <c:v>42144</c:v>
                </c:pt>
                <c:pt idx="177">
                  <c:v>42144</c:v>
                </c:pt>
                <c:pt idx="178">
                  <c:v>42144</c:v>
                </c:pt>
                <c:pt idx="179">
                  <c:v>42144</c:v>
                </c:pt>
                <c:pt idx="180">
                  <c:v>42144</c:v>
                </c:pt>
                <c:pt idx="181">
                  <c:v>42144</c:v>
                </c:pt>
                <c:pt idx="182">
                  <c:v>42144</c:v>
                </c:pt>
                <c:pt idx="183">
                  <c:v>42144</c:v>
                </c:pt>
                <c:pt idx="184">
                  <c:v>42144</c:v>
                </c:pt>
                <c:pt idx="185">
                  <c:v>42144</c:v>
                </c:pt>
                <c:pt idx="186">
                  <c:v>42144</c:v>
                </c:pt>
                <c:pt idx="187">
                  <c:v>42144</c:v>
                </c:pt>
                <c:pt idx="188">
                  <c:v>42144</c:v>
                </c:pt>
                <c:pt idx="189">
                  <c:v>42144</c:v>
                </c:pt>
                <c:pt idx="190">
                  <c:v>42144</c:v>
                </c:pt>
                <c:pt idx="191">
                  <c:v>42144</c:v>
                </c:pt>
                <c:pt idx="192">
                  <c:v>42144</c:v>
                </c:pt>
                <c:pt idx="193">
                  <c:v>42144</c:v>
                </c:pt>
                <c:pt idx="194">
                  <c:v>42144</c:v>
                </c:pt>
                <c:pt idx="195">
                  <c:v>42144</c:v>
                </c:pt>
                <c:pt idx="196">
                  <c:v>42144</c:v>
                </c:pt>
                <c:pt idx="197">
                  <c:v>42144</c:v>
                </c:pt>
                <c:pt idx="198">
                  <c:v>42144</c:v>
                </c:pt>
                <c:pt idx="199">
                  <c:v>42144</c:v>
                </c:pt>
                <c:pt idx="200">
                  <c:v>42144</c:v>
                </c:pt>
                <c:pt idx="201">
                  <c:v>42144</c:v>
                </c:pt>
                <c:pt idx="202">
                  <c:v>42144</c:v>
                </c:pt>
                <c:pt idx="203">
                  <c:v>42144</c:v>
                </c:pt>
                <c:pt idx="204">
                  <c:v>42144</c:v>
                </c:pt>
                <c:pt idx="205">
                  <c:v>42144</c:v>
                </c:pt>
                <c:pt idx="206">
                  <c:v>42144</c:v>
                </c:pt>
                <c:pt idx="207">
                  <c:v>42144</c:v>
                </c:pt>
                <c:pt idx="208">
                  <c:v>42144</c:v>
                </c:pt>
                <c:pt idx="209">
                  <c:v>42144</c:v>
                </c:pt>
                <c:pt idx="210">
                  <c:v>42144</c:v>
                </c:pt>
                <c:pt idx="211">
                  <c:v>42144</c:v>
                </c:pt>
                <c:pt idx="212">
                  <c:v>42144</c:v>
                </c:pt>
                <c:pt idx="213">
                  <c:v>42144</c:v>
                </c:pt>
                <c:pt idx="214">
                  <c:v>42144</c:v>
                </c:pt>
                <c:pt idx="215">
                  <c:v>42144</c:v>
                </c:pt>
                <c:pt idx="216">
                  <c:v>42144</c:v>
                </c:pt>
                <c:pt idx="217">
                  <c:v>42144</c:v>
                </c:pt>
                <c:pt idx="218">
                  <c:v>42144</c:v>
                </c:pt>
                <c:pt idx="219">
                  <c:v>42144</c:v>
                </c:pt>
                <c:pt idx="220">
                  <c:v>42144</c:v>
                </c:pt>
                <c:pt idx="221">
                  <c:v>42144</c:v>
                </c:pt>
                <c:pt idx="222">
                  <c:v>42144</c:v>
                </c:pt>
                <c:pt idx="223">
                  <c:v>42144</c:v>
                </c:pt>
                <c:pt idx="224">
                  <c:v>42144</c:v>
                </c:pt>
                <c:pt idx="225">
                  <c:v>42144</c:v>
                </c:pt>
                <c:pt idx="226">
                  <c:v>42144</c:v>
                </c:pt>
                <c:pt idx="227">
                  <c:v>42144</c:v>
                </c:pt>
                <c:pt idx="228">
                  <c:v>42144</c:v>
                </c:pt>
                <c:pt idx="229">
                  <c:v>42144</c:v>
                </c:pt>
                <c:pt idx="230">
                  <c:v>42144</c:v>
                </c:pt>
                <c:pt idx="231">
                  <c:v>42144</c:v>
                </c:pt>
                <c:pt idx="232">
                  <c:v>42144</c:v>
                </c:pt>
                <c:pt idx="233">
                  <c:v>42144</c:v>
                </c:pt>
                <c:pt idx="234">
                  <c:v>42144</c:v>
                </c:pt>
                <c:pt idx="235">
                  <c:v>42144</c:v>
                </c:pt>
                <c:pt idx="236">
                  <c:v>42144</c:v>
                </c:pt>
                <c:pt idx="237">
                  <c:v>42144</c:v>
                </c:pt>
                <c:pt idx="238">
                  <c:v>42144</c:v>
                </c:pt>
                <c:pt idx="239">
                  <c:v>42144</c:v>
                </c:pt>
                <c:pt idx="240">
                  <c:v>42144</c:v>
                </c:pt>
                <c:pt idx="241">
                  <c:v>42144</c:v>
                </c:pt>
                <c:pt idx="242">
                  <c:v>42144</c:v>
                </c:pt>
                <c:pt idx="243">
                  <c:v>42144</c:v>
                </c:pt>
                <c:pt idx="244">
                  <c:v>42144</c:v>
                </c:pt>
                <c:pt idx="245">
                  <c:v>42144</c:v>
                </c:pt>
                <c:pt idx="246">
                  <c:v>42144</c:v>
                </c:pt>
                <c:pt idx="247">
                  <c:v>42144</c:v>
                </c:pt>
                <c:pt idx="248">
                  <c:v>42144</c:v>
                </c:pt>
                <c:pt idx="249">
                  <c:v>42144</c:v>
                </c:pt>
                <c:pt idx="250">
                  <c:v>42144</c:v>
                </c:pt>
                <c:pt idx="251">
                  <c:v>42144</c:v>
                </c:pt>
                <c:pt idx="252">
                  <c:v>42144</c:v>
                </c:pt>
                <c:pt idx="253">
                  <c:v>42144</c:v>
                </c:pt>
                <c:pt idx="254">
                  <c:v>42144</c:v>
                </c:pt>
                <c:pt idx="255">
                  <c:v>42144</c:v>
                </c:pt>
                <c:pt idx="256">
                  <c:v>42144</c:v>
                </c:pt>
                <c:pt idx="257">
                  <c:v>42144</c:v>
                </c:pt>
                <c:pt idx="258">
                  <c:v>42144</c:v>
                </c:pt>
                <c:pt idx="259">
                  <c:v>42144</c:v>
                </c:pt>
                <c:pt idx="260">
                  <c:v>42144</c:v>
                </c:pt>
                <c:pt idx="261">
                  <c:v>42144</c:v>
                </c:pt>
                <c:pt idx="262">
                  <c:v>42144</c:v>
                </c:pt>
                <c:pt idx="263">
                  <c:v>42144</c:v>
                </c:pt>
                <c:pt idx="264">
                  <c:v>42144</c:v>
                </c:pt>
                <c:pt idx="265">
                  <c:v>42144</c:v>
                </c:pt>
                <c:pt idx="266">
                  <c:v>42144</c:v>
                </c:pt>
                <c:pt idx="267">
                  <c:v>42144</c:v>
                </c:pt>
                <c:pt idx="268">
                  <c:v>42144</c:v>
                </c:pt>
                <c:pt idx="269">
                  <c:v>42144</c:v>
                </c:pt>
                <c:pt idx="270">
                  <c:v>42144</c:v>
                </c:pt>
                <c:pt idx="271">
                  <c:v>42144</c:v>
                </c:pt>
                <c:pt idx="272">
                  <c:v>42144</c:v>
                </c:pt>
                <c:pt idx="273">
                  <c:v>42144</c:v>
                </c:pt>
                <c:pt idx="274">
                  <c:v>42144</c:v>
                </c:pt>
                <c:pt idx="275">
                  <c:v>42144</c:v>
                </c:pt>
                <c:pt idx="276">
                  <c:v>42144</c:v>
                </c:pt>
                <c:pt idx="277">
                  <c:v>42144</c:v>
                </c:pt>
                <c:pt idx="278">
                  <c:v>42144</c:v>
                </c:pt>
                <c:pt idx="279">
                  <c:v>42144</c:v>
                </c:pt>
                <c:pt idx="280">
                  <c:v>42144</c:v>
                </c:pt>
                <c:pt idx="281">
                  <c:v>42144</c:v>
                </c:pt>
                <c:pt idx="282">
                  <c:v>42144</c:v>
                </c:pt>
                <c:pt idx="283">
                  <c:v>42144</c:v>
                </c:pt>
                <c:pt idx="284">
                  <c:v>42144</c:v>
                </c:pt>
                <c:pt idx="285">
                  <c:v>42144</c:v>
                </c:pt>
                <c:pt idx="286">
                  <c:v>42144</c:v>
                </c:pt>
                <c:pt idx="287">
                  <c:v>42144</c:v>
                </c:pt>
                <c:pt idx="288">
                  <c:v>42144</c:v>
                </c:pt>
                <c:pt idx="289">
                  <c:v>42144</c:v>
                </c:pt>
                <c:pt idx="290">
                  <c:v>42144</c:v>
                </c:pt>
                <c:pt idx="291">
                  <c:v>42144</c:v>
                </c:pt>
                <c:pt idx="292">
                  <c:v>42144</c:v>
                </c:pt>
                <c:pt idx="293">
                  <c:v>42144</c:v>
                </c:pt>
                <c:pt idx="294">
                  <c:v>42144</c:v>
                </c:pt>
                <c:pt idx="295">
                  <c:v>42144</c:v>
                </c:pt>
                <c:pt idx="296">
                  <c:v>42144</c:v>
                </c:pt>
                <c:pt idx="297">
                  <c:v>42144</c:v>
                </c:pt>
                <c:pt idx="298">
                  <c:v>42144</c:v>
                </c:pt>
                <c:pt idx="299">
                  <c:v>42144</c:v>
                </c:pt>
                <c:pt idx="300">
                  <c:v>42144</c:v>
                </c:pt>
                <c:pt idx="301">
                  <c:v>42144</c:v>
                </c:pt>
                <c:pt idx="302">
                  <c:v>42144</c:v>
                </c:pt>
                <c:pt idx="303">
                  <c:v>42144</c:v>
                </c:pt>
                <c:pt idx="304">
                  <c:v>42144</c:v>
                </c:pt>
                <c:pt idx="305">
                  <c:v>42144</c:v>
                </c:pt>
                <c:pt idx="306">
                  <c:v>42144</c:v>
                </c:pt>
                <c:pt idx="307">
                  <c:v>42144</c:v>
                </c:pt>
                <c:pt idx="308">
                  <c:v>42144</c:v>
                </c:pt>
                <c:pt idx="309">
                  <c:v>42144</c:v>
                </c:pt>
                <c:pt idx="310">
                  <c:v>42144</c:v>
                </c:pt>
                <c:pt idx="311">
                  <c:v>42144</c:v>
                </c:pt>
                <c:pt idx="312">
                  <c:v>42144</c:v>
                </c:pt>
                <c:pt idx="313">
                  <c:v>42144</c:v>
                </c:pt>
                <c:pt idx="314">
                  <c:v>42144</c:v>
                </c:pt>
                <c:pt idx="315">
                  <c:v>42144</c:v>
                </c:pt>
                <c:pt idx="316">
                  <c:v>42144</c:v>
                </c:pt>
                <c:pt idx="317">
                  <c:v>42144</c:v>
                </c:pt>
                <c:pt idx="318">
                  <c:v>42144</c:v>
                </c:pt>
                <c:pt idx="319">
                  <c:v>42144</c:v>
                </c:pt>
                <c:pt idx="320">
                  <c:v>42144</c:v>
                </c:pt>
                <c:pt idx="321">
                  <c:v>42144</c:v>
                </c:pt>
                <c:pt idx="322">
                  <c:v>42144</c:v>
                </c:pt>
                <c:pt idx="323">
                  <c:v>42144</c:v>
                </c:pt>
                <c:pt idx="324">
                  <c:v>42144</c:v>
                </c:pt>
                <c:pt idx="325">
                  <c:v>42144</c:v>
                </c:pt>
                <c:pt idx="326">
                  <c:v>42144</c:v>
                </c:pt>
                <c:pt idx="327">
                  <c:v>42144</c:v>
                </c:pt>
                <c:pt idx="328">
                  <c:v>42144</c:v>
                </c:pt>
                <c:pt idx="329">
                  <c:v>42144</c:v>
                </c:pt>
                <c:pt idx="330">
                  <c:v>42144</c:v>
                </c:pt>
                <c:pt idx="331">
                  <c:v>42144</c:v>
                </c:pt>
                <c:pt idx="332">
                  <c:v>42144</c:v>
                </c:pt>
                <c:pt idx="333">
                  <c:v>42144</c:v>
                </c:pt>
                <c:pt idx="334">
                  <c:v>42144</c:v>
                </c:pt>
                <c:pt idx="335">
                  <c:v>42144</c:v>
                </c:pt>
                <c:pt idx="336">
                  <c:v>42144</c:v>
                </c:pt>
                <c:pt idx="337">
                  <c:v>42144</c:v>
                </c:pt>
                <c:pt idx="338">
                  <c:v>42144</c:v>
                </c:pt>
                <c:pt idx="339">
                  <c:v>42144</c:v>
                </c:pt>
                <c:pt idx="340">
                  <c:v>42144</c:v>
                </c:pt>
                <c:pt idx="341">
                  <c:v>42144</c:v>
                </c:pt>
                <c:pt idx="342">
                  <c:v>42144</c:v>
                </c:pt>
                <c:pt idx="343">
                  <c:v>42144</c:v>
                </c:pt>
                <c:pt idx="344">
                  <c:v>42144</c:v>
                </c:pt>
                <c:pt idx="345">
                  <c:v>42144</c:v>
                </c:pt>
                <c:pt idx="346">
                  <c:v>42144</c:v>
                </c:pt>
                <c:pt idx="347">
                  <c:v>42144</c:v>
                </c:pt>
                <c:pt idx="348">
                  <c:v>42144</c:v>
                </c:pt>
                <c:pt idx="349">
                  <c:v>42144</c:v>
                </c:pt>
                <c:pt idx="350">
                  <c:v>42144</c:v>
                </c:pt>
                <c:pt idx="351">
                  <c:v>42144</c:v>
                </c:pt>
                <c:pt idx="352">
                  <c:v>42144</c:v>
                </c:pt>
                <c:pt idx="353">
                  <c:v>42144</c:v>
                </c:pt>
                <c:pt idx="354">
                  <c:v>42144</c:v>
                </c:pt>
                <c:pt idx="355">
                  <c:v>42144</c:v>
                </c:pt>
                <c:pt idx="356">
                  <c:v>42144</c:v>
                </c:pt>
                <c:pt idx="357">
                  <c:v>42144</c:v>
                </c:pt>
                <c:pt idx="358">
                  <c:v>42144</c:v>
                </c:pt>
                <c:pt idx="359">
                  <c:v>42144</c:v>
                </c:pt>
                <c:pt idx="360">
                  <c:v>42144</c:v>
                </c:pt>
                <c:pt idx="361">
                  <c:v>42144</c:v>
                </c:pt>
                <c:pt idx="362">
                  <c:v>42144</c:v>
                </c:pt>
                <c:pt idx="363">
                  <c:v>42144</c:v>
                </c:pt>
                <c:pt idx="364">
                  <c:v>42144</c:v>
                </c:pt>
              </c:numCache>
            </c:numRef>
          </c:cat>
          <c:val>
            <c:numRef>
              <c:f>Bilan_hydrique!$K$2:$K$365</c:f>
              <c:numCache>
                <c:formatCode>General</c:formatCode>
                <c:ptCount val="364"/>
                <c:pt idx="0">
                  <c:v>68.40100000000001</c:v>
                </c:pt>
                <c:pt idx="1">
                  <c:v>67.904948774939797</c:v>
                </c:pt>
                <c:pt idx="2">
                  <c:v>68.40100000000001</c:v>
                </c:pt>
                <c:pt idx="3">
                  <c:v>68.40100000000001</c:v>
                </c:pt>
                <c:pt idx="4">
                  <c:v>67.924479711224137</c:v>
                </c:pt>
                <c:pt idx="5">
                  <c:v>67.220847649384652</c:v>
                </c:pt>
                <c:pt idx="6">
                  <c:v>68.40100000000001</c:v>
                </c:pt>
                <c:pt idx="7">
                  <c:v>68.40100000000001</c:v>
                </c:pt>
                <c:pt idx="8">
                  <c:v>67.804845843038052</c:v>
                </c:pt>
                <c:pt idx="9">
                  <c:v>68.40100000000001</c:v>
                </c:pt>
                <c:pt idx="10">
                  <c:v>68.40100000000001</c:v>
                </c:pt>
                <c:pt idx="11">
                  <c:v>68.40100000000001</c:v>
                </c:pt>
                <c:pt idx="12">
                  <c:v>68.40100000000001</c:v>
                </c:pt>
                <c:pt idx="13">
                  <c:v>67.802786712676536</c:v>
                </c:pt>
                <c:pt idx="14">
                  <c:v>67.617147848959462</c:v>
                </c:pt>
                <c:pt idx="15">
                  <c:v>68.40100000000001</c:v>
                </c:pt>
                <c:pt idx="16">
                  <c:v>68.40100000000001</c:v>
                </c:pt>
                <c:pt idx="17">
                  <c:v>68.40100000000001</c:v>
                </c:pt>
                <c:pt idx="18">
                  <c:v>68.40100000000001</c:v>
                </c:pt>
                <c:pt idx="19">
                  <c:v>67.59356196887174</c:v>
                </c:pt>
                <c:pt idx="20">
                  <c:v>66.68899880251638</c:v>
                </c:pt>
                <c:pt idx="21">
                  <c:v>65.605311277141382</c:v>
                </c:pt>
                <c:pt idx="22">
                  <c:v>64.472500998022184</c:v>
                </c:pt>
                <c:pt idx="23">
                  <c:v>63.828298426942538</c:v>
                </c:pt>
                <c:pt idx="24">
                  <c:v>62.820100584049634</c:v>
                </c:pt>
                <c:pt idx="25">
                  <c:v>61.561568321307817</c:v>
                </c:pt>
                <c:pt idx="26">
                  <c:v>60.448746837567327</c:v>
                </c:pt>
                <c:pt idx="27">
                  <c:v>61.514835187948769</c:v>
                </c:pt>
                <c:pt idx="28">
                  <c:v>61.802214757159526</c:v>
                </c:pt>
                <c:pt idx="29">
                  <c:v>60.900468439345062</c:v>
                </c:pt>
                <c:pt idx="30">
                  <c:v>60.393480983091465</c:v>
                </c:pt>
                <c:pt idx="31">
                  <c:v>59.151100596357558</c:v>
                </c:pt>
                <c:pt idx="32">
                  <c:v>58.522422091926217</c:v>
                </c:pt>
                <c:pt idx="33">
                  <c:v>57.585715180289682</c:v>
                </c:pt>
                <c:pt idx="34">
                  <c:v>62.889596803833882</c:v>
                </c:pt>
                <c:pt idx="35">
                  <c:v>64.746457543860629</c:v>
                </c:pt>
                <c:pt idx="36">
                  <c:v>64.044192429149945</c:v>
                </c:pt>
                <c:pt idx="37">
                  <c:v>63.871268768610712</c:v>
                </c:pt>
                <c:pt idx="38">
                  <c:v>64.90130257373643</c:v>
                </c:pt>
                <c:pt idx="39">
                  <c:v>64.640922021528368</c:v>
                </c:pt>
                <c:pt idx="40">
                  <c:v>64.54227356130302</c:v>
                </c:pt>
                <c:pt idx="41">
                  <c:v>64.305144926888872</c:v>
                </c:pt>
                <c:pt idx="42">
                  <c:v>63.740103703423308</c:v>
                </c:pt>
                <c:pt idx="43">
                  <c:v>64.010046934683245</c:v>
                </c:pt>
                <c:pt idx="44">
                  <c:v>63.970747418950999</c:v>
                </c:pt>
                <c:pt idx="45">
                  <c:v>64.294359491500771</c:v>
                </c:pt>
                <c:pt idx="46">
                  <c:v>63.514037840629044</c:v>
                </c:pt>
                <c:pt idx="47">
                  <c:v>62.775962619702192</c:v>
                </c:pt>
                <c:pt idx="48">
                  <c:v>62.205034011321388</c:v>
                </c:pt>
                <c:pt idx="49">
                  <c:v>62.044999225258437</c:v>
                </c:pt>
                <c:pt idx="50">
                  <c:v>60.479748699829251</c:v>
                </c:pt>
                <c:pt idx="51">
                  <c:v>58.873953004678832</c:v>
                </c:pt>
                <c:pt idx="52">
                  <c:v>57.101019622187209</c:v>
                </c:pt>
                <c:pt idx="53">
                  <c:v>55.290601387078134</c:v>
                </c:pt>
                <c:pt idx="54">
                  <c:v>53.483283065243008</c:v>
                </c:pt>
                <c:pt idx="55">
                  <c:v>53.74962793741782</c:v>
                </c:pt>
                <c:pt idx="56">
                  <c:v>52.629470267732735</c:v>
                </c:pt>
                <c:pt idx="57">
                  <c:v>50.760700914957091</c:v>
                </c:pt>
                <c:pt idx="58">
                  <c:v>48.585266938754778</c:v>
                </c:pt>
                <c:pt idx="59">
                  <c:v>46.313715297877451</c:v>
                </c:pt>
                <c:pt idx="60">
                  <c:v>44.179467707777405</c:v>
                </c:pt>
                <c:pt idx="61">
                  <c:v>43.426413167924821</c:v>
                </c:pt>
                <c:pt idx="62">
                  <c:v>42.913162248531052</c:v>
                </c:pt>
                <c:pt idx="63">
                  <c:v>53.259353570454934</c:v>
                </c:pt>
                <c:pt idx="64">
                  <c:v>63.467386624747171</c:v>
                </c:pt>
                <c:pt idx="65">
                  <c:v>61.944016608041188</c:v>
                </c:pt>
                <c:pt idx="66">
                  <c:v>59.677245120300704</c:v>
                </c:pt>
                <c:pt idx="67">
                  <c:v>57.791850072016629</c:v>
                </c:pt>
                <c:pt idx="68">
                  <c:v>57.869637988800413</c:v>
                </c:pt>
                <c:pt idx="69">
                  <c:v>56.131489877128118</c:v>
                </c:pt>
                <c:pt idx="70">
                  <c:v>55.638498365675254</c:v>
                </c:pt>
                <c:pt idx="71">
                  <c:v>64.764445884660134</c:v>
                </c:pt>
                <c:pt idx="72">
                  <c:v>67.051787250921109</c:v>
                </c:pt>
                <c:pt idx="73">
                  <c:v>65.722288673238651</c:v>
                </c:pt>
                <c:pt idx="74">
                  <c:v>63.94358945421029</c:v>
                </c:pt>
                <c:pt idx="75">
                  <c:v>63.882011288225108</c:v>
                </c:pt>
                <c:pt idx="76">
                  <c:v>68.40100000000001</c:v>
                </c:pt>
                <c:pt idx="77">
                  <c:v>68.40100000000001</c:v>
                </c:pt>
                <c:pt idx="78">
                  <c:v>68.40100000000001</c:v>
                </c:pt>
                <c:pt idx="79">
                  <c:v>68.40100000000001</c:v>
                </c:pt>
                <c:pt idx="80">
                  <c:v>67.813333103797916</c:v>
                </c:pt>
                <c:pt idx="81">
                  <c:v>66.285034413875167</c:v>
                </c:pt>
                <c:pt idx="82">
                  <c:v>64.894318486617394</c:v>
                </c:pt>
                <c:pt idx="83">
                  <c:v>68.40100000000001</c:v>
                </c:pt>
                <c:pt idx="84">
                  <c:v>66.86127408616214</c:v>
                </c:pt>
                <c:pt idx="85">
                  <c:v>64.374115811759552</c:v>
                </c:pt>
                <c:pt idx="86">
                  <c:v>61.877395714751117</c:v>
                </c:pt>
                <c:pt idx="87">
                  <c:v>59.401319312958556</c:v>
                </c:pt>
                <c:pt idx="88">
                  <c:v>56.828225908303381</c:v>
                </c:pt>
                <c:pt idx="89">
                  <c:v>56.155713145493976</c:v>
                </c:pt>
                <c:pt idx="90">
                  <c:v>59.361334093480693</c:v>
                </c:pt>
                <c:pt idx="91">
                  <c:v>58.243126540309888</c:v>
                </c:pt>
                <c:pt idx="92">
                  <c:v>56.237662504999662</c:v>
                </c:pt>
                <c:pt idx="93">
                  <c:v>53.888963358679973</c:v>
                </c:pt>
                <c:pt idx="94">
                  <c:v>53.006705115706509</c:v>
                </c:pt>
                <c:pt idx="95">
                  <c:v>53.195447995280141</c:v>
                </c:pt>
                <c:pt idx="96">
                  <c:v>53.195447995280141</c:v>
                </c:pt>
                <c:pt idx="97">
                  <c:v>53.195447995280141</c:v>
                </c:pt>
                <c:pt idx="98">
                  <c:v>53.195447995280141</c:v>
                </c:pt>
                <c:pt idx="99">
                  <c:v>53.195447995280141</c:v>
                </c:pt>
                <c:pt idx="100">
                  <c:v>53.195447995280141</c:v>
                </c:pt>
                <c:pt idx="101">
                  <c:v>53.195447995280141</c:v>
                </c:pt>
                <c:pt idx="102">
                  <c:v>53.195447995280141</c:v>
                </c:pt>
                <c:pt idx="103">
                  <c:v>53.195447995280141</c:v>
                </c:pt>
                <c:pt idx="104">
                  <c:v>53.195447995280141</c:v>
                </c:pt>
                <c:pt idx="105">
                  <c:v>53.195447995280141</c:v>
                </c:pt>
                <c:pt idx="106">
                  <c:v>53.195447995280141</c:v>
                </c:pt>
                <c:pt idx="107">
                  <c:v>53.195447995280141</c:v>
                </c:pt>
                <c:pt idx="108">
                  <c:v>53.195447995280141</c:v>
                </c:pt>
                <c:pt idx="109">
                  <c:v>53.195447995280141</c:v>
                </c:pt>
                <c:pt idx="110">
                  <c:v>53.195447995280141</c:v>
                </c:pt>
                <c:pt idx="111">
                  <c:v>53.195447995280141</c:v>
                </c:pt>
                <c:pt idx="112">
                  <c:v>53.195447995280141</c:v>
                </c:pt>
                <c:pt idx="113">
                  <c:v>53.195447995280141</c:v>
                </c:pt>
                <c:pt idx="114">
                  <c:v>53.195447995280141</c:v>
                </c:pt>
                <c:pt idx="115">
                  <c:v>53.195447995280141</c:v>
                </c:pt>
                <c:pt idx="116">
                  <c:v>53.195447995280141</c:v>
                </c:pt>
                <c:pt idx="117">
                  <c:v>53.195447995280141</c:v>
                </c:pt>
                <c:pt idx="118">
                  <c:v>53.195447995280141</c:v>
                </c:pt>
                <c:pt idx="119">
                  <c:v>53.195447995280141</c:v>
                </c:pt>
                <c:pt idx="120">
                  <c:v>53.195447995280141</c:v>
                </c:pt>
                <c:pt idx="121">
                  <c:v>53.195447995280141</c:v>
                </c:pt>
                <c:pt idx="122">
                  <c:v>53.195447995280141</c:v>
                </c:pt>
                <c:pt idx="123">
                  <c:v>53.195447995280141</c:v>
                </c:pt>
                <c:pt idx="124">
                  <c:v>53.195447995280141</c:v>
                </c:pt>
                <c:pt idx="125">
                  <c:v>53.195447995280141</c:v>
                </c:pt>
                <c:pt idx="126">
                  <c:v>53.195447995280141</c:v>
                </c:pt>
                <c:pt idx="127">
                  <c:v>53.195447995280141</c:v>
                </c:pt>
                <c:pt idx="128">
                  <c:v>53.195447995280141</c:v>
                </c:pt>
                <c:pt idx="129">
                  <c:v>53.195447995280141</c:v>
                </c:pt>
                <c:pt idx="130">
                  <c:v>53.195447995280141</c:v>
                </c:pt>
                <c:pt idx="131">
                  <c:v>53.195447995280141</c:v>
                </c:pt>
                <c:pt idx="132">
                  <c:v>53.195447995280141</c:v>
                </c:pt>
                <c:pt idx="133">
                  <c:v>53.195447995280141</c:v>
                </c:pt>
                <c:pt idx="134">
                  <c:v>53.195447995280141</c:v>
                </c:pt>
                <c:pt idx="135">
                  <c:v>53.195447995280141</c:v>
                </c:pt>
                <c:pt idx="136">
                  <c:v>53.195447995280141</c:v>
                </c:pt>
                <c:pt idx="137">
                  <c:v>53.195447995280141</c:v>
                </c:pt>
                <c:pt idx="138">
                  <c:v>53.195447995280141</c:v>
                </c:pt>
                <c:pt idx="139">
                  <c:v>53.195447995280141</c:v>
                </c:pt>
                <c:pt idx="140">
                  <c:v>53.195447995280141</c:v>
                </c:pt>
                <c:pt idx="141">
                  <c:v>53.195447995280141</c:v>
                </c:pt>
                <c:pt idx="142">
                  <c:v>53.195447995280141</c:v>
                </c:pt>
                <c:pt idx="143">
                  <c:v>53.195447995280141</c:v>
                </c:pt>
                <c:pt idx="144">
                  <c:v>53.195447995280141</c:v>
                </c:pt>
                <c:pt idx="145">
                  <c:v>53.195447995280141</c:v>
                </c:pt>
                <c:pt idx="146">
                  <c:v>53.195447995280141</c:v>
                </c:pt>
                <c:pt idx="147">
                  <c:v>53.195447995280141</c:v>
                </c:pt>
                <c:pt idx="148">
                  <c:v>53.195447995280141</c:v>
                </c:pt>
                <c:pt idx="149">
                  <c:v>53.195447995280141</c:v>
                </c:pt>
                <c:pt idx="150">
                  <c:v>53.195447995280141</c:v>
                </c:pt>
                <c:pt idx="151">
                  <c:v>53.195447995280141</c:v>
                </c:pt>
                <c:pt idx="152">
                  <c:v>53.195447995280141</c:v>
                </c:pt>
                <c:pt idx="153">
                  <c:v>53.195447995280141</c:v>
                </c:pt>
                <c:pt idx="154">
                  <c:v>53.195447995280141</c:v>
                </c:pt>
                <c:pt idx="155">
                  <c:v>53.195447995280141</c:v>
                </c:pt>
                <c:pt idx="156">
                  <c:v>53.195447995280141</c:v>
                </c:pt>
                <c:pt idx="157">
                  <c:v>53.195447995280141</c:v>
                </c:pt>
                <c:pt idx="158">
                  <c:v>53.195447995280141</c:v>
                </c:pt>
                <c:pt idx="159">
                  <c:v>53.195447995280141</c:v>
                </c:pt>
                <c:pt idx="160">
                  <c:v>53.195447995280141</c:v>
                </c:pt>
                <c:pt idx="161">
                  <c:v>53.195447995280141</c:v>
                </c:pt>
                <c:pt idx="162">
                  <c:v>53.195447995280141</c:v>
                </c:pt>
                <c:pt idx="163">
                  <c:v>53.195447995280141</c:v>
                </c:pt>
                <c:pt idx="164">
                  <c:v>53.195447995280141</c:v>
                </c:pt>
                <c:pt idx="165">
                  <c:v>53.195447995280141</c:v>
                </c:pt>
                <c:pt idx="166">
                  <c:v>53.195447995280141</c:v>
                </c:pt>
                <c:pt idx="167">
                  <c:v>53.195447995280141</c:v>
                </c:pt>
                <c:pt idx="168">
                  <c:v>53.195447995280141</c:v>
                </c:pt>
                <c:pt idx="169">
                  <c:v>53.195447995280141</c:v>
                </c:pt>
                <c:pt idx="170">
                  <c:v>53.195447995280141</c:v>
                </c:pt>
                <c:pt idx="171">
                  <c:v>53.195447995280141</c:v>
                </c:pt>
                <c:pt idx="172">
                  <c:v>53.195447995280141</c:v>
                </c:pt>
                <c:pt idx="173">
                  <c:v>53.195447995280141</c:v>
                </c:pt>
                <c:pt idx="174">
                  <c:v>53.195447995280141</c:v>
                </c:pt>
                <c:pt idx="175">
                  <c:v>53.195447995280141</c:v>
                </c:pt>
                <c:pt idx="176">
                  <c:v>53.195447995280141</c:v>
                </c:pt>
                <c:pt idx="177">
                  <c:v>53.195447995280141</c:v>
                </c:pt>
                <c:pt idx="178">
                  <c:v>53.195447995280141</c:v>
                </c:pt>
                <c:pt idx="179">
                  <c:v>53.195447995280141</c:v>
                </c:pt>
                <c:pt idx="180">
                  <c:v>53.195447995280141</c:v>
                </c:pt>
                <c:pt idx="181">
                  <c:v>53.195447995280141</c:v>
                </c:pt>
                <c:pt idx="182">
                  <c:v>53.195447995280141</c:v>
                </c:pt>
                <c:pt idx="183">
                  <c:v>53.195447995280141</c:v>
                </c:pt>
                <c:pt idx="184">
                  <c:v>53.195447995280141</c:v>
                </c:pt>
                <c:pt idx="185">
                  <c:v>53.195447995280141</c:v>
                </c:pt>
                <c:pt idx="186">
                  <c:v>53.195447995280141</c:v>
                </c:pt>
                <c:pt idx="187">
                  <c:v>53.195447995280141</c:v>
                </c:pt>
                <c:pt idx="188">
                  <c:v>53.195447995280141</c:v>
                </c:pt>
                <c:pt idx="189">
                  <c:v>53.195447995280141</c:v>
                </c:pt>
                <c:pt idx="190">
                  <c:v>53.195447995280141</c:v>
                </c:pt>
                <c:pt idx="191">
                  <c:v>53.195447995280141</c:v>
                </c:pt>
                <c:pt idx="192">
                  <c:v>53.195447995280141</c:v>
                </c:pt>
                <c:pt idx="193">
                  <c:v>53.195447995280141</c:v>
                </c:pt>
                <c:pt idx="194">
                  <c:v>53.195447995280141</c:v>
                </c:pt>
                <c:pt idx="195">
                  <c:v>53.195447995280141</c:v>
                </c:pt>
                <c:pt idx="196">
                  <c:v>53.195447995280141</c:v>
                </c:pt>
                <c:pt idx="197">
                  <c:v>53.195447995280141</c:v>
                </c:pt>
                <c:pt idx="198">
                  <c:v>53.195447995280141</c:v>
                </c:pt>
                <c:pt idx="199">
                  <c:v>53.195447995280141</c:v>
                </c:pt>
                <c:pt idx="200">
                  <c:v>53.195447995280141</c:v>
                </c:pt>
                <c:pt idx="201">
                  <c:v>53.195447995280141</c:v>
                </c:pt>
                <c:pt idx="202">
                  <c:v>53.195447995280141</c:v>
                </c:pt>
                <c:pt idx="203">
                  <c:v>53.195447995280141</c:v>
                </c:pt>
                <c:pt idx="204">
                  <c:v>53.195447995280141</c:v>
                </c:pt>
                <c:pt idx="205">
                  <c:v>53.195447995280141</c:v>
                </c:pt>
                <c:pt idx="206">
                  <c:v>53.195447995280141</c:v>
                </c:pt>
                <c:pt idx="207">
                  <c:v>53.195447995280141</c:v>
                </c:pt>
                <c:pt idx="208">
                  <c:v>53.195447995280141</c:v>
                </c:pt>
                <c:pt idx="209">
                  <c:v>53.195447995280141</c:v>
                </c:pt>
                <c:pt idx="210">
                  <c:v>53.195447995280141</c:v>
                </c:pt>
                <c:pt idx="211">
                  <c:v>53.195447995280141</c:v>
                </c:pt>
                <c:pt idx="212">
                  <c:v>53.195447995280141</c:v>
                </c:pt>
                <c:pt idx="213">
                  <c:v>53.195447995280141</c:v>
                </c:pt>
                <c:pt idx="214">
                  <c:v>53.195447995280141</c:v>
                </c:pt>
                <c:pt idx="215">
                  <c:v>53.195447995280141</c:v>
                </c:pt>
                <c:pt idx="216">
                  <c:v>53.195447995280141</c:v>
                </c:pt>
                <c:pt idx="217">
                  <c:v>53.195447995280141</c:v>
                </c:pt>
                <c:pt idx="218">
                  <c:v>53.195447995280141</c:v>
                </c:pt>
                <c:pt idx="219">
                  <c:v>53.195447995280141</c:v>
                </c:pt>
                <c:pt idx="220">
                  <c:v>53.195447995280141</c:v>
                </c:pt>
                <c:pt idx="221">
                  <c:v>53.195447995280141</c:v>
                </c:pt>
                <c:pt idx="222">
                  <c:v>53.195447995280141</c:v>
                </c:pt>
                <c:pt idx="223">
                  <c:v>53.195447995280141</c:v>
                </c:pt>
                <c:pt idx="224">
                  <c:v>53.195447995280141</c:v>
                </c:pt>
                <c:pt idx="225">
                  <c:v>53.195447995280141</c:v>
                </c:pt>
                <c:pt idx="226">
                  <c:v>53.195447995280141</c:v>
                </c:pt>
                <c:pt idx="227">
                  <c:v>53.195447995280141</c:v>
                </c:pt>
                <c:pt idx="228">
                  <c:v>53.195447995280141</c:v>
                </c:pt>
                <c:pt idx="229">
                  <c:v>53.195447995280141</c:v>
                </c:pt>
                <c:pt idx="230">
                  <c:v>53.195447995280141</c:v>
                </c:pt>
                <c:pt idx="231">
                  <c:v>53.195447995280141</c:v>
                </c:pt>
                <c:pt idx="232">
                  <c:v>53.195447995280141</c:v>
                </c:pt>
                <c:pt idx="233">
                  <c:v>53.195447995280141</c:v>
                </c:pt>
                <c:pt idx="234">
                  <c:v>53.195447995280141</c:v>
                </c:pt>
                <c:pt idx="235">
                  <c:v>53.195447995280141</c:v>
                </c:pt>
                <c:pt idx="236">
                  <c:v>53.195447995280141</c:v>
                </c:pt>
                <c:pt idx="237">
                  <c:v>53.195447995280141</c:v>
                </c:pt>
                <c:pt idx="238">
                  <c:v>53.195447995280141</c:v>
                </c:pt>
                <c:pt idx="239">
                  <c:v>53.195447995280141</c:v>
                </c:pt>
                <c:pt idx="240">
                  <c:v>53.195447995280141</c:v>
                </c:pt>
                <c:pt idx="241">
                  <c:v>53.195447995280141</c:v>
                </c:pt>
                <c:pt idx="242">
                  <c:v>53.195447995280141</c:v>
                </c:pt>
                <c:pt idx="243">
                  <c:v>53.195447995280141</c:v>
                </c:pt>
                <c:pt idx="244">
                  <c:v>53.195447995280141</c:v>
                </c:pt>
                <c:pt idx="245">
                  <c:v>53.195447995280141</c:v>
                </c:pt>
                <c:pt idx="246">
                  <c:v>53.195447995280141</c:v>
                </c:pt>
                <c:pt idx="247">
                  <c:v>53.195447995280141</c:v>
                </c:pt>
                <c:pt idx="248">
                  <c:v>53.195447995280141</c:v>
                </c:pt>
                <c:pt idx="249">
                  <c:v>53.195447995280141</c:v>
                </c:pt>
                <c:pt idx="250">
                  <c:v>53.195447995280141</c:v>
                </c:pt>
                <c:pt idx="251">
                  <c:v>53.195447995280141</c:v>
                </c:pt>
                <c:pt idx="252">
                  <c:v>53.195447995280141</c:v>
                </c:pt>
                <c:pt idx="253">
                  <c:v>53.195447995280141</c:v>
                </c:pt>
                <c:pt idx="254">
                  <c:v>53.195447995280141</c:v>
                </c:pt>
                <c:pt idx="255">
                  <c:v>53.195447995280141</c:v>
                </c:pt>
                <c:pt idx="256">
                  <c:v>53.195447995280141</c:v>
                </c:pt>
                <c:pt idx="257">
                  <c:v>53.195447995280141</c:v>
                </c:pt>
                <c:pt idx="258">
                  <c:v>53.195447995280141</c:v>
                </c:pt>
                <c:pt idx="259">
                  <c:v>53.195447995280141</c:v>
                </c:pt>
                <c:pt idx="260">
                  <c:v>53.195447995280141</c:v>
                </c:pt>
                <c:pt idx="261">
                  <c:v>53.195447995280141</c:v>
                </c:pt>
                <c:pt idx="262">
                  <c:v>53.195447995280141</c:v>
                </c:pt>
                <c:pt idx="263">
                  <c:v>53.195447995280141</c:v>
                </c:pt>
                <c:pt idx="264">
                  <c:v>53.195447995280141</c:v>
                </c:pt>
                <c:pt idx="265">
                  <c:v>53.195447995280141</c:v>
                </c:pt>
                <c:pt idx="266">
                  <c:v>53.195447995280141</c:v>
                </c:pt>
                <c:pt idx="267">
                  <c:v>53.195447995280141</c:v>
                </c:pt>
                <c:pt idx="268">
                  <c:v>53.195447995280141</c:v>
                </c:pt>
                <c:pt idx="269">
                  <c:v>53.195447995280141</c:v>
                </c:pt>
                <c:pt idx="270">
                  <c:v>53.195447995280141</c:v>
                </c:pt>
                <c:pt idx="271">
                  <c:v>53.195447995280141</c:v>
                </c:pt>
                <c:pt idx="272">
                  <c:v>53.195447995280141</c:v>
                </c:pt>
                <c:pt idx="273">
                  <c:v>53.195447995280141</c:v>
                </c:pt>
                <c:pt idx="274">
                  <c:v>53.195447995280141</c:v>
                </c:pt>
                <c:pt idx="275">
                  <c:v>53.195447995280141</c:v>
                </c:pt>
                <c:pt idx="276">
                  <c:v>53.195447995280141</c:v>
                </c:pt>
                <c:pt idx="277">
                  <c:v>53.195447995280141</c:v>
                </c:pt>
                <c:pt idx="278">
                  <c:v>53.195447995280141</c:v>
                </c:pt>
                <c:pt idx="279">
                  <c:v>53.195447995280141</c:v>
                </c:pt>
                <c:pt idx="280">
                  <c:v>53.195447995280141</c:v>
                </c:pt>
                <c:pt idx="281">
                  <c:v>53.195447995280141</c:v>
                </c:pt>
                <c:pt idx="282">
                  <c:v>53.195447995280141</c:v>
                </c:pt>
                <c:pt idx="283">
                  <c:v>53.195447995280141</c:v>
                </c:pt>
                <c:pt idx="284">
                  <c:v>53.195447995280141</c:v>
                </c:pt>
                <c:pt idx="285">
                  <c:v>53.195447995280141</c:v>
                </c:pt>
                <c:pt idx="286">
                  <c:v>53.195447995280141</c:v>
                </c:pt>
                <c:pt idx="287">
                  <c:v>53.195447995280141</c:v>
                </c:pt>
                <c:pt idx="288">
                  <c:v>53.195447995280141</c:v>
                </c:pt>
                <c:pt idx="289">
                  <c:v>53.195447995280141</c:v>
                </c:pt>
                <c:pt idx="290">
                  <c:v>53.195447995280141</c:v>
                </c:pt>
                <c:pt idx="291">
                  <c:v>53.195447995280141</c:v>
                </c:pt>
                <c:pt idx="292">
                  <c:v>53.195447995280141</c:v>
                </c:pt>
                <c:pt idx="293">
                  <c:v>53.195447995280141</c:v>
                </c:pt>
                <c:pt idx="294">
                  <c:v>53.195447995280141</c:v>
                </c:pt>
                <c:pt idx="295">
                  <c:v>53.195447995280141</c:v>
                </c:pt>
                <c:pt idx="296">
                  <c:v>53.195447995280141</c:v>
                </c:pt>
                <c:pt idx="297">
                  <c:v>53.195447995280141</c:v>
                </c:pt>
                <c:pt idx="298">
                  <c:v>53.195447995280141</c:v>
                </c:pt>
                <c:pt idx="299">
                  <c:v>53.195447995280141</c:v>
                </c:pt>
                <c:pt idx="300">
                  <c:v>53.195447995280141</c:v>
                </c:pt>
                <c:pt idx="301">
                  <c:v>53.195447995280141</c:v>
                </c:pt>
                <c:pt idx="302">
                  <c:v>53.195447995280141</c:v>
                </c:pt>
                <c:pt idx="303">
                  <c:v>53.195447995280141</c:v>
                </c:pt>
                <c:pt idx="304">
                  <c:v>53.195447995280141</c:v>
                </c:pt>
                <c:pt idx="305">
                  <c:v>53.195447995280141</c:v>
                </c:pt>
                <c:pt idx="306">
                  <c:v>53.195447995280141</c:v>
                </c:pt>
                <c:pt idx="307">
                  <c:v>53.195447995280141</c:v>
                </c:pt>
                <c:pt idx="308">
                  <c:v>53.195447995280141</c:v>
                </c:pt>
                <c:pt idx="309">
                  <c:v>53.195447995280141</c:v>
                </c:pt>
                <c:pt idx="310">
                  <c:v>53.195447995280141</c:v>
                </c:pt>
                <c:pt idx="311">
                  <c:v>53.195447995280141</c:v>
                </c:pt>
                <c:pt idx="312">
                  <c:v>53.195447995280141</c:v>
                </c:pt>
                <c:pt idx="313">
                  <c:v>53.195447995280141</c:v>
                </c:pt>
                <c:pt idx="314">
                  <c:v>53.195447995280141</c:v>
                </c:pt>
                <c:pt idx="315">
                  <c:v>53.195447995280141</c:v>
                </c:pt>
                <c:pt idx="316">
                  <c:v>53.195447995280141</c:v>
                </c:pt>
                <c:pt idx="317">
                  <c:v>53.195447995280141</c:v>
                </c:pt>
                <c:pt idx="318">
                  <c:v>53.195447995280141</c:v>
                </c:pt>
                <c:pt idx="319">
                  <c:v>53.195447995280141</c:v>
                </c:pt>
                <c:pt idx="320">
                  <c:v>53.195447995280141</c:v>
                </c:pt>
                <c:pt idx="321">
                  <c:v>53.195447995280141</c:v>
                </c:pt>
                <c:pt idx="322">
                  <c:v>53.195447995280141</c:v>
                </c:pt>
                <c:pt idx="323">
                  <c:v>53.195447995280141</c:v>
                </c:pt>
                <c:pt idx="324">
                  <c:v>53.195447995280141</c:v>
                </c:pt>
                <c:pt idx="325">
                  <c:v>53.195447995280141</c:v>
                </c:pt>
                <c:pt idx="326">
                  <c:v>53.195447995280141</c:v>
                </c:pt>
                <c:pt idx="327">
                  <c:v>53.195447995280141</c:v>
                </c:pt>
                <c:pt idx="328">
                  <c:v>53.195447995280141</c:v>
                </c:pt>
                <c:pt idx="329">
                  <c:v>53.195447995280141</c:v>
                </c:pt>
                <c:pt idx="330">
                  <c:v>53.195447995280141</c:v>
                </c:pt>
                <c:pt idx="331">
                  <c:v>53.195447995280141</c:v>
                </c:pt>
                <c:pt idx="332">
                  <c:v>53.195447995280141</c:v>
                </c:pt>
                <c:pt idx="333">
                  <c:v>53.195447995280141</c:v>
                </c:pt>
                <c:pt idx="334">
                  <c:v>53.195447995280141</c:v>
                </c:pt>
                <c:pt idx="335">
                  <c:v>53.195447995280141</c:v>
                </c:pt>
                <c:pt idx="336">
                  <c:v>53.195447995280141</c:v>
                </c:pt>
                <c:pt idx="337">
                  <c:v>53.195447995280141</c:v>
                </c:pt>
                <c:pt idx="338">
                  <c:v>53.195447995280141</c:v>
                </c:pt>
                <c:pt idx="339">
                  <c:v>53.195447995280141</c:v>
                </c:pt>
                <c:pt idx="340">
                  <c:v>53.195447995280141</c:v>
                </c:pt>
                <c:pt idx="341">
                  <c:v>53.195447995280141</c:v>
                </c:pt>
                <c:pt idx="342">
                  <c:v>53.195447995280141</c:v>
                </c:pt>
                <c:pt idx="343">
                  <c:v>53.195447995280141</c:v>
                </c:pt>
                <c:pt idx="344">
                  <c:v>53.195447995280141</c:v>
                </c:pt>
                <c:pt idx="345">
                  <c:v>53.195447995280141</c:v>
                </c:pt>
                <c:pt idx="346">
                  <c:v>53.195447995280141</c:v>
                </c:pt>
                <c:pt idx="347">
                  <c:v>53.195447995280141</c:v>
                </c:pt>
                <c:pt idx="348">
                  <c:v>53.195447995280141</c:v>
                </c:pt>
                <c:pt idx="349">
                  <c:v>53.195447995280141</c:v>
                </c:pt>
                <c:pt idx="350">
                  <c:v>53.195447995280141</c:v>
                </c:pt>
                <c:pt idx="351">
                  <c:v>53.195447995280141</c:v>
                </c:pt>
                <c:pt idx="352">
                  <c:v>53.195447995280141</c:v>
                </c:pt>
                <c:pt idx="353">
                  <c:v>53.195447995280141</c:v>
                </c:pt>
                <c:pt idx="354">
                  <c:v>53.195447995280141</c:v>
                </c:pt>
                <c:pt idx="355">
                  <c:v>53.195447995280141</c:v>
                </c:pt>
                <c:pt idx="356">
                  <c:v>53.195447995280141</c:v>
                </c:pt>
                <c:pt idx="357">
                  <c:v>53.195447995280141</c:v>
                </c:pt>
                <c:pt idx="358">
                  <c:v>53.195447995280141</c:v>
                </c:pt>
                <c:pt idx="359">
                  <c:v>53.195447995280141</c:v>
                </c:pt>
                <c:pt idx="360">
                  <c:v>53.195447995280141</c:v>
                </c:pt>
                <c:pt idx="361">
                  <c:v>53.195447995280141</c:v>
                </c:pt>
                <c:pt idx="362">
                  <c:v>53.195447995280141</c:v>
                </c:pt>
                <c:pt idx="363">
                  <c:v>53.195447995280141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D1-44BD-A847-552C5258FD53}"/>
            </c:ext>
          </c:extLst>
        </c:ser>
        <c:ser>
          <c:idx val="1"/>
          <c:order val="1"/>
          <c:tx>
            <c:v>with AV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Bilan_hydrique!$A$2:$A$366</c:f>
              <c:numCache>
                <c:formatCode>m/d/yyyy</c:formatCode>
                <c:ptCount val="365"/>
                <c:pt idx="0">
                  <c:v>42050</c:v>
                </c:pt>
                <c:pt idx="1">
                  <c:v>42051</c:v>
                </c:pt>
                <c:pt idx="2">
                  <c:v>42052</c:v>
                </c:pt>
                <c:pt idx="3">
                  <c:v>42053</c:v>
                </c:pt>
                <c:pt idx="4">
                  <c:v>42054</c:v>
                </c:pt>
                <c:pt idx="5">
                  <c:v>42055</c:v>
                </c:pt>
                <c:pt idx="6">
                  <c:v>42056</c:v>
                </c:pt>
                <c:pt idx="7">
                  <c:v>42057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42063</c:v>
                </c:pt>
                <c:pt idx="14">
                  <c:v>42064</c:v>
                </c:pt>
                <c:pt idx="15">
                  <c:v>42065</c:v>
                </c:pt>
                <c:pt idx="16">
                  <c:v>42066</c:v>
                </c:pt>
                <c:pt idx="17">
                  <c:v>42067</c:v>
                </c:pt>
                <c:pt idx="18">
                  <c:v>42068</c:v>
                </c:pt>
                <c:pt idx="19">
                  <c:v>42069</c:v>
                </c:pt>
                <c:pt idx="20">
                  <c:v>42070</c:v>
                </c:pt>
                <c:pt idx="21">
                  <c:v>42071</c:v>
                </c:pt>
                <c:pt idx="22">
                  <c:v>42072</c:v>
                </c:pt>
                <c:pt idx="23">
                  <c:v>42073</c:v>
                </c:pt>
                <c:pt idx="24">
                  <c:v>42074</c:v>
                </c:pt>
                <c:pt idx="25">
                  <c:v>42075</c:v>
                </c:pt>
                <c:pt idx="26">
                  <c:v>42076</c:v>
                </c:pt>
                <c:pt idx="27">
                  <c:v>42077</c:v>
                </c:pt>
                <c:pt idx="28">
                  <c:v>42078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42084</c:v>
                </c:pt>
                <c:pt idx="35">
                  <c:v>42085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42091</c:v>
                </c:pt>
                <c:pt idx="42">
                  <c:v>42092</c:v>
                </c:pt>
                <c:pt idx="43">
                  <c:v>42093</c:v>
                </c:pt>
                <c:pt idx="44">
                  <c:v>42094</c:v>
                </c:pt>
                <c:pt idx="45">
                  <c:v>42095</c:v>
                </c:pt>
                <c:pt idx="46">
                  <c:v>42096</c:v>
                </c:pt>
                <c:pt idx="47">
                  <c:v>42097</c:v>
                </c:pt>
                <c:pt idx="48">
                  <c:v>42098</c:v>
                </c:pt>
                <c:pt idx="49">
                  <c:v>42099</c:v>
                </c:pt>
                <c:pt idx="50">
                  <c:v>42100</c:v>
                </c:pt>
                <c:pt idx="51">
                  <c:v>42101</c:v>
                </c:pt>
                <c:pt idx="52">
                  <c:v>42102</c:v>
                </c:pt>
                <c:pt idx="53">
                  <c:v>42103</c:v>
                </c:pt>
                <c:pt idx="54">
                  <c:v>42104</c:v>
                </c:pt>
                <c:pt idx="55">
                  <c:v>42105</c:v>
                </c:pt>
                <c:pt idx="56">
                  <c:v>42106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42112</c:v>
                </c:pt>
                <c:pt idx="63">
                  <c:v>42113</c:v>
                </c:pt>
                <c:pt idx="64">
                  <c:v>42114</c:v>
                </c:pt>
                <c:pt idx="65">
                  <c:v>42115</c:v>
                </c:pt>
                <c:pt idx="66">
                  <c:v>42116</c:v>
                </c:pt>
                <c:pt idx="67">
                  <c:v>42117</c:v>
                </c:pt>
                <c:pt idx="68">
                  <c:v>42118</c:v>
                </c:pt>
                <c:pt idx="69">
                  <c:v>42119</c:v>
                </c:pt>
                <c:pt idx="70">
                  <c:v>42120</c:v>
                </c:pt>
                <c:pt idx="71">
                  <c:v>42121</c:v>
                </c:pt>
                <c:pt idx="72">
                  <c:v>42122</c:v>
                </c:pt>
                <c:pt idx="73">
                  <c:v>42123</c:v>
                </c:pt>
                <c:pt idx="74">
                  <c:v>42124</c:v>
                </c:pt>
                <c:pt idx="75">
                  <c:v>42125</c:v>
                </c:pt>
                <c:pt idx="76">
                  <c:v>42126</c:v>
                </c:pt>
                <c:pt idx="77">
                  <c:v>42127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42133</c:v>
                </c:pt>
                <c:pt idx="84">
                  <c:v>42134</c:v>
                </c:pt>
                <c:pt idx="85">
                  <c:v>42135</c:v>
                </c:pt>
                <c:pt idx="86">
                  <c:v>42136</c:v>
                </c:pt>
                <c:pt idx="87">
                  <c:v>42137</c:v>
                </c:pt>
                <c:pt idx="88">
                  <c:v>42138</c:v>
                </c:pt>
                <c:pt idx="89">
                  <c:v>42139</c:v>
                </c:pt>
                <c:pt idx="90">
                  <c:v>42140</c:v>
                </c:pt>
                <c:pt idx="91">
                  <c:v>42141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42144</c:v>
                </c:pt>
                <c:pt idx="96">
                  <c:v>42144</c:v>
                </c:pt>
                <c:pt idx="97">
                  <c:v>42144</c:v>
                </c:pt>
                <c:pt idx="98">
                  <c:v>42144</c:v>
                </c:pt>
                <c:pt idx="99">
                  <c:v>42144</c:v>
                </c:pt>
                <c:pt idx="100">
                  <c:v>42144</c:v>
                </c:pt>
                <c:pt idx="101">
                  <c:v>42144</c:v>
                </c:pt>
                <c:pt idx="102">
                  <c:v>42144</c:v>
                </c:pt>
                <c:pt idx="103">
                  <c:v>42144</c:v>
                </c:pt>
                <c:pt idx="104">
                  <c:v>42144</c:v>
                </c:pt>
                <c:pt idx="105">
                  <c:v>42144</c:v>
                </c:pt>
                <c:pt idx="106">
                  <c:v>42144</c:v>
                </c:pt>
                <c:pt idx="107">
                  <c:v>42144</c:v>
                </c:pt>
                <c:pt idx="108">
                  <c:v>42144</c:v>
                </c:pt>
                <c:pt idx="109">
                  <c:v>42144</c:v>
                </c:pt>
                <c:pt idx="110">
                  <c:v>42144</c:v>
                </c:pt>
                <c:pt idx="111">
                  <c:v>42144</c:v>
                </c:pt>
                <c:pt idx="112">
                  <c:v>42144</c:v>
                </c:pt>
                <c:pt idx="113">
                  <c:v>42144</c:v>
                </c:pt>
                <c:pt idx="114">
                  <c:v>42144</c:v>
                </c:pt>
                <c:pt idx="115">
                  <c:v>42144</c:v>
                </c:pt>
                <c:pt idx="116">
                  <c:v>42144</c:v>
                </c:pt>
                <c:pt idx="117">
                  <c:v>42144</c:v>
                </c:pt>
                <c:pt idx="118">
                  <c:v>42144</c:v>
                </c:pt>
                <c:pt idx="119">
                  <c:v>42144</c:v>
                </c:pt>
                <c:pt idx="120">
                  <c:v>42144</c:v>
                </c:pt>
                <c:pt idx="121">
                  <c:v>42144</c:v>
                </c:pt>
                <c:pt idx="122">
                  <c:v>42144</c:v>
                </c:pt>
                <c:pt idx="123">
                  <c:v>42144</c:v>
                </c:pt>
                <c:pt idx="124">
                  <c:v>42144</c:v>
                </c:pt>
                <c:pt idx="125">
                  <c:v>42144</c:v>
                </c:pt>
                <c:pt idx="126">
                  <c:v>42144</c:v>
                </c:pt>
                <c:pt idx="127">
                  <c:v>42144</c:v>
                </c:pt>
                <c:pt idx="128">
                  <c:v>42144</c:v>
                </c:pt>
                <c:pt idx="129">
                  <c:v>42144</c:v>
                </c:pt>
                <c:pt idx="130">
                  <c:v>42144</c:v>
                </c:pt>
                <c:pt idx="131">
                  <c:v>42144</c:v>
                </c:pt>
                <c:pt idx="132">
                  <c:v>42144</c:v>
                </c:pt>
                <c:pt idx="133">
                  <c:v>42144</c:v>
                </c:pt>
                <c:pt idx="134">
                  <c:v>42144</c:v>
                </c:pt>
                <c:pt idx="135">
                  <c:v>42144</c:v>
                </c:pt>
                <c:pt idx="136">
                  <c:v>42144</c:v>
                </c:pt>
                <c:pt idx="137">
                  <c:v>42144</c:v>
                </c:pt>
                <c:pt idx="138">
                  <c:v>42144</c:v>
                </c:pt>
                <c:pt idx="139">
                  <c:v>42144</c:v>
                </c:pt>
                <c:pt idx="140">
                  <c:v>42144</c:v>
                </c:pt>
                <c:pt idx="141">
                  <c:v>42144</c:v>
                </c:pt>
                <c:pt idx="142">
                  <c:v>42144</c:v>
                </c:pt>
                <c:pt idx="143">
                  <c:v>42144</c:v>
                </c:pt>
                <c:pt idx="144">
                  <c:v>42144</c:v>
                </c:pt>
                <c:pt idx="145">
                  <c:v>42144</c:v>
                </c:pt>
                <c:pt idx="146">
                  <c:v>42144</c:v>
                </c:pt>
                <c:pt idx="147">
                  <c:v>42144</c:v>
                </c:pt>
                <c:pt idx="148">
                  <c:v>42144</c:v>
                </c:pt>
                <c:pt idx="149">
                  <c:v>42144</c:v>
                </c:pt>
                <c:pt idx="150">
                  <c:v>42144</c:v>
                </c:pt>
                <c:pt idx="151">
                  <c:v>42144</c:v>
                </c:pt>
                <c:pt idx="152">
                  <c:v>42144</c:v>
                </c:pt>
                <c:pt idx="153">
                  <c:v>42144</c:v>
                </c:pt>
                <c:pt idx="154">
                  <c:v>42144</c:v>
                </c:pt>
                <c:pt idx="155">
                  <c:v>42144</c:v>
                </c:pt>
                <c:pt idx="156">
                  <c:v>42144</c:v>
                </c:pt>
                <c:pt idx="157">
                  <c:v>42144</c:v>
                </c:pt>
                <c:pt idx="158">
                  <c:v>42144</c:v>
                </c:pt>
                <c:pt idx="159">
                  <c:v>42144</c:v>
                </c:pt>
                <c:pt idx="160">
                  <c:v>42144</c:v>
                </c:pt>
                <c:pt idx="161">
                  <c:v>42144</c:v>
                </c:pt>
                <c:pt idx="162">
                  <c:v>42144</c:v>
                </c:pt>
                <c:pt idx="163">
                  <c:v>42144</c:v>
                </c:pt>
                <c:pt idx="164">
                  <c:v>42144</c:v>
                </c:pt>
                <c:pt idx="165">
                  <c:v>42144</c:v>
                </c:pt>
                <c:pt idx="166">
                  <c:v>42144</c:v>
                </c:pt>
                <c:pt idx="167">
                  <c:v>42144</c:v>
                </c:pt>
                <c:pt idx="168">
                  <c:v>42144</c:v>
                </c:pt>
                <c:pt idx="169">
                  <c:v>42144</c:v>
                </c:pt>
                <c:pt idx="170">
                  <c:v>42144</c:v>
                </c:pt>
                <c:pt idx="171">
                  <c:v>42144</c:v>
                </c:pt>
                <c:pt idx="172">
                  <c:v>42144</c:v>
                </c:pt>
                <c:pt idx="173">
                  <c:v>42144</c:v>
                </c:pt>
                <c:pt idx="174">
                  <c:v>42144</c:v>
                </c:pt>
                <c:pt idx="175">
                  <c:v>42144</c:v>
                </c:pt>
                <c:pt idx="176">
                  <c:v>42144</c:v>
                </c:pt>
                <c:pt idx="177">
                  <c:v>42144</c:v>
                </c:pt>
                <c:pt idx="178">
                  <c:v>42144</c:v>
                </c:pt>
                <c:pt idx="179">
                  <c:v>42144</c:v>
                </c:pt>
                <c:pt idx="180">
                  <c:v>42144</c:v>
                </c:pt>
                <c:pt idx="181">
                  <c:v>42144</c:v>
                </c:pt>
                <c:pt idx="182">
                  <c:v>42144</c:v>
                </c:pt>
                <c:pt idx="183">
                  <c:v>42144</c:v>
                </c:pt>
                <c:pt idx="184">
                  <c:v>42144</c:v>
                </c:pt>
                <c:pt idx="185">
                  <c:v>42144</c:v>
                </c:pt>
                <c:pt idx="186">
                  <c:v>42144</c:v>
                </c:pt>
                <c:pt idx="187">
                  <c:v>42144</c:v>
                </c:pt>
                <c:pt idx="188">
                  <c:v>42144</c:v>
                </c:pt>
                <c:pt idx="189">
                  <c:v>42144</c:v>
                </c:pt>
                <c:pt idx="190">
                  <c:v>42144</c:v>
                </c:pt>
                <c:pt idx="191">
                  <c:v>42144</c:v>
                </c:pt>
                <c:pt idx="192">
                  <c:v>42144</c:v>
                </c:pt>
                <c:pt idx="193">
                  <c:v>42144</c:v>
                </c:pt>
                <c:pt idx="194">
                  <c:v>42144</c:v>
                </c:pt>
                <c:pt idx="195">
                  <c:v>42144</c:v>
                </c:pt>
                <c:pt idx="196">
                  <c:v>42144</c:v>
                </c:pt>
                <c:pt idx="197">
                  <c:v>42144</c:v>
                </c:pt>
                <c:pt idx="198">
                  <c:v>42144</c:v>
                </c:pt>
                <c:pt idx="199">
                  <c:v>42144</c:v>
                </c:pt>
                <c:pt idx="200">
                  <c:v>42144</c:v>
                </c:pt>
                <c:pt idx="201">
                  <c:v>42144</c:v>
                </c:pt>
                <c:pt idx="202">
                  <c:v>42144</c:v>
                </c:pt>
                <c:pt idx="203">
                  <c:v>42144</c:v>
                </c:pt>
                <c:pt idx="204">
                  <c:v>42144</c:v>
                </c:pt>
                <c:pt idx="205">
                  <c:v>42144</c:v>
                </c:pt>
                <c:pt idx="206">
                  <c:v>42144</c:v>
                </c:pt>
                <c:pt idx="207">
                  <c:v>42144</c:v>
                </c:pt>
                <c:pt idx="208">
                  <c:v>42144</c:v>
                </c:pt>
                <c:pt idx="209">
                  <c:v>42144</c:v>
                </c:pt>
                <c:pt idx="210">
                  <c:v>42144</c:v>
                </c:pt>
                <c:pt idx="211">
                  <c:v>42144</c:v>
                </c:pt>
                <c:pt idx="212">
                  <c:v>42144</c:v>
                </c:pt>
                <c:pt idx="213">
                  <c:v>42144</c:v>
                </c:pt>
                <c:pt idx="214">
                  <c:v>42144</c:v>
                </c:pt>
                <c:pt idx="215">
                  <c:v>42144</c:v>
                </c:pt>
                <c:pt idx="216">
                  <c:v>42144</c:v>
                </c:pt>
                <c:pt idx="217">
                  <c:v>42144</c:v>
                </c:pt>
                <c:pt idx="218">
                  <c:v>42144</c:v>
                </c:pt>
                <c:pt idx="219">
                  <c:v>42144</c:v>
                </c:pt>
                <c:pt idx="220">
                  <c:v>42144</c:v>
                </c:pt>
                <c:pt idx="221">
                  <c:v>42144</c:v>
                </c:pt>
                <c:pt idx="222">
                  <c:v>42144</c:v>
                </c:pt>
                <c:pt idx="223">
                  <c:v>42144</c:v>
                </c:pt>
                <c:pt idx="224">
                  <c:v>42144</c:v>
                </c:pt>
                <c:pt idx="225">
                  <c:v>42144</c:v>
                </c:pt>
                <c:pt idx="226">
                  <c:v>42144</c:v>
                </c:pt>
                <c:pt idx="227">
                  <c:v>42144</c:v>
                </c:pt>
                <c:pt idx="228">
                  <c:v>42144</c:v>
                </c:pt>
                <c:pt idx="229">
                  <c:v>42144</c:v>
                </c:pt>
                <c:pt idx="230">
                  <c:v>42144</c:v>
                </c:pt>
                <c:pt idx="231">
                  <c:v>42144</c:v>
                </c:pt>
                <c:pt idx="232">
                  <c:v>42144</c:v>
                </c:pt>
                <c:pt idx="233">
                  <c:v>42144</c:v>
                </c:pt>
                <c:pt idx="234">
                  <c:v>42144</c:v>
                </c:pt>
                <c:pt idx="235">
                  <c:v>42144</c:v>
                </c:pt>
                <c:pt idx="236">
                  <c:v>42144</c:v>
                </c:pt>
                <c:pt idx="237">
                  <c:v>42144</c:v>
                </c:pt>
                <c:pt idx="238">
                  <c:v>42144</c:v>
                </c:pt>
                <c:pt idx="239">
                  <c:v>42144</c:v>
                </c:pt>
                <c:pt idx="240">
                  <c:v>42144</c:v>
                </c:pt>
                <c:pt idx="241">
                  <c:v>42144</c:v>
                </c:pt>
                <c:pt idx="242">
                  <c:v>42144</c:v>
                </c:pt>
                <c:pt idx="243">
                  <c:v>42144</c:v>
                </c:pt>
                <c:pt idx="244">
                  <c:v>42144</c:v>
                </c:pt>
                <c:pt idx="245">
                  <c:v>42144</c:v>
                </c:pt>
                <c:pt idx="246">
                  <c:v>42144</c:v>
                </c:pt>
                <c:pt idx="247">
                  <c:v>42144</c:v>
                </c:pt>
                <c:pt idx="248">
                  <c:v>42144</c:v>
                </c:pt>
                <c:pt idx="249">
                  <c:v>42144</c:v>
                </c:pt>
                <c:pt idx="250">
                  <c:v>42144</c:v>
                </c:pt>
                <c:pt idx="251">
                  <c:v>42144</c:v>
                </c:pt>
                <c:pt idx="252">
                  <c:v>42144</c:v>
                </c:pt>
                <c:pt idx="253">
                  <c:v>42144</c:v>
                </c:pt>
                <c:pt idx="254">
                  <c:v>42144</c:v>
                </c:pt>
                <c:pt idx="255">
                  <c:v>42144</c:v>
                </c:pt>
                <c:pt idx="256">
                  <c:v>42144</c:v>
                </c:pt>
                <c:pt idx="257">
                  <c:v>42144</c:v>
                </c:pt>
                <c:pt idx="258">
                  <c:v>42144</c:v>
                </c:pt>
                <c:pt idx="259">
                  <c:v>42144</c:v>
                </c:pt>
                <c:pt idx="260">
                  <c:v>42144</c:v>
                </c:pt>
                <c:pt idx="261">
                  <c:v>42144</c:v>
                </c:pt>
                <c:pt idx="262">
                  <c:v>42144</c:v>
                </c:pt>
                <c:pt idx="263">
                  <c:v>42144</c:v>
                </c:pt>
                <c:pt idx="264">
                  <c:v>42144</c:v>
                </c:pt>
                <c:pt idx="265">
                  <c:v>42144</c:v>
                </c:pt>
                <c:pt idx="266">
                  <c:v>42144</c:v>
                </c:pt>
                <c:pt idx="267">
                  <c:v>42144</c:v>
                </c:pt>
                <c:pt idx="268">
                  <c:v>42144</c:v>
                </c:pt>
                <c:pt idx="269">
                  <c:v>42144</c:v>
                </c:pt>
                <c:pt idx="270">
                  <c:v>42144</c:v>
                </c:pt>
                <c:pt idx="271">
                  <c:v>42144</c:v>
                </c:pt>
                <c:pt idx="272">
                  <c:v>42144</c:v>
                </c:pt>
                <c:pt idx="273">
                  <c:v>42144</c:v>
                </c:pt>
                <c:pt idx="274">
                  <c:v>42144</c:v>
                </c:pt>
                <c:pt idx="275">
                  <c:v>42144</c:v>
                </c:pt>
                <c:pt idx="276">
                  <c:v>42144</c:v>
                </c:pt>
                <c:pt idx="277">
                  <c:v>42144</c:v>
                </c:pt>
                <c:pt idx="278">
                  <c:v>42144</c:v>
                </c:pt>
                <c:pt idx="279">
                  <c:v>42144</c:v>
                </c:pt>
                <c:pt idx="280">
                  <c:v>42144</c:v>
                </c:pt>
                <c:pt idx="281">
                  <c:v>42144</c:v>
                </c:pt>
                <c:pt idx="282">
                  <c:v>42144</c:v>
                </c:pt>
                <c:pt idx="283">
                  <c:v>42144</c:v>
                </c:pt>
                <c:pt idx="284">
                  <c:v>42144</c:v>
                </c:pt>
                <c:pt idx="285">
                  <c:v>42144</c:v>
                </c:pt>
                <c:pt idx="286">
                  <c:v>42144</c:v>
                </c:pt>
                <c:pt idx="287">
                  <c:v>42144</c:v>
                </c:pt>
                <c:pt idx="288">
                  <c:v>42144</c:v>
                </c:pt>
                <c:pt idx="289">
                  <c:v>42144</c:v>
                </c:pt>
                <c:pt idx="290">
                  <c:v>42144</c:v>
                </c:pt>
                <c:pt idx="291">
                  <c:v>42144</c:v>
                </c:pt>
                <c:pt idx="292">
                  <c:v>42144</c:v>
                </c:pt>
                <c:pt idx="293">
                  <c:v>42144</c:v>
                </c:pt>
                <c:pt idx="294">
                  <c:v>42144</c:v>
                </c:pt>
                <c:pt idx="295">
                  <c:v>42144</c:v>
                </c:pt>
                <c:pt idx="296">
                  <c:v>42144</c:v>
                </c:pt>
                <c:pt idx="297">
                  <c:v>42144</c:v>
                </c:pt>
                <c:pt idx="298">
                  <c:v>42144</c:v>
                </c:pt>
                <c:pt idx="299">
                  <c:v>42144</c:v>
                </c:pt>
                <c:pt idx="300">
                  <c:v>42144</c:v>
                </c:pt>
                <c:pt idx="301">
                  <c:v>42144</c:v>
                </c:pt>
                <c:pt idx="302">
                  <c:v>42144</c:v>
                </c:pt>
                <c:pt idx="303">
                  <c:v>42144</c:v>
                </c:pt>
                <c:pt idx="304">
                  <c:v>42144</c:v>
                </c:pt>
                <c:pt idx="305">
                  <c:v>42144</c:v>
                </c:pt>
                <c:pt idx="306">
                  <c:v>42144</c:v>
                </c:pt>
                <c:pt idx="307">
                  <c:v>42144</c:v>
                </c:pt>
                <c:pt idx="308">
                  <c:v>42144</c:v>
                </c:pt>
                <c:pt idx="309">
                  <c:v>42144</c:v>
                </c:pt>
                <c:pt idx="310">
                  <c:v>42144</c:v>
                </c:pt>
                <c:pt idx="311">
                  <c:v>42144</c:v>
                </c:pt>
                <c:pt idx="312">
                  <c:v>42144</c:v>
                </c:pt>
                <c:pt idx="313">
                  <c:v>42144</c:v>
                </c:pt>
                <c:pt idx="314">
                  <c:v>42144</c:v>
                </c:pt>
                <c:pt idx="315">
                  <c:v>42144</c:v>
                </c:pt>
                <c:pt idx="316">
                  <c:v>42144</c:v>
                </c:pt>
                <c:pt idx="317">
                  <c:v>42144</c:v>
                </c:pt>
                <c:pt idx="318">
                  <c:v>42144</c:v>
                </c:pt>
                <c:pt idx="319">
                  <c:v>42144</c:v>
                </c:pt>
                <c:pt idx="320">
                  <c:v>42144</c:v>
                </c:pt>
                <c:pt idx="321">
                  <c:v>42144</c:v>
                </c:pt>
                <c:pt idx="322">
                  <c:v>42144</c:v>
                </c:pt>
                <c:pt idx="323">
                  <c:v>42144</c:v>
                </c:pt>
                <c:pt idx="324">
                  <c:v>42144</c:v>
                </c:pt>
                <c:pt idx="325">
                  <c:v>42144</c:v>
                </c:pt>
                <c:pt idx="326">
                  <c:v>42144</c:v>
                </c:pt>
                <c:pt idx="327">
                  <c:v>42144</c:v>
                </c:pt>
                <c:pt idx="328">
                  <c:v>42144</c:v>
                </c:pt>
                <c:pt idx="329">
                  <c:v>42144</c:v>
                </c:pt>
                <c:pt idx="330">
                  <c:v>42144</c:v>
                </c:pt>
                <c:pt idx="331">
                  <c:v>42144</c:v>
                </c:pt>
                <c:pt idx="332">
                  <c:v>42144</c:v>
                </c:pt>
                <c:pt idx="333">
                  <c:v>42144</c:v>
                </c:pt>
                <c:pt idx="334">
                  <c:v>42144</c:v>
                </c:pt>
                <c:pt idx="335">
                  <c:v>42144</c:v>
                </c:pt>
                <c:pt idx="336">
                  <c:v>42144</c:v>
                </c:pt>
                <c:pt idx="337">
                  <c:v>42144</c:v>
                </c:pt>
                <c:pt idx="338">
                  <c:v>42144</c:v>
                </c:pt>
                <c:pt idx="339">
                  <c:v>42144</c:v>
                </c:pt>
                <c:pt idx="340">
                  <c:v>42144</c:v>
                </c:pt>
                <c:pt idx="341">
                  <c:v>42144</c:v>
                </c:pt>
                <c:pt idx="342">
                  <c:v>42144</c:v>
                </c:pt>
                <c:pt idx="343">
                  <c:v>42144</c:v>
                </c:pt>
                <c:pt idx="344">
                  <c:v>42144</c:v>
                </c:pt>
                <c:pt idx="345">
                  <c:v>42144</c:v>
                </c:pt>
                <c:pt idx="346">
                  <c:v>42144</c:v>
                </c:pt>
                <c:pt idx="347">
                  <c:v>42144</c:v>
                </c:pt>
                <c:pt idx="348">
                  <c:v>42144</c:v>
                </c:pt>
                <c:pt idx="349">
                  <c:v>42144</c:v>
                </c:pt>
                <c:pt idx="350">
                  <c:v>42144</c:v>
                </c:pt>
                <c:pt idx="351">
                  <c:v>42144</c:v>
                </c:pt>
                <c:pt idx="352">
                  <c:v>42144</c:v>
                </c:pt>
                <c:pt idx="353">
                  <c:v>42144</c:v>
                </c:pt>
                <c:pt idx="354">
                  <c:v>42144</c:v>
                </c:pt>
                <c:pt idx="355">
                  <c:v>42144</c:v>
                </c:pt>
                <c:pt idx="356">
                  <c:v>42144</c:v>
                </c:pt>
                <c:pt idx="357">
                  <c:v>42144</c:v>
                </c:pt>
                <c:pt idx="358">
                  <c:v>42144</c:v>
                </c:pt>
                <c:pt idx="359">
                  <c:v>42144</c:v>
                </c:pt>
                <c:pt idx="360">
                  <c:v>42144</c:v>
                </c:pt>
                <c:pt idx="361">
                  <c:v>42144</c:v>
                </c:pt>
                <c:pt idx="362">
                  <c:v>42144</c:v>
                </c:pt>
                <c:pt idx="363">
                  <c:v>42144</c:v>
                </c:pt>
                <c:pt idx="364">
                  <c:v>42144</c:v>
                </c:pt>
              </c:numCache>
            </c:numRef>
          </c:cat>
          <c:val>
            <c:numRef>
              <c:f>Bilan_hydrique!$P$2:$P$365</c:f>
              <c:numCache>
                <c:formatCode>General</c:formatCode>
                <c:ptCount val="364"/>
                <c:pt idx="0">
                  <c:v>68.40100000000001</c:v>
                </c:pt>
                <c:pt idx="1">
                  <c:v>68.002960327097597</c:v>
                </c:pt>
                <c:pt idx="2">
                  <c:v>68.40100000000001</c:v>
                </c:pt>
                <c:pt idx="3">
                  <c:v>68.40100000000001</c:v>
                </c:pt>
                <c:pt idx="4">
                  <c:v>68.014864055392309</c:v>
                </c:pt>
                <c:pt idx="5">
                  <c:v>67.459245812861553</c:v>
                </c:pt>
                <c:pt idx="6">
                  <c:v>68.40100000000001</c:v>
                </c:pt>
                <c:pt idx="7">
                  <c:v>68.40100000000001</c:v>
                </c:pt>
                <c:pt idx="8">
                  <c:v>67.930475058804717</c:v>
                </c:pt>
                <c:pt idx="9">
                  <c:v>68.40100000000001</c:v>
                </c:pt>
                <c:pt idx="10">
                  <c:v>68.40100000000001</c:v>
                </c:pt>
                <c:pt idx="11">
                  <c:v>68.40100000000001</c:v>
                </c:pt>
                <c:pt idx="12">
                  <c:v>68.40100000000001</c:v>
                </c:pt>
                <c:pt idx="13">
                  <c:v>67.970507810157841</c:v>
                </c:pt>
                <c:pt idx="14">
                  <c:v>67.806743215278146</c:v>
                </c:pt>
                <c:pt idx="15">
                  <c:v>68.40100000000001</c:v>
                </c:pt>
                <c:pt idx="16">
                  <c:v>68.40100000000001</c:v>
                </c:pt>
                <c:pt idx="17">
                  <c:v>68.40100000000001</c:v>
                </c:pt>
                <c:pt idx="18">
                  <c:v>68.40100000000001</c:v>
                </c:pt>
                <c:pt idx="19">
                  <c:v>67.767963669376243</c:v>
                </c:pt>
                <c:pt idx="20">
                  <c:v>67.05920567428474</c:v>
                </c:pt>
                <c:pt idx="21">
                  <c:v>66.210440858232587</c:v>
                </c:pt>
                <c:pt idx="22">
                  <c:v>65.323464729854479</c:v>
                </c:pt>
                <c:pt idx="23">
                  <c:v>64.809914057115023</c:v>
                </c:pt>
                <c:pt idx="24">
                  <c:v>64.018269571771512</c:v>
                </c:pt>
                <c:pt idx="25">
                  <c:v>63.032307054382123</c:v>
                </c:pt>
                <c:pt idx="26">
                  <c:v>62.158967200549775</c:v>
                </c:pt>
                <c:pt idx="27">
                  <c:v>63.374034025474259</c:v>
                </c:pt>
                <c:pt idx="28">
                  <c:v>63.785778215713854</c:v>
                </c:pt>
                <c:pt idx="29">
                  <c:v>63.07708854468153</c:v>
                </c:pt>
                <c:pt idx="30">
                  <c:v>62.761218711046929</c:v>
                </c:pt>
                <c:pt idx="31">
                  <c:v>61.790081230553895</c:v>
                </c:pt>
                <c:pt idx="32">
                  <c:v>61.304341387020756</c:v>
                </c:pt>
                <c:pt idx="33">
                  <c:v>60.633382857810034</c:v>
                </c:pt>
                <c:pt idx="34">
                  <c:v>66.125057001318694</c:v>
                </c:pt>
                <c:pt idx="35">
                  <c:v>68.154521031939382</c:v>
                </c:pt>
                <c:pt idx="36">
                  <c:v>67.643178235962182</c:v>
                </c:pt>
                <c:pt idx="37">
                  <c:v>67.603151176994558</c:v>
                </c:pt>
                <c:pt idx="38">
                  <c:v>68.40100000000001</c:v>
                </c:pt>
                <c:pt idx="39">
                  <c:v>68.351484730368938</c:v>
                </c:pt>
                <c:pt idx="40">
                  <c:v>68.300066103736725</c:v>
                </c:pt>
                <c:pt idx="41">
                  <c:v>68.187228108389206</c:v>
                </c:pt>
                <c:pt idx="42">
                  <c:v>67.725343675475273</c:v>
                </c:pt>
                <c:pt idx="43">
                  <c:v>68.11385692074235</c:v>
                </c:pt>
                <c:pt idx="44">
                  <c:v>68.121427793968138</c:v>
                </c:pt>
                <c:pt idx="45">
                  <c:v>68.40100000000001</c:v>
                </c:pt>
                <c:pt idx="46">
                  <c:v>67.77987127014417</c:v>
                </c:pt>
                <c:pt idx="47">
                  <c:v>67.192939803808429</c:v>
                </c:pt>
                <c:pt idx="48">
                  <c:v>66.731231734804823</c:v>
                </c:pt>
                <c:pt idx="49">
                  <c:v>66.748008735189316</c:v>
                </c:pt>
                <c:pt idx="50">
                  <c:v>65.533136270926605</c:v>
                </c:pt>
                <c:pt idx="51">
                  <c:v>64.287308768948051</c:v>
                </c:pt>
                <c:pt idx="52">
                  <c:v>62.912380182169116</c:v>
                </c:pt>
                <c:pt idx="53">
                  <c:v>61.508431400481307</c:v>
                </c:pt>
                <c:pt idx="54">
                  <c:v>60.105238002389036</c:v>
                </c:pt>
                <c:pt idx="55">
                  <c:v>60.660644110512294</c:v>
                </c:pt>
                <c:pt idx="56">
                  <c:v>59.77856074584669</c:v>
                </c:pt>
                <c:pt idx="57">
                  <c:v>58.327231810241514</c:v>
                </c:pt>
                <c:pt idx="58">
                  <c:v>56.640474425212169</c:v>
                </c:pt>
                <c:pt idx="59">
                  <c:v>54.87977973265631</c:v>
                </c:pt>
                <c:pt idx="60">
                  <c:v>53.221971134683727</c:v>
                </c:pt>
                <c:pt idx="61">
                  <c:v>52.757970111409257</c:v>
                </c:pt>
                <c:pt idx="62">
                  <c:v>52.551002170295547</c:v>
                </c:pt>
                <c:pt idx="63">
                  <c:v>63.165567577208485</c:v>
                </c:pt>
                <c:pt idx="64">
                  <c:v>68.40100000000001</c:v>
                </c:pt>
                <c:pt idx="65">
                  <c:v>67.211238315643143</c:v>
                </c:pt>
                <c:pt idx="66">
                  <c:v>65.456640349879279</c:v>
                </c:pt>
                <c:pt idx="67">
                  <c:v>64.013968033033478</c:v>
                </c:pt>
                <c:pt idx="68">
                  <c:v>64.350508109250924</c:v>
                </c:pt>
                <c:pt idx="69">
                  <c:v>62.997069237306015</c:v>
                </c:pt>
                <c:pt idx="70">
                  <c:v>62.97250961410338</c:v>
                </c:pt>
                <c:pt idx="71">
                  <c:v>68.40100000000001</c:v>
                </c:pt>
                <c:pt idx="72">
                  <c:v>68.40100000000001</c:v>
                </c:pt>
                <c:pt idx="73">
                  <c:v>67.360539620494379</c:v>
                </c:pt>
                <c:pt idx="74">
                  <c:v>65.980952751989904</c:v>
                </c:pt>
                <c:pt idx="75">
                  <c:v>66.166922548699105</c:v>
                </c:pt>
                <c:pt idx="76">
                  <c:v>68.40100000000001</c:v>
                </c:pt>
                <c:pt idx="77">
                  <c:v>68.40100000000001</c:v>
                </c:pt>
                <c:pt idx="78">
                  <c:v>68.40100000000001</c:v>
                </c:pt>
                <c:pt idx="79">
                  <c:v>68.40100000000001</c:v>
                </c:pt>
                <c:pt idx="80">
                  <c:v>68.086761531522811</c:v>
                </c:pt>
                <c:pt idx="81">
                  <c:v>66.893558010436124</c:v>
                </c:pt>
                <c:pt idx="82">
                  <c:v>65.925455584151464</c:v>
                </c:pt>
                <c:pt idx="83">
                  <c:v>68.40100000000001</c:v>
                </c:pt>
                <c:pt idx="84">
                  <c:v>67.196677717110333</c:v>
                </c:pt>
                <c:pt idx="85">
                  <c:v>65.273989051924048</c:v>
                </c:pt>
                <c:pt idx="86">
                  <c:v>63.34119793733268</c:v>
                </c:pt>
                <c:pt idx="87">
                  <c:v>61.425474551863857</c:v>
                </c:pt>
                <c:pt idx="88">
                  <c:v>59.435694017330192</c:v>
                </c:pt>
                <c:pt idx="89">
                  <c:v>58.96168249842529</c:v>
                </c:pt>
                <c:pt idx="90">
                  <c:v>62.470685949485386</c:v>
                </c:pt>
                <c:pt idx="91">
                  <c:v>61.586294015135323</c:v>
                </c:pt>
                <c:pt idx="92">
                  <c:v>60.02938124072692</c:v>
                </c:pt>
                <c:pt idx="93">
                  <c:v>58.215039665859365</c:v>
                </c:pt>
                <c:pt idx="94">
                  <c:v>57.584062731725865</c:v>
                </c:pt>
                <c:pt idx="95">
                  <c:v>58.17907690221746</c:v>
                </c:pt>
                <c:pt idx="96">
                  <c:v>58.17907690221746</c:v>
                </c:pt>
                <c:pt idx="97">
                  <c:v>58.17907690221746</c:v>
                </c:pt>
                <c:pt idx="98">
                  <c:v>58.17907690221746</c:v>
                </c:pt>
                <c:pt idx="99">
                  <c:v>58.17907690221746</c:v>
                </c:pt>
                <c:pt idx="100">
                  <c:v>58.17907690221746</c:v>
                </c:pt>
                <c:pt idx="101">
                  <c:v>58.17907690221746</c:v>
                </c:pt>
                <c:pt idx="102">
                  <c:v>58.17907690221746</c:v>
                </c:pt>
                <c:pt idx="103">
                  <c:v>58.17907690221746</c:v>
                </c:pt>
                <c:pt idx="104">
                  <c:v>58.17907690221746</c:v>
                </c:pt>
                <c:pt idx="105">
                  <c:v>58.17907690221746</c:v>
                </c:pt>
                <c:pt idx="106">
                  <c:v>58.17907690221746</c:v>
                </c:pt>
                <c:pt idx="107">
                  <c:v>58.17907690221746</c:v>
                </c:pt>
                <c:pt idx="108">
                  <c:v>58.17907690221746</c:v>
                </c:pt>
                <c:pt idx="109">
                  <c:v>58.17907690221746</c:v>
                </c:pt>
                <c:pt idx="110">
                  <c:v>58.17907690221746</c:v>
                </c:pt>
                <c:pt idx="111">
                  <c:v>58.17907690221746</c:v>
                </c:pt>
                <c:pt idx="112">
                  <c:v>58.17907690221746</c:v>
                </c:pt>
                <c:pt idx="113">
                  <c:v>58.17907690221746</c:v>
                </c:pt>
                <c:pt idx="114">
                  <c:v>58.17907690221746</c:v>
                </c:pt>
                <c:pt idx="115">
                  <c:v>58.17907690221746</c:v>
                </c:pt>
                <c:pt idx="116">
                  <c:v>58.17907690221746</c:v>
                </c:pt>
                <c:pt idx="117">
                  <c:v>58.17907690221746</c:v>
                </c:pt>
                <c:pt idx="118">
                  <c:v>58.17907690221746</c:v>
                </c:pt>
                <c:pt idx="119">
                  <c:v>58.17907690221746</c:v>
                </c:pt>
                <c:pt idx="120">
                  <c:v>58.17907690221746</c:v>
                </c:pt>
                <c:pt idx="121">
                  <c:v>58.17907690221746</c:v>
                </c:pt>
                <c:pt idx="122">
                  <c:v>58.17907690221746</c:v>
                </c:pt>
                <c:pt idx="123">
                  <c:v>58.17907690221746</c:v>
                </c:pt>
                <c:pt idx="124">
                  <c:v>58.17907690221746</c:v>
                </c:pt>
                <c:pt idx="125">
                  <c:v>58.17907690221746</c:v>
                </c:pt>
                <c:pt idx="126">
                  <c:v>58.17907690221746</c:v>
                </c:pt>
                <c:pt idx="127">
                  <c:v>58.17907690221746</c:v>
                </c:pt>
                <c:pt idx="128">
                  <c:v>58.17907690221746</c:v>
                </c:pt>
                <c:pt idx="129">
                  <c:v>58.17907690221746</c:v>
                </c:pt>
                <c:pt idx="130">
                  <c:v>58.17907690221746</c:v>
                </c:pt>
                <c:pt idx="131">
                  <c:v>58.17907690221746</c:v>
                </c:pt>
                <c:pt idx="132">
                  <c:v>58.17907690221746</c:v>
                </c:pt>
                <c:pt idx="133">
                  <c:v>58.17907690221746</c:v>
                </c:pt>
                <c:pt idx="134">
                  <c:v>58.17907690221746</c:v>
                </c:pt>
                <c:pt idx="135">
                  <c:v>58.17907690221746</c:v>
                </c:pt>
                <c:pt idx="136">
                  <c:v>58.17907690221746</c:v>
                </c:pt>
                <c:pt idx="137">
                  <c:v>58.17907690221746</c:v>
                </c:pt>
                <c:pt idx="138">
                  <c:v>58.17907690221746</c:v>
                </c:pt>
                <c:pt idx="139">
                  <c:v>58.17907690221746</c:v>
                </c:pt>
                <c:pt idx="140">
                  <c:v>58.17907690221746</c:v>
                </c:pt>
                <c:pt idx="141">
                  <c:v>58.17907690221746</c:v>
                </c:pt>
                <c:pt idx="142">
                  <c:v>58.17907690221746</c:v>
                </c:pt>
                <c:pt idx="143">
                  <c:v>58.17907690221746</c:v>
                </c:pt>
                <c:pt idx="144">
                  <c:v>58.17907690221746</c:v>
                </c:pt>
                <c:pt idx="145">
                  <c:v>58.17907690221746</c:v>
                </c:pt>
                <c:pt idx="146">
                  <c:v>58.17907690221746</c:v>
                </c:pt>
                <c:pt idx="147">
                  <c:v>58.17907690221746</c:v>
                </c:pt>
                <c:pt idx="148">
                  <c:v>58.17907690221746</c:v>
                </c:pt>
                <c:pt idx="149">
                  <c:v>58.17907690221746</c:v>
                </c:pt>
                <c:pt idx="150">
                  <c:v>58.17907690221746</c:v>
                </c:pt>
                <c:pt idx="151">
                  <c:v>58.17907690221746</c:v>
                </c:pt>
                <c:pt idx="152">
                  <c:v>58.17907690221746</c:v>
                </c:pt>
                <c:pt idx="153">
                  <c:v>58.17907690221746</c:v>
                </c:pt>
                <c:pt idx="154">
                  <c:v>58.17907690221746</c:v>
                </c:pt>
                <c:pt idx="155">
                  <c:v>58.17907690221746</c:v>
                </c:pt>
                <c:pt idx="156">
                  <c:v>58.17907690221746</c:v>
                </c:pt>
                <c:pt idx="157">
                  <c:v>58.17907690221746</c:v>
                </c:pt>
                <c:pt idx="158">
                  <c:v>58.17907690221746</c:v>
                </c:pt>
                <c:pt idx="159">
                  <c:v>58.17907690221746</c:v>
                </c:pt>
                <c:pt idx="160">
                  <c:v>58.17907690221746</c:v>
                </c:pt>
                <c:pt idx="161">
                  <c:v>58.17907690221746</c:v>
                </c:pt>
                <c:pt idx="162">
                  <c:v>58.17907690221746</c:v>
                </c:pt>
                <c:pt idx="163">
                  <c:v>58.17907690221746</c:v>
                </c:pt>
                <c:pt idx="164">
                  <c:v>58.17907690221746</c:v>
                </c:pt>
                <c:pt idx="165">
                  <c:v>58.17907690221746</c:v>
                </c:pt>
                <c:pt idx="166">
                  <c:v>58.17907690221746</c:v>
                </c:pt>
                <c:pt idx="167">
                  <c:v>58.17907690221746</c:v>
                </c:pt>
                <c:pt idx="168">
                  <c:v>58.17907690221746</c:v>
                </c:pt>
                <c:pt idx="169">
                  <c:v>58.17907690221746</c:v>
                </c:pt>
                <c:pt idx="170">
                  <c:v>58.17907690221746</c:v>
                </c:pt>
                <c:pt idx="171">
                  <c:v>58.17907690221746</c:v>
                </c:pt>
                <c:pt idx="172">
                  <c:v>58.17907690221746</c:v>
                </c:pt>
                <c:pt idx="173">
                  <c:v>58.17907690221746</c:v>
                </c:pt>
                <c:pt idx="174">
                  <c:v>58.17907690221746</c:v>
                </c:pt>
                <c:pt idx="175">
                  <c:v>58.17907690221746</c:v>
                </c:pt>
                <c:pt idx="176">
                  <c:v>58.17907690221746</c:v>
                </c:pt>
                <c:pt idx="177">
                  <c:v>58.17907690221746</c:v>
                </c:pt>
                <c:pt idx="178">
                  <c:v>58.17907690221746</c:v>
                </c:pt>
                <c:pt idx="179">
                  <c:v>58.17907690221746</c:v>
                </c:pt>
                <c:pt idx="180">
                  <c:v>58.17907690221746</c:v>
                </c:pt>
                <c:pt idx="181">
                  <c:v>58.17907690221746</c:v>
                </c:pt>
                <c:pt idx="182">
                  <c:v>58.17907690221746</c:v>
                </c:pt>
                <c:pt idx="183">
                  <c:v>58.17907690221746</c:v>
                </c:pt>
                <c:pt idx="184">
                  <c:v>58.17907690221746</c:v>
                </c:pt>
                <c:pt idx="185">
                  <c:v>58.17907690221746</c:v>
                </c:pt>
                <c:pt idx="186">
                  <c:v>58.17907690221746</c:v>
                </c:pt>
                <c:pt idx="187">
                  <c:v>58.17907690221746</c:v>
                </c:pt>
                <c:pt idx="188">
                  <c:v>58.17907690221746</c:v>
                </c:pt>
                <c:pt idx="189">
                  <c:v>58.17907690221746</c:v>
                </c:pt>
                <c:pt idx="190">
                  <c:v>58.17907690221746</c:v>
                </c:pt>
                <c:pt idx="191">
                  <c:v>58.17907690221746</c:v>
                </c:pt>
                <c:pt idx="192">
                  <c:v>58.17907690221746</c:v>
                </c:pt>
                <c:pt idx="193">
                  <c:v>58.17907690221746</c:v>
                </c:pt>
                <c:pt idx="194">
                  <c:v>58.17907690221746</c:v>
                </c:pt>
                <c:pt idx="195">
                  <c:v>58.17907690221746</c:v>
                </c:pt>
                <c:pt idx="196">
                  <c:v>58.17907690221746</c:v>
                </c:pt>
                <c:pt idx="197">
                  <c:v>58.17907690221746</c:v>
                </c:pt>
                <c:pt idx="198">
                  <c:v>58.17907690221746</c:v>
                </c:pt>
                <c:pt idx="199">
                  <c:v>58.17907690221746</c:v>
                </c:pt>
                <c:pt idx="200">
                  <c:v>58.17907690221746</c:v>
                </c:pt>
                <c:pt idx="201">
                  <c:v>58.17907690221746</c:v>
                </c:pt>
                <c:pt idx="202">
                  <c:v>58.17907690221746</c:v>
                </c:pt>
                <c:pt idx="203">
                  <c:v>58.17907690221746</c:v>
                </c:pt>
                <c:pt idx="204">
                  <c:v>58.17907690221746</c:v>
                </c:pt>
                <c:pt idx="205">
                  <c:v>58.17907690221746</c:v>
                </c:pt>
                <c:pt idx="206">
                  <c:v>58.17907690221746</c:v>
                </c:pt>
                <c:pt idx="207">
                  <c:v>58.17907690221746</c:v>
                </c:pt>
                <c:pt idx="208">
                  <c:v>58.17907690221746</c:v>
                </c:pt>
                <c:pt idx="209">
                  <c:v>58.17907690221746</c:v>
                </c:pt>
                <c:pt idx="210">
                  <c:v>58.17907690221746</c:v>
                </c:pt>
                <c:pt idx="211">
                  <c:v>58.17907690221746</c:v>
                </c:pt>
                <c:pt idx="212">
                  <c:v>58.17907690221746</c:v>
                </c:pt>
                <c:pt idx="213">
                  <c:v>58.17907690221746</c:v>
                </c:pt>
                <c:pt idx="214">
                  <c:v>58.17907690221746</c:v>
                </c:pt>
                <c:pt idx="215">
                  <c:v>58.17907690221746</c:v>
                </c:pt>
                <c:pt idx="216">
                  <c:v>58.17907690221746</c:v>
                </c:pt>
                <c:pt idx="217">
                  <c:v>58.17907690221746</c:v>
                </c:pt>
                <c:pt idx="218">
                  <c:v>58.17907690221746</c:v>
                </c:pt>
                <c:pt idx="219">
                  <c:v>58.17907690221746</c:v>
                </c:pt>
                <c:pt idx="220">
                  <c:v>58.17907690221746</c:v>
                </c:pt>
                <c:pt idx="221">
                  <c:v>58.17907690221746</c:v>
                </c:pt>
                <c:pt idx="222">
                  <c:v>58.17907690221746</c:v>
                </c:pt>
                <c:pt idx="223">
                  <c:v>58.17907690221746</c:v>
                </c:pt>
                <c:pt idx="224">
                  <c:v>58.17907690221746</c:v>
                </c:pt>
                <c:pt idx="225">
                  <c:v>58.17907690221746</c:v>
                </c:pt>
                <c:pt idx="226">
                  <c:v>58.17907690221746</c:v>
                </c:pt>
                <c:pt idx="227">
                  <c:v>58.17907690221746</c:v>
                </c:pt>
                <c:pt idx="228">
                  <c:v>58.17907690221746</c:v>
                </c:pt>
                <c:pt idx="229">
                  <c:v>58.17907690221746</c:v>
                </c:pt>
                <c:pt idx="230">
                  <c:v>58.17907690221746</c:v>
                </c:pt>
                <c:pt idx="231">
                  <c:v>58.17907690221746</c:v>
                </c:pt>
                <c:pt idx="232">
                  <c:v>58.17907690221746</c:v>
                </c:pt>
                <c:pt idx="233">
                  <c:v>58.17907690221746</c:v>
                </c:pt>
                <c:pt idx="234">
                  <c:v>58.17907690221746</c:v>
                </c:pt>
                <c:pt idx="235">
                  <c:v>58.17907690221746</c:v>
                </c:pt>
                <c:pt idx="236">
                  <c:v>58.17907690221746</c:v>
                </c:pt>
                <c:pt idx="237">
                  <c:v>58.17907690221746</c:v>
                </c:pt>
                <c:pt idx="238">
                  <c:v>58.17907690221746</c:v>
                </c:pt>
                <c:pt idx="239">
                  <c:v>58.17907690221746</c:v>
                </c:pt>
                <c:pt idx="240">
                  <c:v>58.17907690221746</c:v>
                </c:pt>
                <c:pt idx="241">
                  <c:v>58.17907690221746</c:v>
                </c:pt>
                <c:pt idx="242">
                  <c:v>58.17907690221746</c:v>
                </c:pt>
                <c:pt idx="243">
                  <c:v>58.17907690221746</c:v>
                </c:pt>
                <c:pt idx="244">
                  <c:v>58.17907690221746</c:v>
                </c:pt>
                <c:pt idx="245">
                  <c:v>58.17907690221746</c:v>
                </c:pt>
                <c:pt idx="246">
                  <c:v>58.17907690221746</c:v>
                </c:pt>
                <c:pt idx="247">
                  <c:v>58.17907690221746</c:v>
                </c:pt>
                <c:pt idx="248">
                  <c:v>58.17907690221746</c:v>
                </c:pt>
                <c:pt idx="249">
                  <c:v>58.17907690221746</c:v>
                </c:pt>
                <c:pt idx="250">
                  <c:v>58.17907690221746</c:v>
                </c:pt>
                <c:pt idx="251">
                  <c:v>58.17907690221746</c:v>
                </c:pt>
                <c:pt idx="252">
                  <c:v>58.17907690221746</c:v>
                </c:pt>
                <c:pt idx="253">
                  <c:v>58.17907690221746</c:v>
                </c:pt>
                <c:pt idx="254">
                  <c:v>58.17907690221746</c:v>
                </c:pt>
                <c:pt idx="255">
                  <c:v>58.17907690221746</c:v>
                </c:pt>
                <c:pt idx="256">
                  <c:v>58.17907690221746</c:v>
                </c:pt>
                <c:pt idx="257">
                  <c:v>58.17907690221746</c:v>
                </c:pt>
                <c:pt idx="258">
                  <c:v>58.17907690221746</c:v>
                </c:pt>
                <c:pt idx="259">
                  <c:v>58.17907690221746</c:v>
                </c:pt>
                <c:pt idx="260">
                  <c:v>58.17907690221746</c:v>
                </c:pt>
                <c:pt idx="261">
                  <c:v>58.17907690221746</c:v>
                </c:pt>
                <c:pt idx="262">
                  <c:v>58.17907690221746</c:v>
                </c:pt>
                <c:pt idx="263">
                  <c:v>58.17907690221746</c:v>
                </c:pt>
                <c:pt idx="264">
                  <c:v>58.17907690221746</c:v>
                </c:pt>
                <c:pt idx="265">
                  <c:v>58.17907690221746</c:v>
                </c:pt>
                <c:pt idx="266">
                  <c:v>58.17907690221746</c:v>
                </c:pt>
                <c:pt idx="267">
                  <c:v>58.17907690221746</c:v>
                </c:pt>
                <c:pt idx="268">
                  <c:v>58.17907690221746</c:v>
                </c:pt>
                <c:pt idx="269">
                  <c:v>58.17907690221746</c:v>
                </c:pt>
                <c:pt idx="270">
                  <c:v>58.17907690221746</c:v>
                </c:pt>
                <c:pt idx="271">
                  <c:v>58.17907690221746</c:v>
                </c:pt>
                <c:pt idx="272">
                  <c:v>58.17907690221746</c:v>
                </c:pt>
                <c:pt idx="273">
                  <c:v>58.17907690221746</c:v>
                </c:pt>
                <c:pt idx="274">
                  <c:v>58.17907690221746</c:v>
                </c:pt>
                <c:pt idx="275">
                  <c:v>58.17907690221746</c:v>
                </c:pt>
                <c:pt idx="276">
                  <c:v>58.17907690221746</c:v>
                </c:pt>
                <c:pt idx="277">
                  <c:v>58.17907690221746</c:v>
                </c:pt>
                <c:pt idx="278">
                  <c:v>58.17907690221746</c:v>
                </c:pt>
                <c:pt idx="279">
                  <c:v>58.17907690221746</c:v>
                </c:pt>
                <c:pt idx="280">
                  <c:v>58.17907690221746</c:v>
                </c:pt>
                <c:pt idx="281">
                  <c:v>58.17907690221746</c:v>
                </c:pt>
                <c:pt idx="282">
                  <c:v>58.17907690221746</c:v>
                </c:pt>
                <c:pt idx="283">
                  <c:v>58.17907690221746</c:v>
                </c:pt>
                <c:pt idx="284">
                  <c:v>58.17907690221746</c:v>
                </c:pt>
                <c:pt idx="285">
                  <c:v>58.17907690221746</c:v>
                </c:pt>
                <c:pt idx="286">
                  <c:v>58.17907690221746</c:v>
                </c:pt>
                <c:pt idx="287">
                  <c:v>58.17907690221746</c:v>
                </c:pt>
                <c:pt idx="288">
                  <c:v>58.17907690221746</c:v>
                </c:pt>
                <c:pt idx="289">
                  <c:v>58.17907690221746</c:v>
                </c:pt>
                <c:pt idx="290">
                  <c:v>58.17907690221746</c:v>
                </c:pt>
                <c:pt idx="291">
                  <c:v>58.17907690221746</c:v>
                </c:pt>
                <c:pt idx="292">
                  <c:v>58.17907690221746</c:v>
                </c:pt>
                <c:pt idx="293">
                  <c:v>58.17907690221746</c:v>
                </c:pt>
                <c:pt idx="294">
                  <c:v>58.17907690221746</c:v>
                </c:pt>
                <c:pt idx="295">
                  <c:v>58.17907690221746</c:v>
                </c:pt>
                <c:pt idx="296">
                  <c:v>58.17907690221746</c:v>
                </c:pt>
                <c:pt idx="297">
                  <c:v>58.17907690221746</c:v>
                </c:pt>
                <c:pt idx="298">
                  <c:v>58.17907690221746</c:v>
                </c:pt>
                <c:pt idx="299">
                  <c:v>58.17907690221746</c:v>
                </c:pt>
                <c:pt idx="300">
                  <c:v>58.17907690221746</c:v>
                </c:pt>
                <c:pt idx="301">
                  <c:v>58.17907690221746</c:v>
                </c:pt>
                <c:pt idx="302">
                  <c:v>58.17907690221746</c:v>
                </c:pt>
                <c:pt idx="303">
                  <c:v>58.17907690221746</c:v>
                </c:pt>
                <c:pt idx="304">
                  <c:v>58.17907690221746</c:v>
                </c:pt>
                <c:pt idx="305">
                  <c:v>58.17907690221746</c:v>
                </c:pt>
                <c:pt idx="306">
                  <c:v>58.17907690221746</c:v>
                </c:pt>
                <c:pt idx="307">
                  <c:v>58.17907690221746</c:v>
                </c:pt>
                <c:pt idx="308">
                  <c:v>58.17907690221746</c:v>
                </c:pt>
                <c:pt idx="309">
                  <c:v>58.17907690221746</c:v>
                </c:pt>
                <c:pt idx="310">
                  <c:v>58.17907690221746</c:v>
                </c:pt>
                <c:pt idx="311">
                  <c:v>58.17907690221746</c:v>
                </c:pt>
                <c:pt idx="312">
                  <c:v>58.17907690221746</c:v>
                </c:pt>
                <c:pt idx="313">
                  <c:v>58.17907690221746</c:v>
                </c:pt>
                <c:pt idx="314">
                  <c:v>58.17907690221746</c:v>
                </c:pt>
                <c:pt idx="315">
                  <c:v>58.17907690221746</c:v>
                </c:pt>
                <c:pt idx="316">
                  <c:v>58.17907690221746</c:v>
                </c:pt>
                <c:pt idx="317">
                  <c:v>58.17907690221746</c:v>
                </c:pt>
                <c:pt idx="318">
                  <c:v>58.17907690221746</c:v>
                </c:pt>
                <c:pt idx="319">
                  <c:v>58.17907690221746</c:v>
                </c:pt>
                <c:pt idx="320">
                  <c:v>58.17907690221746</c:v>
                </c:pt>
                <c:pt idx="321">
                  <c:v>58.17907690221746</c:v>
                </c:pt>
                <c:pt idx="322">
                  <c:v>58.17907690221746</c:v>
                </c:pt>
                <c:pt idx="323">
                  <c:v>58.17907690221746</c:v>
                </c:pt>
                <c:pt idx="324">
                  <c:v>58.17907690221746</c:v>
                </c:pt>
                <c:pt idx="325">
                  <c:v>58.17907690221746</c:v>
                </c:pt>
                <c:pt idx="326">
                  <c:v>58.17907690221746</c:v>
                </c:pt>
                <c:pt idx="327">
                  <c:v>58.17907690221746</c:v>
                </c:pt>
                <c:pt idx="328">
                  <c:v>58.17907690221746</c:v>
                </c:pt>
                <c:pt idx="329">
                  <c:v>58.17907690221746</c:v>
                </c:pt>
                <c:pt idx="330">
                  <c:v>58.17907690221746</c:v>
                </c:pt>
                <c:pt idx="331">
                  <c:v>58.17907690221746</c:v>
                </c:pt>
                <c:pt idx="332">
                  <c:v>58.17907690221746</c:v>
                </c:pt>
                <c:pt idx="333">
                  <c:v>58.17907690221746</c:v>
                </c:pt>
                <c:pt idx="334">
                  <c:v>58.17907690221746</c:v>
                </c:pt>
                <c:pt idx="335">
                  <c:v>58.17907690221746</c:v>
                </c:pt>
                <c:pt idx="336">
                  <c:v>58.17907690221746</c:v>
                </c:pt>
                <c:pt idx="337">
                  <c:v>58.17907690221746</c:v>
                </c:pt>
                <c:pt idx="338">
                  <c:v>58.17907690221746</c:v>
                </c:pt>
                <c:pt idx="339">
                  <c:v>58.17907690221746</c:v>
                </c:pt>
                <c:pt idx="340">
                  <c:v>58.17907690221746</c:v>
                </c:pt>
                <c:pt idx="341">
                  <c:v>58.17907690221746</c:v>
                </c:pt>
                <c:pt idx="342">
                  <c:v>58.17907690221746</c:v>
                </c:pt>
                <c:pt idx="343">
                  <c:v>58.17907690221746</c:v>
                </c:pt>
                <c:pt idx="344">
                  <c:v>58.17907690221746</c:v>
                </c:pt>
                <c:pt idx="345">
                  <c:v>58.17907690221746</c:v>
                </c:pt>
                <c:pt idx="346">
                  <c:v>58.17907690221746</c:v>
                </c:pt>
                <c:pt idx="347">
                  <c:v>58.17907690221746</c:v>
                </c:pt>
                <c:pt idx="348">
                  <c:v>58.17907690221746</c:v>
                </c:pt>
                <c:pt idx="349">
                  <c:v>58.17907690221746</c:v>
                </c:pt>
                <c:pt idx="350">
                  <c:v>58.17907690221746</c:v>
                </c:pt>
                <c:pt idx="351">
                  <c:v>58.17907690221746</c:v>
                </c:pt>
                <c:pt idx="352">
                  <c:v>58.17907690221746</c:v>
                </c:pt>
                <c:pt idx="353">
                  <c:v>58.17907690221746</c:v>
                </c:pt>
                <c:pt idx="354">
                  <c:v>58.17907690221746</c:v>
                </c:pt>
                <c:pt idx="355">
                  <c:v>58.17907690221746</c:v>
                </c:pt>
                <c:pt idx="356">
                  <c:v>58.17907690221746</c:v>
                </c:pt>
                <c:pt idx="357">
                  <c:v>58.17907690221746</c:v>
                </c:pt>
                <c:pt idx="358">
                  <c:v>58.17907690221746</c:v>
                </c:pt>
                <c:pt idx="359">
                  <c:v>58.17907690221746</c:v>
                </c:pt>
                <c:pt idx="360">
                  <c:v>58.17907690221746</c:v>
                </c:pt>
                <c:pt idx="361">
                  <c:v>58.17907690221746</c:v>
                </c:pt>
                <c:pt idx="362">
                  <c:v>58.17907690221746</c:v>
                </c:pt>
                <c:pt idx="363">
                  <c:v>58.17907690221746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D1-44BD-A847-552C5258FD53}"/>
            </c:ext>
          </c:extLst>
        </c:ser>
        <c:ser>
          <c:idx val="2"/>
          <c:order val="2"/>
          <c:tx>
            <c:v>field capacity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Bilan_hydrique!$A$2:$A$366</c:f>
              <c:numCache>
                <c:formatCode>m/d/yyyy</c:formatCode>
                <c:ptCount val="365"/>
                <c:pt idx="0">
                  <c:v>42050</c:v>
                </c:pt>
                <c:pt idx="1">
                  <c:v>42051</c:v>
                </c:pt>
                <c:pt idx="2">
                  <c:v>42052</c:v>
                </c:pt>
                <c:pt idx="3">
                  <c:v>42053</c:v>
                </c:pt>
                <c:pt idx="4">
                  <c:v>42054</c:v>
                </c:pt>
                <c:pt idx="5">
                  <c:v>42055</c:v>
                </c:pt>
                <c:pt idx="6">
                  <c:v>42056</c:v>
                </c:pt>
                <c:pt idx="7">
                  <c:v>42057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42063</c:v>
                </c:pt>
                <c:pt idx="14">
                  <c:v>42064</c:v>
                </c:pt>
                <c:pt idx="15">
                  <c:v>42065</c:v>
                </c:pt>
                <c:pt idx="16">
                  <c:v>42066</c:v>
                </c:pt>
                <c:pt idx="17">
                  <c:v>42067</c:v>
                </c:pt>
                <c:pt idx="18">
                  <c:v>42068</c:v>
                </c:pt>
                <c:pt idx="19">
                  <c:v>42069</c:v>
                </c:pt>
                <c:pt idx="20">
                  <c:v>42070</c:v>
                </c:pt>
                <c:pt idx="21">
                  <c:v>42071</c:v>
                </c:pt>
                <c:pt idx="22">
                  <c:v>42072</c:v>
                </c:pt>
                <c:pt idx="23">
                  <c:v>42073</c:v>
                </c:pt>
                <c:pt idx="24">
                  <c:v>42074</c:v>
                </c:pt>
                <c:pt idx="25">
                  <c:v>42075</c:v>
                </c:pt>
                <c:pt idx="26">
                  <c:v>42076</c:v>
                </c:pt>
                <c:pt idx="27">
                  <c:v>42077</c:v>
                </c:pt>
                <c:pt idx="28">
                  <c:v>42078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42084</c:v>
                </c:pt>
                <c:pt idx="35">
                  <c:v>42085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42091</c:v>
                </c:pt>
                <c:pt idx="42">
                  <c:v>42092</c:v>
                </c:pt>
                <c:pt idx="43">
                  <c:v>42093</c:v>
                </c:pt>
                <c:pt idx="44">
                  <c:v>42094</c:v>
                </c:pt>
                <c:pt idx="45">
                  <c:v>42095</c:v>
                </c:pt>
                <c:pt idx="46">
                  <c:v>42096</c:v>
                </c:pt>
                <c:pt idx="47">
                  <c:v>42097</c:v>
                </c:pt>
                <c:pt idx="48">
                  <c:v>42098</c:v>
                </c:pt>
                <c:pt idx="49">
                  <c:v>42099</c:v>
                </c:pt>
                <c:pt idx="50">
                  <c:v>42100</c:v>
                </c:pt>
                <c:pt idx="51">
                  <c:v>42101</c:v>
                </c:pt>
                <c:pt idx="52">
                  <c:v>42102</c:v>
                </c:pt>
                <c:pt idx="53">
                  <c:v>42103</c:v>
                </c:pt>
                <c:pt idx="54">
                  <c:v>42104</c:v>
                </c:pt>
                <c:pt idx="55">
                  <c:v>42105</c:v>
                </c:pt>
                <c:pt idx="56">
                  <c:v>42106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42112</c:v>
                </c:pt>
                <c:pt idx="63">
                  <c:v>42113</c:v>
                </c:pt>
                <c:pt idx="64">
                  <c:v>42114</c:v>
                </c:pt>
                <c:pt idx="65">
                  <c:v>42115</c:v>
                </c:pt>
                <c:pt idx="66">
                  <c:v>42116</c:v>
                </c:pt>
                <c:pt idx="67">
                  <c:v>42117</c:v>
                </c:pt>
                <c:pt idx="68">
                  <c:v>42118</c:v>
                </c:pt>
                <c:pt idx="69">
                  <c:v>42119</c:v>
                </c:pt>
                <c:pt idx="70">
                  <c:v>42120</c:v>
                </c:pt>
                <c:pt idx="71">
                  <c:v>42121</c:v>
                </c:pt>
                <c:pt idx="72">
                  <c:v>42122</c:v>
                </c:pt>
                <c:pt idx="73">
                  <c:v>42123</c:v>
                </c:pt>
                <c:pt idx="74">
                  <c:v>42124</c:v>
                </c:pt>
                <c:pt idx="75">
                  <c:v>42125</c:v>
                </c:pt>
                <c:pt idx="76">
                  <c:v>42126</c:v>
                </c:pt>
                <c:pt idx="77">
                  <c:v>42127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42133</c:v>
                </c:pt>
                <c:pt idx="84">
                  <c:v>42134</c:v>
                </c:pt>
                <c:pt idx="85">
                  <c:v>42135</c:v>
                </c:pt>
                <c:pt idx="86">
                  <c:v>42136</c:v>
                </c:pt>
                <c:pt idx="87">
                  <c:v>42137</c:v>
                </c:pt>
                <c:pt idx="88">
                  <c:v>42138</c:v>
                </c:pt>
                <c:pt idx="89">
                  <c:v>42139</c:v>
                </c:pt>
                <c:pt idx="90">
                  <c:v>42140</c:v>
                </c:pt>
                <c:pt idx="91">
                  <c:v>42141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42144</c:v>
                </c:pt>
                <c:pt idx="96">
                  <c:v>42144</c:v>
                </c:pt>
                <c:pt idx="97">
                  <c:v>42144</c:v>
                </c:pt>
                <c:pt idx="98">
                  <c:v>42144</c:v>
                </c:pt>
                <c:pt idx="99">
                  <c:v>42144</c:v>
                </c:pt>
                <c:pt idx="100">
                  <c:v>42144</c:v>
                </c:pt>
                <c:pt idx="101">
                  <c:v>42144</c:v>
                </c:pt>
                <c:pt idx="102">
                  <c:v>42144</c:v>
                </c:pt>
                <c:pt idx="103">
                  <c:v>42144</c:v>
                </c:pt>
                <c:pt idx="104">
                  <c:v>42144</c:v>
                </c:pt>
                <c:pt idx="105">
                  <c:v>42144</c:v>
                </c:pt>
                <c:pt idx="106">
                  <c:v>42144</c:v>
                </c:pt>
                <c:pt idx="107">
                  <c:v>42144</c:v>
                </c:pt>
                <c:pt idx="108">
                  <c:v>42144</c:v>
                </c:pt>
                <c:pt idx="109">
                  <c:v>42144</c:v>
                </c:pt>
                <c:pt idx="110">
                  <c:v>42144</c:v>
                </c:pt>
                <c:pt idx="111">
                  <c:v>42144</c:v>
                </c:pt>
                <c:pt idx="112">
                  <c:v>42144</c:v>
                </c:pt>
                <c:pt idx="113">
                  <c:v>42144</c:v>
                </c:pt>
                <c:pt idx="114">
                  <c:v>42144</c:v>
                </c:pt>
                <c:pt idx="115">
                  <c:v>42144</c:v>
                </c:pt>
                <c:pt idx="116">
                  <c:v>42144</c:v>
                </c:pt>
                <c:pt idx="117">
                  <c:v>42144</c:v>
                </c:pt>
                <c:pt idx="118">
                  <c:v>42144</c:v>
                </c:pt>
                <c:pt idx="119">
                  <c:v>42144</c:v>
                </c:pt>
                <c:pt idx="120">
                  <c:v>42144</c:v>
                </c:pt>
                <c:pt idx="121">
                  <c:v>42144</c:v>
                </c:pt>
                <c:pt idx="122">
                  <c:v>42144</c:v>
                </c:pt>
                <c:pt idx="123">
                  <c:v>42144</c:v>
                </c:pt>
                <c:pt idx="124">
                  <c:v>42144</c:v>
                </c:pt>
                <c:pt idx="125">
                  <c:v>42144</c:v>
                </c:pt>
                <c:pt idx="126">
                  <c:v>42144</c:v>
                </c:pt>
                <c:pt idx="127">
                  <c:v>42144</c:v>
                </c:pt>
                <c:pt idx="128">
                  <c:v>42144</c:v>
                </c:pt>
                <c:pt idx="129">
                  <c:v>42144</c:v>
                </c:pt>
                <c:pt idx="130">
                  <c:v>42144</c:v>
                </c:pt>
                <c:pt idx="131">
                  <c:v>42144</c:v>
                </c:pt>
                <c:pt idx="132">
                  <c:v>42144</c:v>
                </c:pt>
                <c:pt idx="133">
                  <c:v>42144</c:v>
                </c:pt>
                <c:pt idx="134">
                  <c:v>42144</c:v>
                </c:pt>
                <c:pt idx="135">
                  <c:v>42144</c:v>
                </c:pt>
                <c:pt idx="136">
                  <c:v>42144</c:v>
                </c:pt>
                <c:pt idx="137">
                  <c:v>42144</c:v>
                </c:pt>
                <c:pt idx="138">
                  <c:v>42144</c:v>
                </c:pt>
                <c:pt idx="139">
                  <c:v>42144</c:v>
                </c:pt>
                <c:pt idx="140">
                  <c:v>42144</c:v>
                </c:pt>
                <c:pt idx="141">
                  <c:v>42144</c:v>
                </c:pt>
                <c:pt idx="142">
                  <c:v>42144</c:v>
                </c:pt>
                <c:pt idx="143">
                  <c:v>42144</c:v>
                </c:pt>
                <c:pt idx="144">
                  <c:v>42144</c:v>
                </c:pt>
                <c:pt idx="145">
                  <c:v>42144</c:v>
                </c:pt>
                <c:pt idx="146">
                  <c:v>42144</c:v>
                </c:pt>
                <c:pt idx="147">
                  <c:v>42144</c:v>
                </c:pt>
                <c:pt idx="148">
                  <c:v>42144</c:v>
                </c:pt>
                <c:pt idx="149">
                  <c:v>42144</c:v>
                </c:pt>
                <c:pt idx="150">
                  <c:v>42144</c:v>
                </c:pt>
                <c:pt idx="151">
                  <c:v>42144</c:v>
                </c:pt>
                <c:pt idx="152">
                  <c:v>42144</c:v>
                </c:pt>
                <c:pt idx="153">
                  <c:v>42144</c:v>
                </c:pt>
                <c:pt idx="154">
                  <c:v>42144</c:v>
                </c:pt>
                <c:pt idx="155">
                  <c:v>42144</c:v>
                </c:pt>
                <c:pt idx="156">
                  <c:v>42144</c:v>
                </c:pt>
                <c:pt idx="157">
                  <c:v>42144</c:v>
                </c:pt>
                <c:pt idx="158">
                  <c:v>42144</c:v>
                </c:pt>
                <c:pt idx="159">
                  <c:v>42144</c:v>
                </c:pt>
                <c:pt idx="160">
                  <c:v>42144</c:v>
                </c:pt>
                <c:pt idx="161">
                  <c:v>42144</c:v>
                </c:pt>
                <c:pt idx="162">
                  <c:v>42144</c:v>
                </c:pt>
                <c:pt idx="163">
                  <c:v>42144</c:v>
                </c:pt>
                <c:pt idx="164">
                  <c:v>42144</c:v>
                </c:pt>
                <c:pt idx="165">
                  <c:v>42144</c:v>
                </c:pt>
                <c:pt idx="166">
                  <c:v>42144</c:v>
                </c:pt>
                <c:pt idx="167">
                  <c:v>42144</c:v>
                </c:pt>
                <c:pt idx="168">
                  <c:v>42144</c:v>
                </c:pt>
                <c:pt idx="169">
                  <c:v>42144</c:v>
                </c:pt>
                <c:pt idx="170">
                  <c:v>42144</c:v>
                </c:pt>
                <c:pt idx="171">
                  <c:v>42144</c:v>
                </c:pt>
                <c:pt idx="172">
                  <c:v>42144</c:v>
                </c:pt>
                <c:pt idx="173">
                  <c:v>42144</c:v>
                </c:pt>
                <c:pt idx="174">
                  <c:v>42144</c:v>
                </c:pt>
                <c:pt idx="175">
                  <c:v>42144</c:v>
                </c:pt>
                <c:pt idx="176">
                  <c:v>42144</c:v>
                </c:pt>
                <c:pt idx="177">
                  <c:v>42144</c:v>
                </c:pt>
                <c:pt idx="178">
                  <c:v>42144</c:v>
                </c:pt>
                <c:pt idx="179">
                  <c:v>42144</c:v>
                </c:pt>
                <c:pt idx="180">
                  <c:v>42144</c:v>
                </c:pt>
                <c:pt idx="181">
                  <c:v>42144</c:v>
                </c:pt>
                <c:pt idx="182">
                  <c:v>42144</c:v>
                </c:pt>
                <c:pt idx="183">
                  <c:v>42144</c:v>
                </c:pt>
                <c:pt idx="184">
                  <c:v>42144</c:v>
                </c:pt>
                <c:pt idx="185">
                  <c:v>42144</c:v>
                </c:pt>
                <c:pt idx="186">
                  <c:v>42144</c:v>
                </c:pt>
                <c:pt idx="187">
                  <c:v>42144</c:v>
                </c:pt>
                <c:pt idx="188">
                  <c:v>42144</c:v>
                </c:pt>
                <c:pt idx="189">
                  <c:v>42144</c:v>
                </c:pt>
                <c:pt idx="190">
                  <c:v>42144</c:v>
                </c:pt>
                <c:pt idx="191">
                  <c:v>42144</c:v>
                </c:pt>
                <c:pt idx="192">
                  <c:v>42144</c:v>
                </c:pt>
                <c:pt idx="193">
                  <c:v>42144</c:v>
                </c:pt>
                <c:pt idx="194">
                  <c:v>42144</c:v>
                </c:pt>
                <c:pt idx="195">
                  <c:v>42144</c:v>
                </c:pt>
                <c:pt idx="196">
                  <c:v>42144</c:v>
                </c:pt>
                <c:pt idx="197">
                  <c:v>42144</c:v>
                </c:pt>
                <c:pt idx="198">
                  <c:v>42144</c:v>
                </c:pt>
                <c:pt idx="199">
                  <c:v>42144</c:v>
                </c:pt>
                <c:pt idx="200">
                  <c:v>42144</c:v>
                </c:pt>
                <c:pt idx="201">
                  <c:v>42144</c:v>
                </c:pt>
                <c:pt idx="202">
                  <c:v>42144</c:v>
                </c:pt>
                <c:pt idx="203">
                  <c:v>42144</c:v>
                </c:pt>
                <c:pt idx="204">
                  <c:v>42144</c:v>
                </c:pt>
                <c:pt idx="205">
                  <c:v>42144</c:v>
                </c:pt>
                <c:pt idx="206">
                  <c:v>42144</c:v>
                </c:pt>
                <c:pt idx="207">
                  <c:v>42144</c:v>
                </c:pt>
                <c:pt idx="208">
                  <c:v>42144</c:v>
                </c:pt>
                <c:pt idx="209">
                  <c:v>42144</c:v>
                </c:pt>
                <c:pt idx="210">
                  <c:v>42144</c:v>
                </c:pt>
                <c:pt idx="211">
                  <c:v>42144</c:v>
                </c:pt>
                <c:pt idx="212">
                  <c:v>42144</c:v>
                </c:pt>
                <c:pt idx="213">
                  <c:v>42144</c:v>
                </c:pt>
                <c:pt idx="214">
                  <c:v>42144</c:v>
                </c:pt>
                <c:pt idx="215">
                  <c:v>42144</c:v>
                </c:pt>
                <c:pt idx="216">
                  <c:v>42144</c:v>
                </c:pt>
                <c:pt idx="217">
                  <c:v>42144</c:v>
                </c:pt>
                <c:pt idx="218">
                  <c:v>42144</c:v>
                </c:pt>
                <c:pt idx="219">
                  <c:v>42144</c:v>
                </c:pt>
                <c:pt idx="220">
                  <c:v>42144</c:v>
                </c:pt>
                <c:pt idx="221">
                  <c:v>42144</c:v>
                </c:pt>
                <c:pt idx="222">
                  <c:v>42144</c:v>
                </c:pt>
                <c:pt idx="223">
                  <c:v>42144</c:v>
                </c:pt>
                <c:pt idx="224">
                  <c:v>42144</c:v>
                </c:pt>
                <c:pt idx="225">
                  <c:v>42144</c:v>
                </c:pt>
                <c:pt idx="226">
                  <c:v>42144</c:v>
                </c:pt>
                <c:pt idx="227">
                  <c:v>42144</c:v>
                </c:pt>
                <c:pt idx="228">
                  <c:v>42144</c:v>
                </c:pt>
                <c:pt idx="229">
                  <c:v>42144</c:v>
                </c:pt>
                <c:pt idx="230">
                  <c:v>42144</c:v>
                </c:pt>
                <c:pt idx="231">
                  <c:v>42144</c:v>
                </c:pt>
                <c:pt idx="232">
                  <c:v>42144</c:v>
                </c:pt>
                <c:pt idx="233">
                  <c:v>42144</c:v>
                </c:pt>
                <c:pt idx="234">
                  <c:v>42144</c:v>
                </c:pt>
                <c:pt idx="235">
                  <c:v>42144</c:v>
                </c:pt>
                <c:pt idx="236">
                  <c:v>42144</c:v>
                </c:pt>
                <c:pt idx="237">
                  <c:v>42144</c:v>
                </c:pt>
                <c:pt idx="238">
                  <c:v>42144</c:v>
                </c:pt>
                <c:pt idx="239">
                  <c:v>42144</c:v>
                </c:pt>
                <c:pt idx="240">
                  <c:v>42144</c:v>
                </c:pt>
                <c:pt idx="241">
                  <c:v>42144</c:v>
                </c:pt>
                <c:pt idx="242">
                  <c:v>42144</c:v>
                </c:pt>
                <c:pt idx="243">
                  <c:v>42144</c:v>
                </c:pt>
                <c:pt idx="244">
                  <c:v>42144</c:v>
                </c:pt>
                <c:pt idx="245">
                  <c:v>42144</c:v>
                </c:pt>
                <c:pt idx="246">
                  <c:v>42144</c:v>
                </c:pt>
                <c:pt idx="247">
                  <c:v>42144</c:v>
                </c:pt>
                <c:pt idx="248">
                  <c:v>42144</c:v>
                </c:pt>
                <c:pt idx="249">
                  <c:v>42144</c:v>
                </c:pt>
                <c:pt idx="250">
                  <c:v>42144</c:v>
                </c:pt>
                <c:pt idx="251">
                  <c:v>42144</c:v>
                </c:pt>
                <c:pt idx="252">
                  <c:v>42144</c:v>
                </c:pt>
                <c:pt idx="253">
                  <c:v>42144</c:v>
                </c:pt>
                <c:pt idx="254">
                  <c:v>42144</c:v>
                </c:pt>
                <c:pt idx="255">
                  <c:v>42144</c:v>
                </c:pt>
                <c:pt idx="256">
                  <c:v>42144</c:v>
                </c:pt>
                <c:pt idx="257">
                  <c:v>42144</c:v>
                </c:pt>
                <c:pt idx="258">
                  <c:v>42144</c:v>
                </c:pt>
                <c:pt idx="259">
                  <c:v>42144</c:v>
                </c:pt>
                <c:pt idx="260">
                  <c:v>42144</c:v>
                </c:pt>
                <c:pt idx="261">
                  <c:v>42144</c:v>
                </c:pt>
                <c:pt idx="262">
                  <c:v>42144</c:v>
                </c:pt>
                <c:pt idx="263">
                  <c:v>42144</c:v>
                </c:pt>
                <c:pt idx="264">
                  <c:v>42144</c:v>
                </c:pt>
                <c:pt idx="265">
                  <c:v>42144</c:v>
                </c:pt>
                <c:pt idx="266">
                  <c:v>42144</c:v>
                </c:pt>
                <c:pt idx="267">
                  <c:v>42144</c:v>
                </c:pt>
                <c:pt idx="268">
                  <c:v>42144</c:v>
                </c:pt>
                <c:pt idx="269">
                  <c:v>42144</c:v>
                </c:pt>
                <c:pt idx="270">
                  <c:v>42144</c:v>
                </c:pt>
                <c:pt idx="271">
                  <c:v>42144</c:v>
                </c:pt>
                <c:pt idx="272">
                  <c:v>42144</c:v>
                </c:pt>
                <c:pt idx="273">
                  <c:v>42144</c:v>
                </c:pt>
                <c:pt idx="274">
                  <c:v>42144</c:v>
                </c:pt>
                <c:pt idx="275">
                  <c:v>42144</c:v>
                </c:pt>
                <c:pt idx="276">
                  <c:v>42144</c:v>
                </c:pt>
                <c:pt idx="277">
                  <c:v>42144</c:v>
                </c:pt>
                <c:pt idx="278">
                  <c:v>42144</c:v>
                </c:pt>
                <c:pt idx="279">
                  <c:v>42144</c:v>
                </c:pt>
                <c:pt idx="280">
                  <c:v>42144</c:v>
                </c:pt>
                <c:pt idx="281">
                  <c:v>42144</c:v>
                </c:pt>
                <c:pt idx="282">
                  <c:v>42144</c:v>
                </c:pt>
                <c:pt idx="283">
                  <c:v>42144</c:v>
                </c:pt>
                <c:pt idx="284">
                  <c:v>42144</c:v>
                </c:pt>
                <c:pt idx="285">
                  <c:v>42144</c:v>
                </c:pt>
                <c:pt idx="286">
                  <c:v>42144</c:v>
                </c:pt>
                <c:pt idx="287">
                  <c:v>42144</c:v>
                </c:pt>
                <c:pt idx="288">
                  <c:v>42144</c:v>
                </c:pt>
                <c:pt idx="289">
                  <c:v>42144</c:v>
                </c:pt>
                <c:pt idx="290">
                  <c:v>42144</c:v>
                </c:pt>
                <c:pt idx="291">
                  <c:v>42144</c:v>
                </c:pt>
                <c:pt idx="292">
                  <c:v>42144</c:v>
                </c:pt>
                <c:pt idx="293">
                  <c:v>42144</c:v>
                </c:pt>
                <c:pt idx="294">
                  <c:v>42144</c:v>
                </c:pt>
                <c:pt idx="295">
                  <c:v>42144</c:v>
                </c:pt>
                <c:pt idx="296">
                  <c:v>42144</c:v>
                </c:pt>
                <c:pt idx="297">
                  <c:v>42144</c:v>
                </c:pt>
                <c:pt idx="298">
                  <c:v>42144</c:v>
                </c:pt>
                <c:pt idx="299">
                  <c:v>42144</c:v>
                </c:pt>
                <c:pt idx="300">
                  <c:v>42144</c:v>
                </c:pt>
                <c:pt idx="301">
                  <c:v>42144</c:v>
                </c:pt>
                <c:pt idx="302">
                  <c:v>42144</c:v>
                </c:pt>
                <c:pt idx="303">
                  <c:v>42144</c:v>
                </c:pt>
                <c:pt idx="304">
                  <c:v>42144</c:v>
                </c:pt>
                <c:pt idx="305">
                  <c:v>42144</c:v>
                </c:pt>
                <c:pt idx="306">
                  <c:v>42144</c:v>
                </c:pt>
                <c:pt idx="307">
                  <c:v>42144</c:v>
                </c:pt>
                <c:pt idx="308">
                  <c:v>42144</c:v>
                </c:pt>
                <c:pt idx="309">
                  <c:v>42144</c:v>
                </c:pt>
                <c:pt idx="310">
                  <c:v>42144</c:v>
                </c:pt>
                <c:pt idx="311">
                  <c:v>42144</c:v>
                </c:pt>
                <c:pt idx="312">
                  <c:v>42144</c:v>
                </c:pt>
                <c:pt idx="313">
                  <c:v>42144</c:v>
                </c:pt>
                <c:pt idx="314">
                  <c:v>42144</c:v>
                </c:pt>
                <c:pt idx="315">
                  <c:v>42144</c:v>
                </c:pt>
                <c:pt idx="316">
                  <c:v>42144</c:v>
                </c:pt>
                <c:pt idx="317">
                  <c:v>42144</c:v>
                </c:pt>
                <c:pt idx="318">
                  <c:v>42144</c:v>
                </c:pt>
                <c:pt idx="319">
                  <c:v>42144</c:v>
                </c:pt>
                <c:pt idx="320">
                  <c:v>42144</c:v>
                </c:pt>
                <c:pt idx="321">
                  <c:v>42144</c:v>
                </c:pt>
                <c:pt idx="322">
                  <c:v>42144</c:v>
                </c:pt>
                <c:pt idx="323">
                  <c:v>42144</c:v>
                </c:pt>
                <c:pt idx="324">
                  <c:v>42144</c:v>
                </c:pt>
                <c:pt idx="325">
                  <c:v>42144</c:v>
                </c:pt>
                <c:pt idx="326">
                  <c:v>42144</c:v>
                </c:pt>
                <c:pt idx="327">
                  <c:v>42144</c:v>
                </c:pt>
                <c:pt idx="328">
                  <c:v>42144</c:v>
                </c:pt>
                <c:pt idx="329">
                  <c:v>42144</c:v>
                </c:pt>
                <c:pt idx="330">
                  <c:v>42144</c:v>
                </c:pt>
                <c:pt idx="331">
                  <c:v>42144</c:v>
                </c:pt>
                <c:pt idx="332">
                  <c:v>42144</c:v>
                </c:pt>
                <c:pt idx="333">
                  <c:v>42144</c:v>
                </c:pt>
                <c:pt idx="334">
                  <c:v>42144</c:v>
                </c:pt>
                <c:pt idx="335">
                  <c:v>42144</c:v>
                </c:pt>
                <c:pt idx="336">
                  <c:v>42144</c:v>
                </c:pt>
                <c:pt idx="337">
                  <c:v>42144</c:v>
                </c:pt>
                <c:pt idx="338">
                  <c:v>42144</c:v>
                </c:pt>
                <c:pt idx="339">
                  <c:v>42144</c:v>
                </c:pt>
                <c:pt idx="340">
                  <c:v>42144</c:v>
                </c:pt>
                <c:pt idx="341">
                  <c:v>42144</c:v>
                </c:pt>
                <c:pt idx="342">
                  <c:v>42144</c:v>
                </c:pt>
                <c:pt idx="343">
                  <c:v>42144</c:v>
                </c:pt>
                <c:pt idx="344">
                  <c:v>42144</c:v>
                </c:pt>
                <c:pt idx="345">
                  <c:v>42144</c:v>
                </c:pt>
                <c:pt idx="346">
                  <c:v>42144</c:v>
                </c:pt>
                <c:pt idx="347">
                  <c:v>42144</c:v>
                </c:pt>
                <c:pt idx="348">
                  <c:v>42144</c:v>
                </c:pt>
                <c:pt idx="349">
                  <c:v>42144</c:v>
                </c:pt>
                <c:pt idx="350">
                  <c:v>42144</c:v>
                </c:pt>
                <c:pt idx="351">
                  <c:v>42144</c:v>
                </c:pt>
                <c:pt idx="352">
                  <c:v>42144</c:v>
                </c:pt>
                <c:pt idx="353">
                  <c:v>42144</c:v>
                </c:pt>
                <c:pt idx="354">
                  <c:v>42144</c:v>
                </c:pt>
                <c:pt idx="355">
                  <c:v>42144</c:v>
                </c:pt>
                <c:pt idx="356">
                  <c:v>42144</c:v>
                </c:pt>
                <c:pt idx="357">
                  <c:v>42144</c:v>
                </c:pt>
                <c:pt idx="358">
                  <c:v>42144</c:v>
                </c:pt>
                <c:pt idx="359">
                  <c:v>42144</c:v>
                </c:pt>
                <c:pt idx="360">
                  <c:v>42144</c:v>
                </c:pt>
                <c:pt idx="361">
                  <c:v>42144</c:v>
                </c:pt>
                <c:pt idx="362">
                  <c:v>42144</c:v>
                </c:pt>
                <c:pt idx="363">
                  <c:v>42144</c:v>
                </c:pt>
                <c:pt idx="364">
                  <c:v>42144</c:v>
                </c:pt>
              </c:numCache>
            </c:numRef>
          </c:cat>
          <c:val>
            <c:numRef>
              <c:f>Bilan_hydrique!$C$2:$C$361</c:f>
              <c:numCache>
                <c:formatCode>General</c:formatCode>
                <c:ptCount val="360"/>
                <c:pt idx="0">
                  <c:v>68.40100000000001</c:v>
                </c:pt>
                <c:pt idx="1">
                  <c:v>68.40100000000001</c:v>
                </c:pt>
                <c:pt idx="2">
                  <c:v>68.40100000000001</c:v>
                </c:pt>
                <c:pt idx="3">
                  <c:v>68.40100000000001</c:v>
                </c:pt>
                <c:pt idx="4">
                  <c:v>68.40100000000001</c:v>
                </c:pt>
                <c:pt idx="5">
                  <c:v>68.40100000000001</c:v>
                </c:pt>
                <c:pt idx="6">
                  <c:v>68.40100000000001</c:v>
                </c:pt>
                <c:pt idx="7">
                  <c:v>68.40100000000001</c:v>
                </c:pt>
                <c:pt idx="8">
                  <c:v>68.40100000000001</c:v>
                </c:pt>
                <c:pt idx="9">
                  <c:v>68.40100000000001</c:v>
                </c:pt>
                <c:pt idx="10">
                  <c:v>68.40100000000001</c:v>
                </c:pt>
                <c:pt idx="11">
                  <c:v>68.40100000000001</c:v>
                </c:pt>
                <c:pt idx="12">
                  <c:v>68.40100000000001</c:v>
                </c:pt>
                <c:pt idx="13">
                  <c:v>68.40100000000001</c:v>
                </c:pt>
                <c:pt idx="14">
                  <c:v>68.40100000000001</c:v>
                </c:pt>
                <c:pt idx="15">
                  <c:v>68.40100000000001</c:v>
                </c:pt>
                <c:pt idx="16">
                  <c:v>68.40100000000001</c:v>
                </c:pt>
                <c:pt idx="17">
                  <c:v>68.40100000000001</c:v>
                </c:pt>
                <c:pt idx="18">
                  <c:v>68.40100000000001</c:v>
                </c:pt>
                <c:pt idx="19">
                  <c:v>68.40100000000001</c:v>
                </c:pt>
                <c:pt idx="20">
                  <c:v>68.40100000000001</c:v>
                </c:pt>
                <c:pt idx="21">
                  <c:v>68.40100000000001</c:v>
                </c:pt>
                <c:pt idx="22">
                  <c:v>68.40100000000001</c:v>
                </c:pt>
                <c:pt idx="23">
                  <c:v>68.40100000000001</c:v>
                </c:pt>
                <c:pt idx="24">
                  <c:v>68.40100000000001</c:v>
                </c:pt>
                <c:pt idx="25">
                  <c:v>68.40100000000001</c:v>
                </c:pt>
                <c:pt idx="26">
                  <c:v>68.40100000000001</c:v>
                </c:pt>
                <c:pt idx="27">
                  <c:v>68.40100000000001</c:v>
                </c:pt>
                <c:pt idx="28">
                  <c:v>68.40100000000001</c:v>
                </c:pt>
                <c:pt idx="29">
                  <c:v>68.40100000000001</c:v>
                </c:pt>
                <c:pt idx="30">
                  <c:v>68.40100000000001</c:v>
                </c:pt>
                <c:pt idx="31">
                  <c:v>68.40100000000001</c:v>
                </c:pt>
                <c:pt idx="32">
                  <c:v>68.40100000000001</c:v>
                </c:pt>
                <c:pt idx="33">
                  <c:v>68.40100000000001</c:v>
                </c:pt>
                <c:pt idx="34">
                  <c:v>68.40100000000001</c:v>
                </c:pt>
                <c:pt idx="35">
                  <c:v>68.40100000000001</c:v>
                </c:pt>
                <c:pt idx="36">
                  <c:v>68.40100000000001</c:v>
                </c:pt>
                <c:pt idx="37">
                  <c:v>68.40100000000001</c:v>
                </c:pt>
                <c:pt idx="38">
                  <c:v>68.40100000000001</c:v>
                </c:pt>
                <c:pt idx="39">
                  <c:v>68.40100000000001</c:v>
                </c:pt>
                <c:pt idx="40">
                  <c:v>68.40100000000001</c:v>
                </c:pt>
                <c:pt idx="41">
                  <c:v>68.40100000000001</c:v>
                </c:pt>
                <c:pt idx="42">
                  <c:v>68.40100000000001</c:v>
                </c:pt>
                <c:pt idx="43">
                  <c:v>68.40100000000001</c:v>
                </c:pt>
                <c:pt idx="44">
                  <c:v>68.40100000000001</c:v>
                </c:pt>
                <c:pt idx="45">
                  <c:v>68.40100000000001</c:v>
                </c:pt>
                <c:pt idx="46">
                  <c:v>68.40100000000001</c:v>
                </c:pt>
                <c:pt idx="47">
                  <c:v>68.40100000000001</c:v>
                </c:pt>
                <c:pt idx="48">
                  <c:v>68.40100000000001</c:v>
                </c:pt>
                <c:pt idx="49">
                  <c:v>68.40100000000001</c:v>
                </c:pt>
                <c:pt idx="50">
                  <c:v>68.40100000000001</c:v>
                </c:pt>
                <c:pt idx="51">
                  <c:v>68.40100000000001</c:v>
                </c:pt>
                <c:pt idx="52">
                  <c:v>68.40100000000001</c:v>
                </c:pt>
                <c:pt idx="53">
                  <c:v>68.40100000000001</c:v>
                </c:pt>
                <c:pt idx="54">
                  <c:v>68.40100000000001</c:v>
                </c:pt>
                <c:pt idx="55">
                  <c:v>68.40100000000001</c:v>
                </c:pt>
                <c:pt idx="56">
                  <c:v>68.40100000000001</c:v>
                </c:pt>
                <c:pt idx="57">
                  <c:v>68.40100000000001</c:v>
                </c:pt>
                <c:pt idx="58">
                  <c:v>68.40100000000001</c:v>
                </c:pt>
                <c:pt idx="59">
                  <c:v>68.40100000000001</c:v>
                </c:pt>
                <c:pt idx="60">
                  <c:v>68.40100000000001</c:v>
                </c:pt>
                <c:pt idx="61">
                  <c:v>68.40100000000001</c:v>
                </c:pt>
                <c:pt idx="62">
                  <c:v>68.40100000000001</c:v>
                </c:pt>
                <c:pt idx="63">
                  <c:v>68.40100000000001</c:v>
                </c:pt>
                <c:pt idx="64">
                  <c:v>68.40100000000001</c:v>
                </c:pt>
                <c:pt idx="65">
                  <c:v>68.40100000000001</c:v>
                </c:pt>
                <c:pt idx="66">
                  <c:v>68.40100000000001</c:v>
                </c:pt>
                <c:pt idx="67">
                  <c:v>68.40100000000001</c:v>
                </c:pt>
                <c:pt idx="68">
                  <c:v>68.40100000000001</c:v>
                </c:pt>
                <c:pt idx="69">
                  <c:v>68.40100000000001</c:v>
                </c:pt>
                <c:pt idx="70">
                  <c:v>68.40100000000001</c:v>
                </c:pt>
                <c:pt idx="71">
                  <c:v>68.40100000000001</c:v>
                </c:pt>
                <c:pt idx="72">
                  <c:v>68.40100000000001</c:v>
                </c:pt>
                <c:pt idx="73">
                  <c:v>68.40100000000001</c:v>
                </c:pt>
                <c:pt idx="74">
                  <c:v>68.40100000000001</c:v>
                </c:pt>
                <c:pt idx="75">
                  <c:v>68.40100000000001</c:v>
                </c:pt>
                <c:pt idx="76">
                  <c:v>68.40100000000001</c:v>
                </c:pt>
                <c:pt idx="77">
                  <c:v>68.40100000000001</c:v>
                </c:pt>
                <c:pt idx="78">
                  <c:v>68.40100000000001</c:v>
                </c:pt>
                <c:pt idx="79">
                  <c:v>68.40100000000001</c:v>
                </c:pt>
                <c:pt idx="80">
                  <c:v>68.40100000000001</c:v>
                </c:pt>
                <c:pt idx="81">
                  <c:v>68.40100000000001</c:v>
                </c:pt>
                <c:pt idx="82">
                  <c:v>68.40100000000001</c:v>
                </c:pt>
                <c:pt idx="83">
                  <c:v>68.40100000000001</c:v>
                </c:pt>
                <c:pt idx="84">
                  <c:v>68.40100000000001</c:v>
                </c:pt>
                <c:pt idx="85">
                  <c:v>68.40100000000001</c:v>
                </c:pt>
                <c:pt idx="86">
                  <c:v>68.40100000000001</c:v>
                </c:pt>
                <c:pt idx="87">
                  <c:v>68.40100000000001</c:v>
                </c:pt>
                <c:pt idx="88">
                  <c:v>68.40100000000001</c:v>
                </c:pt>
                <c:pt idx="89">
                  <c:v>68.40100000000001</c:v>
                </c:pt>
                <c:pt idx="90">
                  <c:v>68.40100000000001</c:v>
                </c:pt>
                <c:pt idx="91">
                  <c:v>68.40100000000001</c:v>
                </c:pt>
                <c:pt idx="92">
                  <c:v>68.40100000000001</c:v>
                </c:pt>
                <c:pt idx="93">
                  <c:v>68.40100000000001</c:v>
                </c:pt>
                <c:pt idx="94">
                  <c:v>68.40100000000001</c:v>
                </c:pt>
                <c:pt idx="95">
                  <c:v>68.40100000000001</c:v>
                </c:pt>
                <c:pt idx="96">
                  <c:v>68.40100000000001</c:v>
                </c:pt>
                <c:pt idx="97">
                  <c:v>68.40100000000001</c:v>
                </c:pt>
                <c:pt idx="98">
                  <c:v>68.40100000000001</c:v>
                </c:pt>
                <c:pt idx="99">
                  <c:v>68.40100000000001</c:v>
                </c:pt>
                <c:pt idx="100">
                  <c:v>68.40100000000001</c:v>
                </c:pt>
                <c:pt idx="101">
                  <c:v>68.40100000000001</c:v>
                </c:pt>
                <c:pt idx="102">
                  <c:v>68.40100000000001</c:v>
                </c:pt>
                <c:pt idx="103">
                  <c:v>68.40100000000001</c:v>
                </c:pt>
                <c:pt idx="104">
                  <c:v>68.40100000000001</c:v>
                </c:pt>
                <c:pt idx="105">
                  <c:v>68.40100000000001</c:v>
                </c:pt>
                <c:pt idx="106">
                  <c:v>68.40100000000001</c:v>
                </c:pt>
                <c:pt idx="107">
                  <c:v>68.40100000000001</c:v>
                </c:pt>
                <c:pt idx="108">
                  <c:v>68.40100000000001</c:v>
                </c:pt>
                <c:pt idx="109">
                  <c:v>68.40100000000001</c:v>
                </c:pt>
                <c:pt idx="110">
                  <c:v>68.40100000000001</c:v>
                </c:pt>
                <c:pt idx="111">
                  <c:v>68.40100000000001</c:v>
                </c:pt>
                <c:pt idx="112">
                  <c:v>68.40100000000001</c:v>
                </c:pt>
                <c:pt idx="113">
                  <c:v>68.40100000000001</c:v>
                </c:pt>
                <c:pt idx="114">
                  <c:v>68.40100000000001</c:v>
                </c:pt>
                <c:pt idx="115">
                  <c:v>68.40100000000001</c:v>
                </c:pt>
                <c:pt idx="116">
                  <c:v>68.40100000000001</c:v>
                </c:pt>
                <c:pt idx="117">
                  <c:v>68.40100000000001</c:v>
                </c:pt>
                <c:pt idx="118">
                  <c:v>68.40100000000001</c:v>
                </c:pt>
                <c:pt idx="119">
                  <c:v>68.40100000000001</c:v>
                </c:pt>
                <c:pt idx="120">
                  <c:v>68.40100000000001</c:v>
                </c:pt>
                <c:pt idx="121">
                  <c:v>68.40100000000001</c:v>
                </c:pt>
                <c:pt idx="122">
                  <c:v>68.40100000000001</c:v>
                </c:pt>
                <c:pt idx="123">
                  <c:v>68.40100000000001</c:v>
                </c:pt>
                <c:pt idx="124">
                  <c:v>68.40100000000001</c:v>
                </c:pt>
                <c:pt idx="125">
                  <c:v>68.40100000000001</c:v>
                </c:pt>
                <c:pt idx="126">
                  <c:v>68.40100000000001</c:v>
                </c:pt>
                <c:pt idx="127">
                  <c:v>68.40100000000001</c:v>
                </c:pt>
                <c:pt idx="128">
                  <c:v>68.40100000000001</c:v>
                </c:pt>
                <c:pt idx="129">
                  <c:v>68.40100000000001</c:v>
                </c:pt>
                <c:pt idx="130">
                  <c:v>68.40100000000001</c:v>
                </c:pt>
                <c:pt idx="131">
                  <c:v>68.40100000000001</c:v>
                </c:pt>
                <c:pt idx="132">
                  <c:v>68.40100000000001</c:v>
                </c:pt>
                <c:pt idx="133">
                  <c:v>68.40100000000001</c:v>
                </c:pt>
                <c:pt idx="134">
                  <c:v>68.40100000000001</c:v>
                </c:pt>
                <c:pt idx="135">
                  <c:v>68.40100000000001</c:v>
                </c:pt>
                <c:pt idx="136">
                  <c:v>68.40100000000001</c:v>
                </c:pt>
                <c:pt idx="137">
                  <c:v>68.40100000000001</c:v>
                </c:pt>
                <c:pt idx="138">
                  <c:v>68.40100000000001</c:v>
                </c:pt>
                <c:pt idx="139">
                  <c:v>68.40100000000001</c:v>
                </c:pt>
                <c:pt idx="140">
                  <c:v>68.40100000000001</c:v>
                </c:pt>
                <c:pt idx="141">
                  <c:v>68.40100000000001</c:v>
                </c:pt>
                <c:pt idx="142">
                  <c:v>68.40100000000001</c:v>
                </c:pt>
                <c:pt idx="143">
                  <c:v>68.40100000000001</c:v>
                </c:pt>
                <c:pt idx="144">
                  <c:v>68.40100000000001</c:v>
                </c:pt>
                <c:pt idx="145">
                  <c:v>68.40100000000001</c:v>
                </c:pt>
                <c:pt idx="146">
                  <c:v>68.40100000000001</c:v>
                </c:pt>
                <c:pt idx="147">
                  <c:v>68.40100000000001</c:v>
                </c:pt>
                <c:pt idx="148">
                  <c:v>68.40100000000001</c:v>
                </c:pt>
                <c:pt idx="149">
                  <c:v>68.40100000000001</c:v>
                </c:pt>
                <c:pt idx="150">
                  <c:v>68.40100000000001</c:v>
                </c:pt>
                <c:pt idx="151">
                  <c:v>68.40100000000001</c:v>
                </c:pt>
                <c:pt idx="152">
                  <c:v>68.40100000000001</c:v>
                </c:pt>
                <c:pt idx="153">
                  <c:v>68.40100000000001</c:v>
                </c:pt>
                <c:pt idx="154">
                  <c:v>68.40100000000001</c:v>
                </c:pt>
                <c:pt idx="155">
                  <c:v>68.40100000000001</c:v>
                </c:pt>
                <c:pt idx="156">
                  <c:v>68.40100000000001</c:v>
                </c:pt>
                <c:pt idx="157">
                  <c:v>68.40100000000001</c:v>
                </c:pt>
                <c:pt idx="158">
                  <c:v>68.40100000000001</c:v>
                </c:pt>
                <c:pt idx="159">
                  <c:v>68.40100000000001</c:v>
                </c:pt>
                <c:pt idx="160">
                  <c:v>68.40100000000001</c:v>
                </c:pt>
                <c:pt idx="161">
                  <c:v>68.40100000000001</c:v>
                </c:pt>
                <c:pt idx="162">
                  <c:v>68.40100000000001</c:v>
                </c:pt>
                <c:pt idx="163">
                  <c:v>68.40100000000001</c:v>
                </c:pt>
                <c:pt idx="164">
                  <c:v>68.40100000000001</c:v>
                </c:pt>
                <c:pt idx="165">
                  <c:v>68.40100000000001</c:v>
                </c:pt>
                <c:pt idx="166">
                  <c:v>68.40100000000001</c:v>
                </c:pt>
                <c:pt idx="167">
                  <c:v>68.40100000000001</c:v>
                </c:pt>
                <c:pt idx="168">
                  <c:v>68.40100000000001</c:v>
                </c:pt>
                <c:pt idx="169">
                  <c:v>68.40100000000001</c:v>
                </c:pt>
                <c:pt idx="170">
                  <c:v>68.40100000000001</c:v>
                </c:pt>
                <c:pt idx="171">
                  <c:v>68.40100000000001</c:v>
                </c:pt>
                <c:pt idx="172">
                  <c:v>68.40100000000001</c:v>
                </c:pt>
                <c:pt idx="173">
                  <c:v>68.40100000000001</c:v>
                </c:pt>
                <c:pt idx="174">
                  <c:v>68.40100000000001</c:v>
                </c:pt>
                <c:pt idx="175">
                  <c:v>68.40100000000001</c:v>
                </c:pt>
                <c:pt idx="176">
                  <c:v>68.40100000000001</c:v>
                </c:pt>
                <c:pt idx="177">
                  <c:v>68.40100000000001</c:v>
                </c:pt>
                <c:pt idx="178">
                  <c:v>68.40100000000001</c:v>
                </c:pt>
                <c:pt idx="179">
                  <c:v>68.40100000000001</c:v>
                </c:pt>
                <c:pt idx="180">
                  <c:v>68.40100000000001</c:v>
                </c:pt>
                <c:pt idx="181">
                  <c:v>68.40100000000001</c:v>
                </c:pt>
                <c:pt idx="182">
                  <c:v>68.40100000000001</c:v>
                </c:pt>
                <c:pt idx="183">
                  <c:v>68.40100000000001</c:v>
                </c:pt>
                <c:pt idx="184">
                  <c:v>68.40100000000001</c:v>
                </c:pt>
                <c:pt idx="185">
                  <c:v>68.40100000000001</c:v>
                </c:pt>
                <c:pt idx="186">
                  <c:v>68.40100000000001</c:v>
                </c:pt>
                <c:pt idx="187">
                  <c:v>68.40100000000001</c:v>
                </c:pt>
                <c:pt idx="188">
                  <c:v>68.40100000000001</c:v>
                </c:pt>
                <c:pt idx="189">
                  <c:v>68.40100000000001</c:v>
                </c:pt>
                <c:pt idx="190">
                  <c:v>68.40100000000001</c:v>
                </c:pt>
                <c:pt idx="191">
                  <c:v>68.40100000000001</c:v>
                </c:pt>
                <c:pt idx="192">
                  <c:v>68.40100000000001</c:v>
                </c:pt>
                <c:pt idx="193">
                  <c:v>68.40100000000001</c:v>
                </c:pt>
                <c:pt idx="194">
                  <c:v>68.40100000000001</c:v>
                </c:pt>
                <c:pt idx="195">
                  <c:v>68.40100000000001</c:v>
                </c:pt>
                <c:pt idx="196">
                  <c:v>68.40100000000001</c:v>
                </c:pt>
                <c:pt idx="197">
                  <c:v>68.40100000000001</c:v>
                </c:pt>
                <c:pt idx="198">
                  <c:v>68.40100000000001</c:v>
                </c:pt>
                <c:pt idx="199">
                  <c:v>68.40100000000001</c:v>
                </c:pt>
                <c:pt idx="200">
                  <c:v>68.40100000000001</c:v>
                </c:pt>
                <c:pt idx="201">
                  <c:v>68.40100000000001</c:v>
                </c:pt>
                <c:pt idx="202">
                  <c:v>68.40100000000001</c:v>
                </c:pt>
                <c:pt idx="203">
                  <c:v>68.40100000000001</c:v>
                </c:pt>
                <c:pt idx="204">
                  <c:v>68.40100000000001</c:v>
                </c:pt>
                <c:pt idx="205">
                  <c:v>68.40100000000001</c:v>
                </c:pt>
                <c:pt idx="206">
                  <c:v>68.40100000000001</c:v>
                </c:pt>
                <c:pt idx="207">
                  <c:v>68.40100000000001</c:v>
                </c:pt>
                <c:pt idx="208">
                  <c:v>68.40100000000001</c:v>
                </c:pt>
                <c:pt idx="209">
                  <c:v>68.40100000000001</c:v>
                </c:pt>
                <c:pt idx="210">
                  <c:v>68.40100000000001</c:v>
                </c:pt>
                <c:pt idx="211">
                  <c:v>68.40100000000001</c:v>
                </c:pt>
                <c:pt idx="212">
                  <c:v>68.40100000000001</c:v>
                </c:pt>
                <c:pt idx="213">
                  <c:v>68.40100000000001</c:v>
                </c:pt>
                <c:pt idx="214">
                  <c:v>68.40100000000001</c:v>
                </c:pt>
                <c:pt idx="215">
                  <c:v>68.40100000000001</c:v>
                </c:pt>
                <c:pt idx="216">
                  <c:v>68.40100000000001</c:v>
                </c:pt>
                <c:pt idx="217">
                  <c:v>68.40100000000001</c:v>
                </c:pt>
                <c:pt idx="218">
                  <c:v>68.40100000000001</c:v>
                </c:pt>
                <c:pt idx="219">
                  <c:v>68.40100000000001</c:v>
                </c:pt>
                <c:pt idx="220">
                  <c:v>68.40100000000001</c:v>
                </c:pt>
                <c:pt idx="221">
                  <c:v>68.40100000000001</c:v>
                </c:pt>
                <c:pt idx="222">
                  <c:v>68.40100000000001</c:v>
                </c:pt>
                <c:pt idx="223">
                  <c:v>68.40100000000001</c:v>
                </c:pt>
                <c:pt idx="224">
                  <c:v>68.40100000000001</c:v>
                </c:pt>
                <c:pt idx="225">
                  <c:v>68.40100000000001</c:v>
                </c:pt>
                <c:pt idx="226">
                  <c:v>68.40100000000001</c:v>
                </c:pt>
                <c:pt idx="227">
                  <c:v>68.40100000000001</c:v>
                </c:pt>
                <c:pt idx="228">
                  <c:v>68.40100000000001</c:v>
                </c:pt>
                <c:pt idx="229">
                  <c:v>68.40100000000001</c:v>
                </c:pt>
                <c:pt idx="230">
                  <c:v>68.40100000000001</c:v>
                </c:pt>
                <c:pt idx="231">
                  <c:v>68.40100000000001</c:v>
                </c:pt>
                <c:pt idx="232">
                  <c:v>68.40100000000001</c:v>
                </c:pt>
                <c:pt idx="233">
                  <c:v>68.40100000000001</c:v>
                </c:pt>
                <c:pt idx="234">
                  <c:v>68.40100000000001</c:v>
                </c:pt>
                <c:pt idx="235">
                  <c:v>68.40100000000001</c:v>
                </c:pt>
                <c:pt idx="236">
                  <c:v>68.40100000000001</c:v>
                </c:pt>
                <c:pt idx="237">
                  <c:v>68.40100000000001</c:v>
                </c:pt>
                <c:pt idx="238">
                  <c:v>68.40100000000001</c:v>
                </c:pt>
                <c:pt idx="239">
                  <c:v>68.40100000000001</c:v>
                </c:pt>
                <c:pt idx="240">
                  <c:v>68.40100000000001</c:v>
                </c:pt>
                <c:pt idx="241">
                  <c:v>68.40100000000001</c:v>
                </c:pt>
                <c:pt idx="242">
                  <c:v>68.40100000000001</c:v>
                </c:pt>
                <c:pt idx="243">
                  <c:v>68.40100000000001</c:v>
                </c:pt>
                <c:pt idx="244">
                  <c:v>68.40100000000001</c:v>
                </c:pt>
                <c:pt idx="245">
                  <c:v>68.40100000000001</c:v>
                </c:pt>
                <c:pt idx="246">
                  <c:v>68.40100000000001</c:v>
                </c:pt>
                <c:pt idx="247">
                  <c:v>68.40100000000001</c:v>
                </c:pt>
                <c:pt idx="248">
                  <c:v>68.40100000000001</c:v>
                </c:pt>
                <c:pt idx="249">
                  <c:v>68.40100000000001</c:v>
                </c:pt>
                <c:pt idx="250">
                  <c:v>68.40100000000001</c:v>
                </c:pt>
                <c:pt idx="251">
                  <c:v>68.40100000000001</c:v>
                </c:pt>
                <c:pt idx="252">
                  <c:v>68.40100000000001</c:v>
                </c:pt>
                <c:pt idx="253">
                  <c:v>68.40100000000001</c:v>
                </c:pt>
                <c:pt idx="254">
                  <c:v>68.40100000000001</c:v>
                </c:pt>
                <c:pt idx="255">
                  <c:v>68.40100000000001</c:v>
                </c:pt>
                <c:pt idx="256">
                  <c:v>68.40100000000001</c:v>
                </c:pt>
                <c:pt idx="257">
                  <c:v>68.40100000000001</c:v>
                </c:pt>
                <c:pt idx="258">
                  <c:v>68.40100000000001</c:v>
                </c:pt>
                <c:pt idx="259">
                  <c:v>68.40100000000001</c:v>
                </c:pt>
                <c:pt idx="260">
                  <c:v>68.40100000000001</c:v>
                </c:pt>
                <c:pt idx="261">
                  <c:v>68.40100000000001</c:v>
                </c:pt>
                <c:pt idx="262">
                  <c:v>68.40100000000001</c:v>
                </c:pt>
                <c:pt idx="263">
                  <c:v>68.40100000000001</c:v>
                </c:pt>
                <c:pt idx="264">
                  <c:v>68.40100000000001</c:v>
                </c:pt>
                <c:pt idx="265">
                  <c:v>68.40100000000001</c:v>
                </c:pt>
                <c:pt idx="266">
                  <c:v>68.40100000000001</c:v>
                </c:pt>
                <c:pt idx="267">
                  <c:v>68.40100000000001</c:v>
                </c:pt>
                <c:pt idx="268">
                  <c:v>68.40100000000001</c:v>
                </c:pt>
                <c:pt idx="269">
                  <c:v>68.40100000000001</c:v>
                </c:pt>
                <c:pt idx="270">
                  <c:v>68.40100000000001</c:v>
                </c:pt>
                <c:pt idx="271">
                  <c:v>68.40100000000001</c:v>
                </c:pt>
                <c:pt idx="272">
                  <c:v>68.40100000000001</c:v>
                </c:pt>
                <c:pt idx="273">
                  <c:v>68.40100000000001</c:v>
                </c:pt>
                <c:pt idx="274">
                  <c:v>68.40100000000001</c:v>
                </c:pt>
                <c:pt idx="275">
                  <c:v>68.40100000000001</c:v>
                </c:pt>
                <c:pt idx="276">
                  <c:v>68.40100000000001</c:v>
                </c:pt>
                <c:pt idx="277">
                  <c:v>68.40100000000001</c:v>
                </c:pt>
                <c:pt idx="278">
                  <c:v>68.40100000000001</c:v>
                </c:pt>
                <c:pt idx="279">
                  <c:v>68.40100000000001</c:v>
                </c:pt>
                <c:pt idx="280">
                  <c:v>68.40100000000001</c:v>
                </c:pt>
                <c:pt idx="281">
                  <c:v>68.40100000000001</c:v>
                </c:pt>
                <c:pt idx="282">
                  <c:v>68.40100000000001</c:v>
                </c:pt>
                <c:pt idx="283">
                  <c:v>68.40100000000001</c:v>
                </c:pt>
                <c:pt idx="284">
                  <c:v>68.40100000000001</c:v>
                </c:pt>
                <c:pt idx="285">
                  <c:v>68.40100000000001</c:v>
                </c:pt>
                <c:pt idx="286">
                  <c:v>68.40100000000001</c:v>
                </c:pt>
                <c:pt idx="287">
                  <c:v>68.40100000000001</c:v>
                </c:pt>
                <c:pt idx="288">
                  <c:v>68.40100000000001</c:v>
                </c:pt>
                <c:pt idx="289">
                  <c:v>68.40100000000001</c:v>
                </c:pt>
                <c:pt idx="290">
                  <c:v>68.40100000000001</c:v>
                </c:pt>
                <c:pt idx="291">
                  <c:v>68.40100000000001</c:v>
                </c:pt>
                <c:pt idx="292">
                  <c:v>68.40100000000001</c:v>
                </c:pt>
                <c:pt idx="293">
                  <c:v>68.40100000000001</c:v>
                </c:pt>
                <c:pt idx="294">
                  <c:v>68.40100000000001</c:v>
                </c:pt>
                <c:pt idx="295">
                  <c:v>68.40100000000001</c:v>
                </c:pt>
                <c:pt idx="296">
                  <c:v>68.40100000000001</c:v>
                </c:pt>
                <c:pt idx="297">
                  <c:v>68.40100000000001</c:v>
                </c:pt>
                <c:pt idx="298">
                  <c:v>68.40100000000001</c:v>
                </c:pt>
                <c:pt idx="299">
                  <c:v>68.40100000000001</c:v>
                </c:pt>
                <c:pt idx="300">
                  <c:v>68.40100000000001</c:v>
                </c:pt>
                <c:pt idx="301">
                  <c:v>68.40100000000001</c:v>
                </c:pt>
                <c:pt idx="302">
                  <c:v>68.40100000000001</c:v>
                </c:pt>
                <c:pt idx="303">
                  <c:v>68.40100000000001</c:v>
                </c:pt>
                <c:pt idx="304">
                  <c:v>68.40100000000001</c:v>
                </c:pt>
                <c:pt idx="305">
                  <c:v>68.40100000000001</c:v>
                </c:pt>
                <c:pt idx="306">
                  <c:v>68.40100000000001</c:v>
                </c:pt>
                <c:pt idx="307">
                  <c:v>68.40100000000001</c:v>
                </c:pt>
                <c:pt idx="308">
                  <c:v>68.40100000000001</c:v>
                </c:pt>
                <c:pt idx="309">
                  <c:v>68.40100000000001</c:v>
                </c:pt>
                <c:pt idx="310">
                  <c:v>68.40100000000001</c:v>
                </c:pt>
                <c:pt idx="311">
                  <c:v>68.40100000000001</c:v>
                </c:pt>
                <c:pt idx="312">
                  <c:v>68.40100000000001</c:v>
                </c:pt>
                <c:pt idx="313">
                  <c:v>68.40100000000001</c:v>
                </c:pt>
                <c:pt idx="314">
                  <c:v>68.40100000000001</c:v>
                </c:pt>
                <c:pt idx="315">
                  <c:v>68.40100000000001</c:v>
                </c:pt>
                <c:pt idx="316">
                  <c:v>68.40100000000001</c:v>
                </c:pt>
                <c:pt idx="317">
                  <c:v>68.40100000000001</c:v>
                </c:pt>
                <c:pt idx="318">
                  <c:v>68.40100000000001</c:v>
                </c:pt>
                <c:pt idx="319">
                  <c:v>68.40100000000001</c:v>
                </c:pt>
                <c:pt idx="320">
                  <c:v>68.40100000000001</c:v>
                </c:pt>
                <c:pt idx="321">
                  <c:v>68.40100000000001</c:v>
                </c:pt>
                <c:pt idx="322">
                  <c:v>68.40100000000001</c:v>
                </c:pt>
                <c:pt idx="323">
                  <c:v>68.40100000000001</c:v>
                </c:pt>
                <c:pt idx="324">
                  <c:v>68.40100000000001</c:v>
                </c:pt>
                <c:pt idx="325">
                  <c:v>68.40100000000001</c:v>
                </c:pt>
                <c:pt idx="326">
                  <c:v>68.40100000000001</c:v>
                </c:pt>
                <c:pt idx="327">
                  <c:v>68.40100000000001</c:v>
                </c:pt>
                <c:pt idx="328">
                  <c:v>68.40100000000001</c:v>
                </c:pt>
                <c:pt idx="329">
                  <c:v>68.40100000000001</c:v>
                </c:pt>
                <c:pt idx="330">
                  <c:v>68.40100000000001</c:v>
                </c:pt>
                <c:pt idx="331">
                  <c:v>68.40100000000001</c:v>
                </c:pt>
                <c:pt idx="332">
                  <c:v>68.40100000000001</c:v>
                </c:pt>
                <c:pt idx="333">
                  <c:v>68.40100000000001</c:v>
                </c:pt>
                <c:pt idx="334">
                  <c:v>68.40100000000001</c:v>
                </c:pt>
                <c:pt idx="335">
                  <c:v>68.40100000000001</c:v>
                </c:pt>
                <c:pt idx="336">
                  <c:v>68.40100000000001</c:v>
                </c:pt>
                <c:pt idx="337">
                  <c:v>68.40100000000001</c:v>
                </c:pt>
                <c:pt idx="338">
                  <c:v>68.40100000000001</c:v>
                </c:pt>
                <c:pt idx="339">
                  <c:v>68.40100000000001</c:v>
                </c:pt>
                <c:pt idx="340">
                  <c:v>68.40100000000001</c:v>
                </c:pt>
                <c:pt idx="341">
                  <c:v>68.40100000000001</c:v>
                </c:pt>
                <c:pt idx="342">
                  <c:v>68.40100000000001</c:v>
                </c:pt>
                <c:pt idx="343">
                  <c:v>68.40100000000001</c:v>
                </c:pt>
                <c:pt idx="344">
                  <c:v>68.40100000000001</c:v>
                </c:pt>
                <c:pt idx="345">
                  <c:v>68.40100000000001</c:v>
                </c:pt>
                <c:pt idx="346">
                  <c:v>68.40100000000001</c:v>
                </c:pt>
                <c:pt idx="347">
                  <c:v>68.40100000000001</c:v>
                </c:pt>
                <c:pt idx="348">
                  <c:v>68.40100000000001</c:v>
                </c:pt>
                <c:pt idx="349">
                  <c:v>68.40100000000001</c:v>
                </c:pt>
                <c:pt idx="350">
                  <c:v>68.40100000000001</c:v>
                </c:pt>
                <c:pt idx="351">
                  <c:v>68.40100000000001</c:v>
                </c:pt>
                <c:pt idx="352">
                  <c:v>68.40100000000001</c:v>
                </c:pt>
                <c:pt idx="353">
                  <c:v>68.40100000000001</c:v>
                </c:pt>
                <c:pt idx="354">
                  <c:v>68.40100000000001</c:v>
                </c:pt>
                <c:pt idx="355">
                  <c:v>68.40100000000001</c:v>
                </c:pt>
                <c:pt idx="356">
                  <c:v>68.40100000000001</c:v>
                </c:pt>
                <c:pt idx="357">
                  <c:v>68.40100000000001</c:v>
                </c:pt>
                <c:pt idx="358">
                  <c:v>68.40100000000001</c:v>
                </c:pt>
                <c:pt idx="359">
                  <c:v>68.40100000000001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8D1-44BD-A847-552C5258FD53}"/>
            </c:ext>
          </c:extLst>
        </c:ser>
        <c:ser>
          <c:idx val="3"/>
          <c:order val="3"/>
          <c:tx>
            <c:v>temporary wilting point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Bilan_hydrique!$A$2:$A$366</c:f>
              <c:numCache>
                <c:formatCode>m/d/yyyy</c:formatCode>
                <c:ptCount val="365"/>
                <c:pt idx="0">
                  <c:v>42050</c:v>
                </c:pt>
                <c:pt idx="1">
                  <c:v>42051</c:v>
                </c:pt>
                <c:pt idx="2">
                  <c:v>42052</c:v>
                </c:pt>
                <c:pt idx="3">
                  <c:v>42053</c:v>
                </c:pt>
                <c:pt idx="4">
                  <c:v>42054</c:v>
                </c:pt>
                <c:pt idx="5">
                  <c:v>42055</c:v>
                </c:pt>
                <c:pt idx="6">
                  <c:v>42056</c:v>
                </c:pt>
                <c:pt idx="7">
                  <c:v>42057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42063</c:v>
                </c:pt>
                <c:pt idx="14">
                  <c:v>42064</c:v>
                </c:pt>
                <c:pt idx="15">
                  <c:v>42065</c:v>
                </c:pt>
                <c:pt idx="16">
                  <c:v>42066</c:v>
                </c:pt>
                <c:pt idx="17">
                  <c:v>42067</c:v>
                </c:pt>
                <c:pt idx="18">
                  <c:v>42068</c:v>
                </c:pt>
                <c:pt idx="19">
                  <c:v>42069</c:v>
                </c:pt>
                <c:pt idx="20">
                  <c:v>42070</c:v>
                </c:pt>
                <c:pt idx="21">
                  <c:v>42071</c:v>
                </c:pt>
                <c:pt idx="22">
                  <c:v>42072</c:v>
                </c:pt>
                <c:pt idx="23">
                  <c:v>42073</c:v>
                </c:pt>
                <c:pt idx="24">
                  <c:v>42074</c:v>
                </c:pt>
                <c:pt idx="25">
                  <c:v>42075</c:v>
                </c:pt>
                <c:pt idx="26">
                  <c:v>42076</c:v>
                </c:pt>
                <c:pt idx="27">
                  <c:v>42077</c:v>
                </c:pt>
                <c:pt idx="28">
                  <c:v>42078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42084</c:v>
                </c:pt>
                <c:pt idx="35">
                  <c:v>42085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42091</c:v>
                </c:pt>
                <c:pt idx="42">
                  <c:v>42092</c:v>
                </c:pt>
                <c:pt idx="43">
                  <c:v>42093</c:v>
                </c:pt>
                <c:pt idx="44">
                  <c:v>42094</c:v>
                </c:pt>
                <c:pt idx="45">
                  <c:v>42095</c:v>
                </c:pt>
                <c:pt idx="46">
                  <c:v>42096</c:v>
                </c:pt>
                <c:pt idx="47">
                  <c:v>42097</c:v>
                </c:pt>
                <c:pt idx="48">
                  <c:v>42098</c:v>
                </c:pt>
                <c:pt idx="49">
                  <c:v>42099</c:v>
                </c:pt>
                <c:pt idx="50">
                  <c:v>42100</c:v>
                </c:pt>
                <c:pt idx="51">
                  <c:v>42101</c:v>
                </c:pt>
                <c:pt idx="52">
                  <c:v>42102</c:v>
                </c:pt>
                <c:pt idx="53">
                  <c:v>42103</c:v>
                </c:pt>
                <c:pt idx="54">
                  <c:v>42104</c:v>
                </c:pt>
                <c:pt idx="55">
                  <c:v>42105</c:v>
                </c:pt>
                <c:pt idx="56">
                  <c:v>42106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42112</c:v>
                </c:pt>
                <c:pt idx="63">
                  <c:v>42113</c:v>
                </c:pt>
                <c:pt idx="64">
                  <c:v>42114</c:v>
                </c:pt>
                <c:pt idx="65">
                  <c:v>42115</c:v>
                </c:pt>
                <c:pt idx="66">
                  <c:v>42116</c:v>
                </c:pt>
                <c:pt idx="67">
                  <c:v>42117</c:v>
                </c:pt>
                <c:pt idx="68">
                  <c:v>42118</c:v>
                </c:pt>
                <c:pt idx="69">
                  <c:v>42119</c:v>
                </c:pt>
                <c:pt idx="70">
                  <c:v>42120</c:v>
                </c:pt>
                <c:pt idx="71">
                  <c:v>42121</c:v>
                </c:pt>
                <c:pt idx="72">
                  <c:v>42122</c:v>
                </c:pt>
                <c:pt idx="73">
                  <c:v>42123</c:v>
                </c:pt>
                <c:pt idx="74">
                  <c:v>42124</c:v>
                </c:pt>
                <c:pt idx="75">
                  <c:v>42125</c:v>
                </c:pt>
                <c:pt idx="76">
                  <c:v>42126</c:v>
                </c:pt>
                <c:pt idx="77">
                  <c:v>42127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42133</c:v>
                </c:pt>
                <c:pt idx="84">
                  <c:v>42134</c:v>
                </c:pt>
                <c:pt idx="85">
                  <c:v>42135</c:v>
                </c:pt>
                <c:pt idx="86">
                  <c:v>42136</c:v>
                </c:pt>
                <c:pt idx="87">
                  <c:v>42137</c:v>
                </c:pt>
                <c:pt idx="88">
                  <c:v>42138</c:v>
                </c:pt>
                <c:pt idx="89">
                  <c:v>42139</c:v>
                </c:pt>
                <c:pt idx="90">
                  <c:v>42140</c:v>
                </c:pt>
                <c:pt idx="91">
                  <c:v>42141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42144</c:v>
                </c:pt>
                <c:pt idx="96">
                  <c:v>42144</c:v>
                </c:pt>
                <c:pt idx="97">
                  <c:v>42144</c:v>
                </c:pt>
                <c:pt idx="98">
                  <c:v>42144</c:v>
                </c:pt>
                <c:pt idx="99">
                  <c:v>42144</c:v>
                </c:pt>
                <c:pt idx="100">
                  <c:v>42144</c:v>
                </c:pt>
                <c:pt idx="101">
                  <c:v>42144</c:v>
                </c:pt>
                <c:pt idx="102">
                  <c:v>42144</c:v>
                </c:pt>
                <c:pt idx="103">
                  <c:v>42144</c:v>
                </c:pt>
                <c:pt idx="104">
                  <c:v>42144</c:v>
                </c:pt>
                <c:pt idx="105">
                  <c:v>42144</c:v>
                </c:pt>
                <c:pt idx="106">
                  <c:v>42144</c:v>
                </c:pt>
                <c:pt idx="107">
                  <c:v>42144</c:v>
                </c:pt>
                <c:pt idx="108">
                  <c:v>42144</c:v>
                </c:pt>
                <c:pt idx="109">
                  <c:v>42144</c:v>
                </c:pt>
                <c:pt idx="110">
                  <c:v>42144</c:v>
                </c:pt>
                <c:pt idx="111">
                  <c:v>42144</c:v>
                </c:pt>
                <c:pt idx="112">
                  <c:v>42144</c:v>
                </c:pt>
                <c:pt idx="113">
                  <c:v>42144</c:v>
                </c:pt>
                <c:pt idx="114">
                  <c:v>42144</c:v>
                </c:pt>
                <c:pt idx="115">
                  <c:v>42144</c:v>
                </c:pt>
                <c:pt idx="116">
                  <c:v>42144</c:v>
                </c:pt>
                <c:pt idx="117">
                  <c:v>42144</c:v>
                </c:pt>
                <c:pt idx="118">
                  <c:v>42144</c:v>
                </c:pt>
                <c:pt idx="119">
                  <c:v>42144</c:v>
                </c:pt>
                <c:pt idx="120">
                  <c:v>42144</c:v>
                </c:pt>
                <c:pt idx="121">
                  <c:v>42144</c:v>
                </c:pt>
                <c:pt idx="122">
                  <c:v>42144</c:v>
                </c:pt>
                <c:pt idx="123">
                  <c:v>42144</c:v>
                </c:pt>
                <c:pt idx="124">
                  <c:v>42144</c:v>
                </c:pt>
                <c:pt idx="125">
                  <c:v>42144</c:v>
                </c:pt>
                <c:pt idx="126">
                  <c:v>42144</c:v>
                </c:pt>
                <c:pt idx="127">
                  <c:v>42144</c:v>
                </c:pt>
                <c:pt idx="128">
                  <c:v>42144</c:v>
                </c:pt>
                <c:pt idx="129">
                  <c:v>42144</c:v>
                </c:pt>
                <c:pt idx="130">
                  <c:v>42144</c:v>
                </c:pt>
                <c:pt idx="131">
                  <c:v>42144</c:v>
                </c:pt>
                <c:pt idx="132">
                  <c:v>42144</c:v>
                </c:pt>
                <c:pt idx="133">
                  <c:v>42144</c:v>
                </c:pt>
                <c:pt idx="134">
                  <c:v>42144</c:v>
                </c:pt>
                <c:pt idx="135">
                  <c:v>42144</c:v>
                </c:pt>
                <c:pt idx="136">
                  <c:v>42144</c:v>
                </c:pt>
                <c:pt idx="137">
                  <c:v>42144</c:v>
                </c:pt>
                <c:pt idx="138">
                  <c:v>42144</c:v>
                </c:pt>
                <c:pt idx="139">
                  <c:v>42144</c:v>
                </c:pt>
                <c:pt idx="140">
                  <c:v>42144</c:v>
                </c:pt>
                <c:pt idx="141">
                  <c:v>42144</c:v>
                </c:pt>
                <c:pt idx="142">
                  <c:v>42144</c:v>
                </c:pt>
                <c:pt idx="143">
                  <c:v>42144</c:v>
                </c:pt>
                <c:pt idx="144">
                  <c:v>42144</c:v>
                </c:pt>
                <c:pt idx="145">
                  <c:v>42144</c:v>
                </c:pt>
                <c:pt idx="146">
                  <c:v>42144</c:v>
                </c:pt>
                <c:pt idx="147">
                  <c:v>42144</c:v>
                </c:pt>
                <c:pt idx="148">
                  <c:v>42144</c:v>
                </c:pt>
                <c:pt idx="149">
                  <c:v>42144</c:v>
                </c:pt>
                <c:pt idx="150">
                  <c:v>42144</c:v>
                </c:pt>
                <c:pt idx="151">
                  <c:v>42144</c:v>
                </c:pt>
                <c:pt idx="152">
                  <c:v>42144</c:v>
                </c:pt>
                <c:pt idx="153">
                  <c:v>42144</c:v>
                </c:pt>
                <c:pt idx="154">
                  <c:v>42144</c:v>
                </c:pt>
                <c:pt idx="155">
                  <c:v>42144</c:v>
                </c:pt>
                <c:pt idx="156">
                  <c:v>42144</c:v>
                </c:pt>
                <c:pt idx="157">
                  <c:v>42144</c:v>
                </c:pt>
                <c:pt idx="158">
                  <c:v>42144</c:v>
                </c:pt>
                <c:pt idx="159">
                  <c:v>42144</c:v>
                </c:pt>
                <c:pt idx="160">
                  <c:v>42144</c:v>
                </c:pt>
                <c:pt idx="161">
                  <c:v>42144</c:v>
                </c:pt>
                <c:pt idx="162">
                  <c:v>42144</c:v>
                </c:pt>
                <c:pt idx="163">
                  <c:v>42144</c:v>
                </c:pt>
                <c:pt idx="164">
                  <c:v>42144</c:v>
                </c:pt>
                <c:pt idx="165">
                  <c:v>42144</c:v>
                </c:pt>
                <c:pt idx="166">
                  <c:v>42144</c:v>
                </c:pt>
                <c:pt idx="167">
                  <c:v>42144</c:v>
                </c:pt>
                <c:pt idx="168">
                  <c:v>42144</c:v>
                </c:pt>
                <c:pt idx="169">
                  <c:v>42144</c:v>
                </c:pt>
                <c:pt idx="170">
                  <c:v>42144</c:v>
                </c:pt>
                <c:pt idx="171">
                  <c:v>42144</c:v>
                </c:pt>
                <c:pt idx="172">
                  <c:v>42144</c:v>
                </c:pt>
                <c:pt idx="173">
                  <c:v>42144</c:v>
                </c:pt>
                <c:pt idx="174">
                  <c:v>42144</c:v>
                </c:pt>
                <c:pt idx="175">
                  <c:v>42144</c:v>
                </c:pt>
                <c:pt idx="176">
                  <c:v>42144</c:v>
                </c:pt>
                <c:pt idx="177">
                  <c:v>42144</c:v>
                </c:pt>
                <c:pt idx="178">
                  <c:v>42144</c:v>
                </c:pt>
                <c:pt idx="179">
                  <c:v>42144</c:v>
                </c:pt>
                <c:pt idx="180">
                  <c:v>42144</c:v>
                </c:pt>
                <c:pt idx="181">
                  <c:v>42144</c:v>
                </c:pt>
                <c:pt idx="182">
                  <c:v>42144</c:v>
                </c:pt>
                <c:pt idx="183">
                  <c:v>42144</c:v>
                </c:pt>
                <c:pt idx="184">
                  <c:v>42144</c:v>
                </c:pt>
                <c:pt idx="185">
                  <c:v>42144</c:v>
                </c:pt>
                <c:pt idx="186">
                  <c:v>42144</c:v>
                </c:pt>
                <c:pt idx="187">
                  <c:v>42144</c:v>
                </c:pt>
                <c:pt idx="188">
                  <c:v>42144</c:v>
                </c:pt>
                <c:pt idx="189">
                  <c:v>42144</c:v>
                </c:pt>
                <c:pt idx="190">
                  <c:v>42144</c:v>
                </c:pt>
                <c:pt idx="191">
                  <c:v>42144</c:v>
                </c:pt>
                <c:pt idx="192">
                  <c:v>42144</c:v>
                </c:pt>
                <c:pt idx="193">
                  <c:v>42144</c:v>
                </c:pt>
                <c:pt idx="194">
                  <c:v>42144</c:v>
                </c:pt>
                <c:pt idx="195">
                  <c:v>42144</c:v>
                </c:pt>
                <c:pt idx="196">
                  <c:v>42144</c:v>
                </c:pt>
                <c:pt idx="197">
                  <c:v>42144</c:v>
                </c:pt>
                <c:pt idx="198">
                  <c:v>42144</c:v>
                </c:pt>
                <c:pt idx="199">
                  <c:v>42144</c:v>
                </c:pt>
                <c:pt idx="200">
                  <c:v>42144</c:v>
                </c:pt>
                <c:pt idx="201">
                  <c:v>42144</c:v>
                </c:pt>
                <c:pt idx="202">
                  <c:v>42144</c:v>
                </c:pt>
                <c:pt idx="203">
                  <c:v>42144</c:v>
                </c:pt>
                <c:pt idx="204">
                  <c:v>42144</c:v>
                </c:pt>
                <c:pt idx="205">
                  <c:v>42144</c:v>
                </c:pt>
                <c:pt idx="206">
                  <c:v>42144</c:v>
                </c:pt>
                <c:pt idx="207">
                  <c:v>42144</c:v>
                </c:pt>
                <c:pt idx="208">
                  <c:v>42144</c:v>
                </c:pt>
                <c:pt idx="209">
                  <c:v>42144</c:v>
                </c:pt>
                <c:pt idx="210">
                  <c:v>42144</c:v>
                </c:pt>
                <c:pt idx="211">
                  <c:v>42144</c:v>
                </c:pt>
                <c:pt idx="212">
                  <c:v>42144</c:v>
                </c:pt>
                <c:pt idx="213">
                  <c:v>42144</c:v>
                </c:pt>
                <c:pt idx="214">
                  <c:v>42144</c:v>
                </c:pt>
                <c:pt idx="215">
                  <c:v>42144</c:v>
                </c:pt>
                <c:pt idx="216">
                  <c:v>42144</c:v>
                </c:pt>
                <c:pt idx="217">
                  <c:v>42144</c:v>
                </c:pt>
                <c:pt idx="218">
                  <c:v>42144</c:v>
                </c:pt>
                <c:pt idx="219">
                  <c:v>42144</c:v>
                </c:pt>
                <c:pt idx="220">
                  <c:v>42144</c:v>
                </c:pt>
                <c:pt idx="221">
                  <c:v>42144</c:v>
                </c:pt>
                <c:pt idx="222">
                  <c:v>42144</c:v>
                </c:pt>
                <c:pt idx="223">
                  <c:v>42144</c:v>
                </c:pt>
                <c:pt idx="224">
                  <c:v>42144</c:v>
                </c:pt>
                <c:pt idx="225">
                  <c:v>42144</c:v>
                </c:pt>
                <c:pt idx="226">
                  <c:v>42144</c:v>
                </c:pt>
                <c:pt idx="227">
                  <c:v>42144</c:v>
                </c:pt>
                <c:pt idx="228">
                  <c:v>42144</c:v>
                </c:pt>
                <c:pt idx="229">
                  <c:v>42144</c:v>
                </c:pt>
                <c:pt idx="230">
                  <c:v>42144</c:v>
                </c:pt>
                <c:pt idx="231">
                  <c:v>42144</c:v>
                </c:pt>
                <c:pt idx="232">
                  <c:v>42144</c:v>
                </c:pt>
                <c:pt idx="233">
                  <c:v>42144</c:v>
                </c:pt>
                <c:pt idx="234">
                  <c:v>42144</c:v>
                </c:pt>
                <c:pt idx="235">
                  <c:v>42144</c:v>
                </c:pt>
                <c:pt idx="236">
                  <c:v>42144</c:v>
                </c:pt>
                <c:pt idx="237">
                  <c:v>42144</c:v>
                </c:pt>
                <c:pt idx="238">
                  <c:v>42144</c:v>
                </c:pt>
                <c:pt idx="239">
                  <c:v>42144</c:v>
                </c:pt>
                <c:pt idx="240">
                  <c:v>42144</c:v>
                </c:pt>
                <c:pt idx="241">
                  <c:v>42144</c:v>
                </c:pt>
                <c:pt idx="242">
                  <c:v>42144</c:v>
                </c:pt>
                <c:pt idx="243">
                  <c:v>42144</c:v>
                </c:pt>
                <c:pt idx="244">
                  <c:v>42144</c:v>
                </c:pt>
                <c:pt idx="245">
                  <c:v>42144</c:v>
                </c:pt>
                <c:pt idx="246">
                  <c:v>42144</c:v>
                </c:pt>
                <c:pt idx="247">
                  <c:v>42144</c:v>
                </c:pt>
                <c:pt idx="248">
                  <c:v>42144</c:v>
                </c:pt>
                <c:pt idx="249">
                  <c:v>42144</c:v>
                </c:pt>
                <c:pt idx="250">
                  <c:v>42144</c:v>
                </c:pt>
                <c:pt idx="251">
                  <c:v>42144</c:v>
                </c:pt>
                <c:pt idx="252">
                  <c:v>42144</c:v>
                </c:pt>
                <c:pt idx="253">
                  <c:v>42144</c:v>
                </c:pt>
                <c:pt idx="254">
                  <c:v>42144</c:v>
                </c:pt>
                <c:pt idx="255">
                  <c:v>42144</c:v>
                </c:pt>
                <c:pt idx="256">
                  <c:v>42144</c:v>
                </c:pt>
                <c:pt idx="257">
                  <c:v>42144</c:v>
                </c:pt>
                <c:pt idx="258">
                  <c:v>42144</c:v>
                </c:pt>
                <c:pt idx="259">
                  <c:v>42144</c:v>
                </c:pt>
                <c:pt idx="260">
                  <c:v>42144</c:v>
                </c:pt>
                <c:pt idx="261">
                  <c:v>42144</c:v>
                </c:pt>
                <c:pt idx="262">
                  <c:v>42144</c:v>
                </c:pt>
                <c:pt idx="263">
                  <c:v>42144</c:v>
                </c:pt>
                <c:pt idx="264">
                  <c:v>42144</c:v>
                </c:pt>
                <c:pt idx="265">
                  <c:v>42144</c:v>
                </c:pt>
                <c:pt idx="266">
                  <c:v>42144</c:v>
                </c:pt>
                <c:pt idx="267">
                  <c:v>42144</c:v>
                </c:pt>
                <c:pt idx="268">
                  <c:v>42144</c:v>
                </c:pt>
                <c:pt idx="269">
                  <c:v>42144</c:v>
                </c:pt>
                <c:pt idx="270">
                  <c:v>42144</c:v>
                </c:pt>
                <c:pt idx="271">
                  <c:v>42144</c:v>
                </c:pt>
                <c:pt idx="272">
                  <c:v>42144</c:v>
                </c:pt>
                <c:pt idx="273">
                  <c:v>42144</c:v>
                </c:pt>
                <c:pt idx="274">
                  <c:v>42144</c:v>
                </c:pt>
                <c:pt idx="275">
                  <c:v>42144</c:v>
                </c:pt>
                <c:pt idx="276">
                  <c:v>42144</c:v>
                </c:pt>
                <c:pt idx="277">
                  <c:v>42144</c:v>
                </c:pt>
                <c:pt idx="278">
                  <c:v>42144</c:v>
                </c:pt>
                <c:pt idx="279">
                  <c:v>42144</c:v>
                </c:pt>
                <c:pt idx="280">
                  <c:v>42144</c:v>
                </c:pt>
                <c:pt idx="281">
                  <c:v>42144</c:v>
                </c:pt>
                <c:pt idx="282">
                  <c:v>42144</c:v>
                </c:pt>
                <c:pt idx="283">
                  <c:v>42144</c:v>
                </c:pt>
                <c:pt idx="284">
                  <c:v>42144</c:v>
                </c:pt>
                <c:pt idx="285">
                  <c:v>42144</c:v>
                </c:pt>
                <c:pt idx="286">
                  <c:v>42144</c:v>
                </c:pt>
                <c:pt idx="287">
                  <c:v>42144</c:v>
                </c:pt>
                <c:pt idx="288">
                  <c:v>42144</c:v>
                </c:pt>
                <c:pt idx="289">
                  <c:v>42144</c:v>
                </c:pt>
                <c:pt idx="290">
                  <c:v>42144</c:v>
                </c:pt>
                <c:pt idx="291">
                  <c:v>42144</c:v>
                </c:pt>
                <c:pt idx="292">
                  <c:v>42144</c:v>
                </c:pt>
                <c:pt idx="293">
                  <c:v>42144</c:v>
                </c:pt>
                <c:pt idx="294">
                  <c:v>42144</c:v>
                </c:pt>
                <c:pt idx="295">
                  <c:v>42144</c:v>
                </c:pt>
                <c:pt idx="296">
                  <c:v>42144</c:v>
                </c:pt>
                <c:pt idx="297">
                  <c:v>42144</c:v>
                </c:pt>
                <c:pt idx="298">
                  <c:v>42144</c:v>
                </c:pt>
                <c:pt idx="299">
                  <c:v>42144</c:v>
                </c:pt>
                <c:pt idx="300">
                  <c:v>42144</c:v>
                </c:pt>
                <c:pt idx="301">
                  <c:v>42144</c:v>
                </c:pt>
                <c:pt idx="302">
                  <c:v>42144</c:v>
                </c:pt>
                <c:pt idx="303">
                  <c:v>42144</c:v>
                </c:pt>
                <c:pt idx="304">
                  <c:v>42144</c:v>
                </c:pt>
                <c:pt idx="305">
                  <c:v>42144</c:v>
                </c:pt>
                <c:pt idx="306">
                  <c:v>42144</c:v>
                </c:pt>
                <c:pt idx="307">
                  <c:v>42144</c:v>
                </c:pt>
                <c:pt idx="308">
                  <c:v>42144</c:v>
                </c:pt>
                <c:pt idx="309">
                  <c:v>42144</c:v>
                </c:pt>
                <c:pt idx="310">
                  <c:v>42144</c:v>
                </c:pt>
                <c:pt idx="311">
                  <c:v>42144</c:v>
                </c:pt>
                <c:pt idx="312">
                  <c:v>42144</c:v>
                </c:pt>
                <c:pt idx="313">
                  <c:v>42144</c:v>
                </c:pt>
                <c:pt idx="314">
                  <c:v>42144</c:v>
                </c:pt>
                <c:pt idx="315">
                  <c:v>42144</c:v>
                </c:pt>
                <c:pt idx="316">
                  <c:v>42144</c:v>
                </c:pt>
                <c:pt idx="317">
                  <c:v>42144</c:v>
                </c:pt>
                <c:pt idx="318">
                  <c:v>42144</c:v>
                </c:pt>
                <c:pt idx="319">
                  <c:v>42144</c:v>
                </c:pt>
                <c:pt idx="320">
                  <c:v>42144</c:v>
                </c:pt>
                <c:pt idx="321">
                  <c:v>42144</c:v>
                </c:pt>
                <c:pt idx="322">
                  <c:v>42144</c:v>
                </c:pt>
                <c:pt idx="323">
                  <c:v>42144</c:v>
                </c:pt>
                <c:pt idx="324">
                  <c:v>42144</c:v>
                </c:pt>
                <c:pt idx="325">
                  <c:v>42144</c:v>
                </c:pt>
                <c:pt idx="326">
                  <c:v>42144</c:v>
                </c:pt>
                <c:pt idx="327">
                  <c:v>42144</c:v>
                </c:pt>
                <c:pt idx="328">
                  <c:v>42144</c:v>
                </c:pt>
                <c:pt idx="329">
                  <c:v>42144</c:v>
                </c:pt>
                <c:pt idx="330">
                  <c:v>42144</c:v>
                </c:pt>
                <c:pt idx="331">
                  <c:v>42144</c:v>
                </c:pt>
                <c:pt idx="332">
                  <c:v>42144</c:v>
                </c:pt>
                <c:pt idx="333">
                  <c:v>42144</c:v>
                </c:pt>
                <c:pt idx="334">
                  <c:v>42144</c:v>
                </c:pt>
                <c:pt idx="335">
                  <c:v>42144</c:v>
                </c:pt>
                <c:pt idx="336">
                  <c:v>42144</c:v>
                </c:pt>
                <c:pt idx="337">
                  <c:v>42144</c:v>
                </c:pt>
                <c:pt idx="338">
                  <c:v>42144</c:v>
                </c:pt>
                <c:pt idx="339">
                  <c:v>42144</c:v>
                </c:pt>
                <c:pt idx="340">
                  <c:v>42144</c:v>
                </c:pt>
                <c:pt idx="341">
                  <c:v>42144</c:v>
                </c:pt>
                <c:pt idx="342">
                  <c:v>42144</c:v>
                </c:pt>
                <c:pt idx="343">
                  <c:v>42144</c:v>
                </c:pt>
                <c:pt idx="344">
                  <c:v>42144</c:v>
                </c:pt>
                <c:pt idx="345">
                  <c:v>42144</c:v>
                </c:pt>
                <c:pt idx="346">
                  <c:v>42144</c:v>
                </c:pt>
                <c:pt idx="347">
                  <c:v>42144</c:v>
                </c:pt>
                <c:pt idx="348">
                  <c:v>42144</c:v>
                </c:pt>
                <c:pt idx="349">
                  <c:v>42144</c:v>
                </c:pt>
                <c:pt idx="350">
                  <c:v>42144</c:v>
                </c:pt>
                <c:pt idx="351">
                  <c:v>42144</c:v>
                </c:pt>
                <c:pt idx="352">
                  <c:v>42144</c:v>
                </c:pt>
                <c:pt idx="353">
                  <c:v>42144</c:v>
                </c:pt>
                <c:pt idx="354">
                  <c:v>42144</c:v>
                </c:pt>
                <c:pt idx="355">
                  <c:v>42144</c:v>
                </c:pt>
                <c:pt idx="356">
                  <c:v>42144</c:v>
                </c:pt>
                <c:pt idx="357">
                  <c:v>42144</c:v>
                </c:pt>
                <c:pt idx="358">
                  <c:v>42144</c:v>
                </c:pt>
                <c:pt idx="359">
                  <c:v>42144</c:v>
                </c:pt>
                <c:pt idx="360">
                  <c:v>42144</c:v>
                </c:pt>
                <c:pt idx="361">
                  <c:v>42144</c:v>
                </c:pt>
                <c:pt idx="362">
                  <c:v>42144</c:v>
                </c:pt>
                <c:pt idx="363">
                  <c:v>42144</c:v>
                </c:pt>
                <c:pt idx="364">
                  <c:v>42144</c:v>
                </c:pt>
              </c:numCache>
            </c:numRef>
          </c:cat>
          <c:val>
            <c:numRef>
              <c:f>Bilan_hydrique!$D$2:$D$361</c:f>
              <c:numCache>
                <c:formatCode>General</c:formatCode>
                <c:ptCount val="360"/>
                <c:pt idx="0">
                  <c:v>22.800333333333334</c:v>
                </c:pt>
                <c:pt idx="1">
                  <c:v>22.800333333333334</c:v>
                </c:pt>
                <c:pt idx="2">
                  <c:v>22.800333333333334</c:v>
                </c:pt>
                <c:pt idx="3">
                  <c:v>22.800333333333334</c:v>
                </c:pt>
                <c:pt idx="4">
                  <c:v>22.800333333333334</c:v>
                </c:pt>
                <c:pt idx="5">
                  <c:v>22.800333333333334</c:v>
                </c:pt>
                <c:pt idx="6">
                  <c:v>22.800333333333334</c:v>
                </c:pt>
                <c:pt idx="7">
                  <c:v>22.800333333333334</c:v>
                </c:pt>
                <c:pt idx="8">
                  <c:v>22.800333333333334</c:v>
                </c:pt>
                <c:pt idx="9">
                  <c:v>22.800333333333334</c:v>
                </c:pt>
                <c:pt idx="10">
                  <c:v>22.800333333333334</c:v>
                </c:pt>
                <c:pt idx="11">
                  <c:v>22.800333333333334</c:v>
                </c:pt>
                <c:pt idx="12">
                  <c:v>22.800333333333334</c:v>
                </c:pt>
                <c:pt idx="13">
                  <c:v>22.800333333333334</c:v>
                </c:pt>
                <c:pt idx="14">
                  <c:v>22.800333333333334</c:v>
                </c:pt>
                <c:pt idx="15">
                  <c:v>22.800333333333334</c:v>
                </c:pt>
                <c:pt idx="16">
                  <c:v>22.800333333333334</c:v>
                </c:pt>
                <c:pt idx="17">
                  <c:v>22.800333333333334</c:v>
                </c:pt>
                <c:pt idx="18">
                  <c:v>22.800333333333334</c:v>
                </c:pt>
                <c:pt idx="19">
                  <c:v>22.800333333333334</c:v>
                </c:pt>
                <c:pt idx="20">
                  <c:v>22.800333333333334</c:v>
                </c:pt>
                <c:pt idx="21">
                  <c:v>22.800333333333334</c:v>
                </c:pt>
                <c:pt idx="22">
                  <c:v>22.800333333333334</c:v>
                </c:pt>
                <c:pt idx="23">
                  <c:v>22.800333333333334</c:v>
                </c:pt>
                <c:pt idx="24">
                  <c:v>22.800333333333334</c:v>
                </c:pt>
                <c:pt idx="25">
                  <c:v>22.800333333333334</c:v>
                </c:pt>
                <c:pt idx="26">
                  <c:v>22.800333333333334</c:v>
                </c:pt>
                <c:pt idx="27">
                  <c:v>22.800333333333334</c:v>
                </c:pt>
                <c:pt idx="28">
                  <c:v>22.800333333333334</c:v>
                </c:pt>
                <c:pt idx="29">
                  <c:v>22.800333333333334</c:v>
                </c:pt>
                <c:pt idx="30">
                  <c:v>22.800333333333334</c:v>
                </c:pt>
                <c:pt idx="31">
                  <c:v>22.800333333333334</c:v>
                </c:pt>
                <c:pt idx="32">
                  <c:v>22.800333333333334</c:v>
                </c:pt>
                <c:pt idx="33">
                  <c:v>22.800333333333334</c:v>
                </c:pt>
                <c:pt idx="34">
                  <c:v>22.800333333333334</c:v>
                </c:pt>
                <c:pt idx="35">
                  <c:v>22.800333333333334</c:v>
                </c:pt>
                <c:pt idx="36">
                  <c:v>22.800333333333334</c:v>
                </c:pt>
                <c:pt idx="37">
                  <c:v>22.800333333333334</c:v>
                </c:pt>
                <c:pt idx="38">
                  <c:v>22.800333333333334</c:v>
                </c:pt>
                <c:pt idx="39">
                  <c:v>22.800333333333334</c:v>
                </c:pt>
                <c:pt idx="40">
                  <c:v>22.800333333333334</c:v>
                </c:pt>
                <c:pt idx="41">
                  <c:v>22.800333333333334</c:v>
                </c:pt>
                <c:pt idx="42">
                  <c:v>22.800333333333334</c:v>
                </c:pt>
                <c:pt idx="43">
                  <c:v>22.800333333333334</c:v>
                </c:pt>
                <c:pt idx="44">
                  <c:v>22.800333333333334</c:v>
                </c:pt>
                <c:pt idx="45">
                  <c:v>22.800333333333334</c:v>
                </c:pt>
                <c:pt idx="46">
                  <c:v>22.800333333333334</c:v>
                </c:pt>
                <c:pt idx="47">
                  <c:v>22.800333333333334</c:v>
                </c:pt>
                <c:pt idx="48">
                  <c:v>22.800333333333334</c:v>
                </c:pt>
                <c:pt idx="49">
                  <c:v>22.800333333333334</c:v>
                </c:pt>
                <c:pt idx="50">
                  <c:v>22.800333333333334</c:v>
                </c:pt>
                <c:pt idx="51">
                  <c:v>22.800333333333334</c:v>
                </c:pt>
                <c:pt idx="52">
                  <c:v>22.800333333333334</c:v>
                </c:pt>
                <c:pt idx="53">
                  <c:v>22.800333333333334</c:v>
                </c:pt>
                <c:pt idx="54">
                  <c:v>22.800333333333334</c:v>
                </c:pt>
                <c:pt idx="55">
                  <c:v>22.800333333333334</c:v>
                </c:pt>
                <c:pt idx="56">
                  <c:v>22.800333333333334</c:v>
                </c:pt>
                <c:pt idx="57">
                  <c:v>22.800333333333334</c:v>
                </c:pt>
                <c:pt idx="58">
                  <c:v>22.800333333333334</c:v>
                </c:pt>
                <c:pt idx="59">
                  <c:v>22.800333333333334</c:v>
                </c:pt>
                <c:pt idx="60">
                  <c:v>22.800333333333334</c:v>
                </c:pt>
                <c:pt idx="61">
                  <c:v>22.800333333333334</c:v>
                </c:pt>
                <c:pt idx="62">
                  <c:v>22.800333333333334</c:v>
                </c:pt>
                <c:pt idx="63">
                  <c:v>22.800333333333334</c:v>
                </c:pt>
                <c:pt idx="64">
                  <c:v>22.800333333333334</c:v>
                </c:pt>
                <c:pt idx="65">
                  <c:v>22.800333333333334</c:v>
                </c:pt>
                <c:pt idx="66">
                  <c:v>22.800333333333334</c:v>
                </c:pt>
                <c:pt idx="67">
                  <c:v>22.800333333333334</c:v>
                </c:pt>
                <c:pt idx="68">
                  <c:v>22.800333333333334</c:v>
                </c:pt>
                <c:pt idx="69">
                  <c:v>22.800333333333334</c:v>
                </c:pt>
                <c:pt idx="70">
                  <c:v>22.800333333333334</c:v>
                </c:pt>
                <c:pt idx="71">
                  <c:v>22.800333333333334</c:v>
                </c:pt>
                <c:pt idx="72">
                  <c:v>22.800333333333334</c:v>
                </c:pt>
                <c:pt idx="73">
                  <c:v>22.800333333333334</c:v>
                </c:pt>
                <c:pt idx="74">
                  <c:v>22.800333333333334</c:v>
                </c:pt>
                <c:pt idx="75">
                  <c:v>22.800333333333334</c:v>
                </c:pt>
                <c:pt idx="76">
                  <c:v>22.800333333333334</c:v>
                </c:pt>
                <c:pt idx="77">
                  <c:v>22.800333333333334</c:v>
                </c:pt>
                <c:pt idx="78">
                  <c:v>22.800333333333334</c:v>
                </c:pt>
                <c:pt idx="79">
                  <c:v>22.800333333333334</c:v>
                </c:pt>
                <c:pt idx="80">
                  <c:v>22.800333333333334</c:v>
                </c:pt>
                <c:pt idx="81">
                  <c:v>22.800333333333334</c:v>
                </c:pt>
                <c:pt idx="82">
                  <c:v>22.800333333333334</c:v>
                </c:pt>
                <c:pt idx="83">
                  <c:v>22.800333333333334</c:v>
                </c:pt>
                <c:pt idx="84">
                  <c:v>22.800333333333334</c:v>
                </c:pt>
                <c:pt idx="85">
                  <c:v>22.800333333333334</c:v>
                </c:pt>
                <c:pt idx="86">
                  <c:v>22.800333333333334</c:v>
                </c:pt>
                <c:pt idx="87">
                  <c:v>22.800333333333334</c:v>
                </c:pt>
                <c:pt idx="88">
                  <c:v>22.800333333333334</c:v>
                </c:pt>
                <c:pt idx="89">
                  <c:v>22.800333333333334</c:v>
                </c:pt>
                <c:pt idx="90">
                  <c:v>22.800333333333334</c:v>
                </c:pt>
                <c:pt idx="91">
                  <c:v>22.800333333333334</c:v>
                </c:pt>
                <c:pt idx="92">
                  <c:v>22.800333333333334</c:v>
                </c:pt>
                <c:pt idx="93">
                  <c:v>22.800333333333334</c:v>
                </c:pt>
                <c:pt idx="94">
                  <c:v>22.800333333333334</c:v>
                </c:pt>
                <c:pt idx="95">
                  <c:v>22.800333333333334</c:v>
                </c:pt>
                <c:pt idx="96">
                  <c:v>22.800333333333334</c:v>
                </c:pt>
                <c:pt idx="97">
                  <c:v>22.800333333333334</c:v>
                </c:pt>
                <c:pt idx="98">
                  <c:v>22.800333333333334</c:v>
                </c:pt>
                <c:pt idx="99">
                  <c:v>22.800333333333334</c:v>
                </c:pt>
                <c:pt idx="100">
                  <c:v>22.800333333333334</c:v>
                </c:pt>
                <c:pt idx="101">
                  <c:v>22.800333333333334</c:v>
                </c:pt>
                <c:pt idx="102">
                  <c:v>22.800333333333334</c:v>
                </c:pt>
                <c:pt idx="103">
                  <c:v>22.800333333333334</c:v>
                </c:pt>
                <c:pt idx="104">
                  <c:v>22.800333333333334</c:v>
                </c:pt>
                <c:pt idx="105">
                  <c:v>22.800333333333334</c:v>
                </c:pt>
                <c:pt idx="106">
                  <c:v>22.800333333333334</c:v>
                </c:pt>
                <c:pt idx="107">
                  <c:v>22.800333333333334</c:v>
                </c:pt>
                <c:pt idx="108">
                  <c:v>22.800333333333334</c:v>
                </c:pt>
                <c:pt idx="109">
                  <c:v>22.800333333333334</c:v>
                </c:pt>
                <c:pt idx="110">
                  <c:v>22.800333333333334</c:v>
                </c:pt>
                <c:pt idx="111">
                  <c:v>22.800333333333334</c:v>
                </c:pt>
                <c:pt idx="112">
                  <c:v>22.800333333333334</c:v>
                </c:pt>
                <c:pt idx="113">
                  <c:v>22.800333333333334</c:v>
                </c:pt>
                <c:pt idx="114">
                  <c:v>22.800333333333334</c:v>
                </c:pt>
                <c:pt idx="115">
                  <c:v>22.800333333333334</c:v>
                </c:pt>
                <c:pt idx="116">
                  <c:v>22.800333333333334</c:v>
                </c:pt>
                <c:pt idx="117">
                  <c:v>22.800333333333334</c:v>
                </c:pt>
                <c:pt idx="118">
                  <c:v>22.800333333333334</c:v>
                </c:pt>
                <c:pt idx="119">
                  <c:v>22.800333333333334</c:v>
                </c:pt>
                <c:pt idx="120">
                  <c:v>22.800333333333334</c:v>
                </c:pt>
                <c:pt idx="121">
                  <c:v>22.800333333333334</c:v>
                </c:pt>
                <c:pt idx="122">
                  <c:v>22.800333333333334</c:v>
                </c:pt>
                <c:pt idx="123">
                  <c:v>22.800333333333334</c:v>
                </c:pt>
                <c:pt idx="124">
                  <c:v>22.800333333333334</c:v>
                </c:pt>
                <c:pt idx="125">
                  <c:v>22.800333333333334</c:v>
                </c:pt>
                <c:pt idx="126">
                  <c:v>22.800333333333334</c:v>
                </c:pt>
                <c:pt idx="127">
                  <c:v>22.800333333333334</c:v>
                </c:pt>
                <c:pt idx="128">
                  <c:v>22.800333333333334</c:v>
                </c:pt>
                <c:pt idx="129">
                  <c:v>22.800333333333334</c:v>
                </c:pt>
                <c:pt idx="130">
                  <c:v>22.800333333333334</c:v>
                </c:pt>
                <c:pt idx="131">
                  <c:v>22.800333333333334</c:v>
                </c:pt>
                <c:pt idx="132">
                  <c:v>22.800333333333334</c:v>
                </c:pt>
                <c:pt idx="133">
                  <c:v>22.800333333333334</c:v>
                </c:pt>
                <c:pt idx="134">
                  <c:v>22.800333333333334</c:v>
                </c:pt>
                <c:pt idx="135">
                  <c:v>22.800333333333334</c:v>
                </c:pt>
                <c:pt idx="136">
                  <c:v>22.800333333333334</c:v>
                </c:pt>
                <c:pt idx="137">
                  <c:v>22.800333333333334</c:v>
                </c:pt>
                <c:pt idx="138">
                  <c:v>22.800333333333334</c:v>
                </c:pt>
                <c:pt idx="139">
                  <c:v>22.800333333333334</c:v>
                </c:pt>
                <c:pt idx="140">
                  <c:v>22.800333333333334</c:v>
                </c:pt>
                <c:pt idx="141">
                  <c:v>22.800333333333334</c:v>
                </c:pt>
                <c:pt idx="142">
                  <c:v>22.800333333333334</c:v>
                </c:pt>
                <c:pt idx="143">
                  <c:v>22.800333333333334</c:v>
                </c:pt>
                <c:pt idx="144">
                  <c:v>22.800333333333334</c:v>
                </c:pt>
                <c:pt idx="145">
                  <c:v>22.800333333333334</c:v>
                </c:pt>
                <c:pt idx="146">
                  <c:v>22.800333333333334</c:v>
                </c:pt>
                <c:pt idx="147">
                  <c:v>22.800333333333334</c:v>
                </c:pt>
                <c:pt idx="148">
                  <c:v>22.800333333333334</c:v>
                </c:pt>
                <c:pt idx="149">
                  <c:v>22.800333333333334</c:v>
                </c:pt>
                <c:pt idx="150">
                  <c:v>22.800333333333334</c:v>
                </c:pt>
                <c:pt idx="151">
                  <c:v>22.800333333333334</c:v>
                </c:pt>
                <c:pt idx="152">
                  <c:v>22.800333333333334</c:v>
                </c:pt>
                <c:pt idx="153">
                  <c:v>22.800333333333334</c:v>
                </c:pt>
                <c:pt idx="154">
                  <c:v>22.800333333333334</c:v>
                </c:pt>
                <c:pt idx="155">
                  <c:v>22.800333333333334</c:v>
                </c:pt>
                <c:pt idx="156">
                  <c:v>22.800333333333334</c:v>
                </c:pt>
                <c:pt idx="157">
                  <c:v>22.800333333333334</c:v>
                </c:pt>
                <c:pt idx="158">
                  <c:v>22.800333333333334</c:v>
                </c:pt>
                <c:pt idx="159">
                  <c:v>22.800333333333334</c:v>
                </c:pt>
                <c:pt idx="160">
                  <c:v>22.800333333333334</c:v>
                </c:pt>
                <c:pt idx="161">
                  <c:v>22.800333333333334</c:v>
                </c:pt>
                <c:pt idx="162">
                  <c:v>22.800333333333334</c:v>
                </c:pt>
                <c:pt idx="163">
                  <c:v>22.800333333333334</c:v>
                </c:pt>
                <c:pt idx="164">
                  <c:v>22.800333333333334</c:v>
                </c:pt>
                <c:pt idx="165">
                  <c:v>22.800333333333334</c:v>
                </c:pt>
                <c:pt idx="166">
                  <c:v>22.800333333333334</c:v>
                </c:pt>
                <c:pt idx="167">
                  <c:v>22.800333333333334</c:v>
                </c:pt>
                <c:pt idx="168">
                  <c:v>22.800333333333334</c:v>
                </c:pt>
                <c:pt idx="169">
                  <c:v>22.800333333333334</c:v>
                </c:pt>
                <c:pt idx="170">
                  <c:v>22.800333333333334</c:v>
                </c:pt>
                <c:pt idx="171">
                  <c:v>22.800333333333334</c:v>
                </c:pt>
                <c:pt idx="172">
                  <c:v>22.800333333333334</c:v>
                </c:pt>
                <c:pt idx="173">
                  <c:v>22.800333333333334</c:v>
                </c:pt>
                <c:pt idx="174">
                  <c:v>22.800333333333334</c:v>
                </c:pt>
                <c:pt idx="175">
                  <c:v>22.800333333333334</c:v>
                </c:pt>
                <c:pt idx="176">
                  <c:v>22.800333333333334</c:v>
                </c:pt>
                <c:pt idx="177">
                  <c:v>22.800333333333334</c:v>
                </c:pt>
                <c:pt idx="178">
                  <c:v>22.800333333333334</c:v>
                </c:pt>
                <c:pt idx="179">
                  <c:v>22.800333333333334</c:v>
                </c:pt>
                <c:pt idx="180">
                  <c:v>22.800333333333334</c:v>
                </c:pt>
                <c:pt idx="181">
                  <c:v>22.800333333333334</c:v>
                </c:pt>
                <c:pt idx="182">
                  <c:v>22.800333333333334</c:v>
                </c:pt>
                <c:pt idx="183">
                  <c:v>22.800333333333334</c:v>
                </c:pt>
                <c:pt idx="184">
                  <c:v>22.800333333333334</c:v>
                </c:pt>
                <c:pt idx="185">
                  <c:v>22.800333333333334</c:v>
                </c:pt>
                <c:pt idx="186">
                  <c:v>22.800333333333334</c:v>
                </c:pt>
                <c:pt idx="187">
                  <c:v>22.800333333333334</c:v>
                </c:pt>
                <c:pt idx="188">
                  <c:v>22.800333333333334</c:v>
                </c:pt>
                <c:pt idx="189">
                  <c:v>22.800333333333334</c:v>
                </c:pt>
                <c:pt idx="190">
                  <c:v>22.800333333333334</c:v>
                </c:pt>
                <c:pt idx="191">
                  <c:v>22.800333333333334</c:v>
                </c:pt>
                <c:pt idx="192">
                  <c:v>22.800333333333334</c:v>
                </c:pt>
                <c:pt idx="193">
                  <c:v>22.800333333333334</c:v>
                </c:pt>
                <c:pt idx="194">
                  <c:v>22.800333333333334</c:v>
                </c:pt>
                <c:pt idx="195">
                  <c:v>22.800333333333334</c:v>
                </c:pt>
                <c:pt idx="196">
                  <c:v>22.800333333333334</c:v>
                </c:pt>
                <c:pt idx="197">
                  <c:v>22.800333333333334</c:v>
                </c:pt>
                <c:pt idx="198">
                  <c:v>22.800333333333334</c:v>
                </c:pt>
                <c:pt idx="199">
                  <c:v>22.800333333333334</c:v>
                </c:pt>
                <c:pt idx="200">
                  <c:v>22.800333333333334</c:v>
                </c:pt>
                <c:pt idx="201">
                  <c:v>22.800333333333334</c:v>
                </c:pt>
                <c:pt idx="202">
                  <c:v>22.800333333333334</c:v>
                </c:pt>
                <c:pt idx="203">
                  <c:v>22.800333333333334</c:v>
                </c:pt>
                <c:pt idx="204">
                  <c:v>22.800333333333334</c:v>
                </c:pt>
                <c:pt idx="205">
                  <c:v>22.800333333333334</c:v>
                </c:pt>
                <c:pt idx="206">
                  <c:v>22.800333333333334</c:v>
                </c:pt>
                <c:pt idx="207">
                  <c:v>22.800333333333334</c:v>
                </c:pt>
                <c:pt idx="208">
                  <c:v>22.800333333333334</c:v>
                </c:pt>
                <c:pt idx="209">
                  <c:v>22.800333333333334</c:v>
                </c:pt>
                <c:pt idx="210">
                  <c:v>22.800333333333334</c:v>
                </c:pt>
                <c:pt idx="211">
                  <c:v>22.800333333333334</c:v>
                </c:pt>
                <c:pt idx="212">
                  <c:v>22.800333333333334</c:v>
                </c:pt>
                <c:pt idx="213">
                  <c:v>22.800333333333334</c:v>
                </c:pt>
                <c:pt idx="214">
                  <c:v>22.800333333333334</c:v>
                </c:pt>
                <c:pt idx="215">
                  <c:v>22.800333333333334</c:v>
                </c:pt>
                <c:pt idx="216">
                  <c:v>22.800333333333334</c:v>
                </c:pt>
                <c:pt idx="217">
                  <c:v>22.800333333333334</c:v>
                </c:pt>
                <c:pt idx="218">
                  <c:v>22.800333333333334</c:v>
                </c:pt>
                <c:pt idx="219">
                  <c:v>22.800333333333334</c:v>
                </c:pt>
                <c:pt idx="220">
                  <c:v>22.800333333333334</c:v>
                </c:pt>
                <c:pt idx="221">
                  <c:v>22.800333333333334</c:v>
                </c:pt>
                <c:pt idx="222">
                  <c:v>22.800333333333334</c:v>
                </c:pt>
                <c:pt idx="223">
                  <c:v>22.800333333333334</c:v>
                </c:pt>
                <c:pt idx="224">
                  <c:v>22.800333333333334</c:v>
                </c:pt>
                <c:pt idx="225">
                  <c:v>22.800333333333334</c:v>
                </c:pt>
                <c:pt idx="226">
                  <c:v>22.800333333333334</c:v>
                </c:pt>
                <c:pt idx="227">
                  <c:v>22.800333333333334</c:v>
                </c:pt>
                <c:pt idx="228">
                  <c:v>22.800333333333334</c:v>
                </c:pt>
                <c:pt idx="229">
                  <c:v>22.800333333333334</c:v>
                </c:pt>
                <c:pt idx="230">
                  <c:v>22.800333333333334</c:v>
                </c:pt>
                <c:pt idx="231">
                  <c:v>22.800333333333334</c:v>
                </c:pt>
                <c:pt idx="232">
                  <c:v>22.800333333333334</c:v>
                </c:pt>
                <c:pt idx="233">
                  <c:v>22.800333333333334</c:v>
                </c:pt>
                <c:pt idx="234">
                  <c:v>22.800333333333334</c:v>
                </c:pt>
                <c:pt idx="235">
                  <c:v>22.800333333333334</c:v>
                </c:pt>
                <c:pt idx="236">
                  <c:v>22.800333333333334</c:v>
                </c:pt>
                <c:pt idx="237">
                  <c:v>22.800333333333334</c:v>
                </c:pt>
                <c:pt idx="238">
                  <c:v>22.800333333333334</c:v>
                </c:pt>
                <c:pt idx="239">
                  <c:v>22.800333333333334</c:v>
                </c:pt>
                <c:pt idx="240">
                  <c:v>22.800333333333334</c:v>
                </c:pt>
                <c:pt idx="241">
                  <c:v>22.800333333333334</c:v>
                </c:pt>
                <c:pt idx="242">
                  <c:v>22.800333333333334</c:v>
                </c:pt>
                <c:pt idx="243">
                  <c:v>22.800333333333334</c:v>
                </c:pt>
                <c:pt idx="244">
                  <c:v>22.800333333333334</c:v>
                </c:pt>
                <c:pt idx="245">
                  <c:v>22.800333333333334</c:v>
                </c:pt>
                <c:pt idx="246">
                  <c:v>22.800333333333334</c:v>
                </c:pt>
                <c:pt idx="247">
                  <c:v>22.800333333333334</c:v>
                </c:pt>
                <c:pt idx="248">
                  <c:v>22.800333333333334</c:v>
                </c:pt>
                <c:pt idx="249">
                  <c:v>22.800333333333334</c:v>
                </c:pt>
                <c:pt idx="250">
                  <c:v>22.800333333333334</c:v>
                </c:pt>
                <c:pt idx="251">
                  <c:v>22.800333333333334</c:v>
                </c:pt>
                <c:pt idx="252">
                  <c:v>22.800333333333334</c:v>
                </c:pt>
                <c:pt idx="253">
                  <c:v>22.800333333333334</c:v>
                </c:pt>
                <c:pt idx="254">
                  <c:v>22.800333333333334</c:v>
                </c:pt>
                <c:pt idx="255">
                  <c:v>22.800333333333334</c:v>
                </c:pt>
                <c:pt idx="256">
                  <c:v>22.800333333333334</c:v>
                </c:pt>
                <c:pt idx="257">
                  <c:v>22.800333333333334</c:v>
                </c:pt>
                <c:pt idx="258">
                  <c:v>22.800333333333334</c:v>
                </c:pt>
                <c:pt idx="259">
                  <c:v>22.800333333333334</c:v>
                </c:pt>
                <c:pt idx="260">
                  <c:v>22.800333333333334</c:v>
                </c:pt>
                <c:pt idx="261">
                  <c:v>22.800333333333334</c:v>
                </c:pt>
                <c:pt idx="262">
                  <c:v>22.800333333333334</c:v>
                </c:pt>
                <c:pt idx="263">
                  <c:v>22.800333333333334</c:v>
                </c:pt>
                <c:pt idx="264">
                  <c:v>22.800333333333334</c:v>
                </c:pt>
                <c:pt idx="265">
                  <c:v>22.800333333333334</c:v>
                </c:pt>
                <c:pt idx="266">
                  <c:v>22.800333333333334</c:v>
                </c:pt>
                <c:pt idx="267">
                  <c:v>22.800333333333334</c:v>
                </c:pt>
                <c:pt idx="268">
                  <c:v>22.800333333333334</c:v>
                </c:pt>
                <c:pt idx="269">
                  <c:v>22.800333333333334</c:v>
                </c:pt>
                <c:pt idx="270">
                  <c:v>22.800333333333334</c:v>
                </c:pt>
                <c:pt idx="271">
                  <c:v>22.800333333333334</c:v>
                </c:pt>
                <c:pt idx="272">
                  <c:v>22.800333333333334</c:v>
                </c:pt>
                <c:pt idx="273">
                  <c:v>22.800333333333334</c:v>
                </c:pt>
                <c:pt idx="274">
                  <c:v>22.800333333333334</c:v>
                </c:pt>
                <c:pt idx="275">
                  <c:v>22.800333333333334</c:v>
                </c:pt>
                <c:pt idx="276">
                  <c:v>22.800333333333334</c:v>
                </c:pt>
                <c:pt idx="277">
                  <c:v>22.800333333333334</c:v>
                </c:pt>
                <c:pt idx="278">
                  <c:v>22.800333333333334</c:v>
                </c:pt>
                <c:pt idx="279">
                  <c:v>22.800333333333334</c:v>
                </c:pt>
                <c:pt idx="280">
                  <c:v>22.800333333333334</c:v>
                </c:pt>
                <c:pt idx="281">
                  <c:v>22.800333333333334</c:v>
                </c:pt>
                <c:pt idx="282">
                  <c:v>22.800333333333334</c:v>
                </c:pt>
                <c:pt idx="283">
                  <c:v>22.800333333333334</c:v>
                </c:pt>
                <c:pt idx="284">
                  <c:v>22.800333333333334</c:v>
                </c:pt>
                <c:pt idx="285">
                  <c:v>22.800333333333334</c:v>
                </c:pt>
                <c:pt idx="286">
                  <c:v>22.800333333333334</c:v>
                </c:pt>
                <c:pt idx="287">
                  <c:v>22.800333333333334</c:v>
                </c:pt>
                <c:pt idx="288">
                  <c:v>22.800333333333334</c:v>
                </c:pt>
                <c:pt idx="289">
                  <c:v>22.800333333333334</c:v>
                </c:pt>
                <c:pt idx="290">
                  <c:v>22.800333333333334</c:v>
                </c:pt>
                <c:pt idx="291">
                  <c:v>22.800333333333334</c:v>
                </c:pt>
                <c:pt idx="292">
                  <c:v>22.800333333333334</c:v>
                </c:pt>
                <c:pt idx="293">
                  <c:v>22.800333333333334</c:v>
                </c:pt>
                <c:pt idx="294">
                  <c:v>22.800333333333334</c:v>
                </c:pt>
                <c:pt idx="295">
                  <c:v>22.800333333333334</c:v>
                </c:pt>
                <c:pt idx="296">
                  <c:v>22.800333333333334</c:v>
                </c:pt>
                <c:pt idx="297">
                  <c:v>22.800333333333334</c:v>
                </c:pt>
                <c:pt idx="298">
                  <c:v>22.800333333333334</c:v>
                </c:pt>
                <c:pt idx="299">
                  <c:v>22.800333333333334</c:v>
                </c:pt>
                <c:pt idx="300">
                  <c:v>22.800333333333334</c:v>
                </c:pt>
                <c:pt idx="301">
                  <c:v>22.800333333333334</c:v>
                </c:pt>
                <c:pt idx="302">
                  <c:v>22.800333333333334</c:v>
                </c:pt>
                <c:pt idx="303">
                  <c:v>22.800333333333334</c:v>
                </c:pt>
                <c:pt idx="304">
                  <c:v>22.800333333333334</c:v>
                </c:pt>
                <c:pt idx="305">
                  <c:v>22.800333333333334</c:v>
                </c:pt>
                <c:pt idx="306">
                  <c:v>22.800333333333334</c:v>
                </c:pt>
                <c:pt idx="307">
                  <c:v>22.800333333333334</c:v>
                </c:pt>
                <c:pt idx="308">
                  <c:v>22.800333333333334</c:v>
                </c:pt>
                <c:pt idx="309">
                  <c:v>22.800333333333334</c:v>
                </c:pt>
                <c:pt idx="310">
                  <c:v>22.800333333333334</c:v>
                </c:pt>
                <c:pt idx="311">
                  <c:v>22.800333333333334</c:v>
                </c:pt>
                <c:pt idx="312">
                  <c:v>22.800333333333334</c:v>
                </c:pt>
                <c:pt idx="313">
                  <c:v>22.800333333333334</c:v>
                </c:pt>
                <c:pt idx="314">
                  <c:v>22.800333333333334</c:v>
                </c:pt>
                <c:pt idx="315">
                  <c:v>22.800333333333334</c:v>
                </c:pt>
                <c:pt idx="316">
                  <c:v>22.800333333333334</c:v>
                </c:pt>
                <c:pt idx="317">
                  <c:v>22.800333333333334</c:v>
                </c:pt>
                <c:pt idx="318">
                  <c:v>22.800333333333334</c:v>
                </c:pt>
                <c:pt idx="319">
                  <c:v>22.800333333333334</c:v>
                </c:pt>
                <c:pt idx="320">
                  <c:v>22.800333333333334</c:v>
                </c:pt>
                <c:pt idx="321">
                  <c:v>22.800333333333334</c:v>
                </c:pt>
                <c:pt idx="322">
                  <c:v>22.800333333333334</c:v>
                </c:pt>
                <c:pt idx="323">
                  <c:v>22.800333333333334</c:v>
                </c:pt>
                <c:pt idx="324">
                  <c:v>22.800333333333334</c:v>
                </c:pt>
                <c:pt idx="325">
                  <c:v>22.800333333333334</c:v>
                </c:pt>
                <c:pt idx="326">
                  <c:v>22.800333333333334</c:v>
                </c:pt>
                <c:pt idx="327">
                  <c:v>22.800333333333334</c:v>
                </c:pt>
                <c:pt idx="328">
                  <c:v>22.800333333333334</c:v>
                </c:pt>
                <c:pt idx="329">
                  <c:v>22.800333333333334</c:v>
                </c:pt>
                <c:pt idx="330">
                  <c:v>22.800333333333334</c:v>
                </c:pt>
                <c:pt idx="331">
                  <c:v>22.800333333333334</c:v>
                </c:pt>
                <c:pt idx="332">
                  <c:v>22.800333333333334</c:v>
                </c:pt>
                <c:pt idx="333">
                  <c:v>22.800333333333334</c:v>
                </c:pt>
                <c:pt idx="334">
                  <c:v>22.800333333333334</c:v>
                </c:pt>
                <c:pt idx="335">
                  <c:v>22.800333333333334</c:v>
                </c:pt>
                <c:pt idx="336">
                  <c:v>22.800333333333334</c:v>
                </c:pt>
                <c:pt idx="337">
                  <c:v>22.800333333333334</c:v>
                </c:pt>
                <c:pt idx="338">
                  <c:v>22.800333333333334</c:v>
                </c:pt>
                <c:pt idx="339">
                  <c:v>22.800333333333334</c:v>
                </c:pt>
                <c:pt idx="340">
                  <c:v>22.800333333333334</c:v>
                </c:pt>
                <c:pt idx="341">
                  <c:v>22.800333333333334</c:v>
                </c:pt>
                <c:pt idx="342">
                  <c:v>22.800333333333334</c:v>
                </c:pt>
                <c:pt idx="343">
                  <c:v>22.800333333333334</c:v>
                </c:pt>
                <c:pt idx="344">
                  <c:v>22.800333333333334</c:v>
                </c:pt>
                <c:pt idx="345">
                  <c:v>22.800333333333334</c:v>
                </c:pt>
                <c:pt idx="346">
                  <c:v>22.800333333333334</c:v>
                </c:pt>
                <c:pt idx="347">
                  <c:v>22.800333333333334</c:v>
                </c:pt>
                <c:pt idx="348">
                  <c:v>22.800333333333334</c:v>
                </c:pt>
                <c:pt idx="349">
                  <c:v>22.800333333333334</c:v>
                </c:pt>
                <c:pt idx="350">
                  <c:v>22.800333333333334</c:v>
                </c:pt>
                <c:pt idx="351">
                  <c:v>22.800333333333334</c:v>
                </c:pt>
                <c:pt idx="352">
                  <c:v>22.800333333333334</c:v>
                </c:pt>
                <c:pt idx="353">
                  <c:v>22.800333333333334</c:v>
                </c:pt>
                <c:pt idx="354">
                  <c:v>22.800333333333334</c:v>
                </c:pt>
                <c:pt idx="355">
                  <c:v>22.800333333333334</c:v>
                </c:pt>
                <c:pt idx="356">
                  <c:v>22.800333333333334</c:v>
                </c:pt>
                <c:pt idx="357">
                  <c:v>22.800333333333334</c:v>
                </c:pt>
                <c:pt idx="358">
                  <c:v>22.800333333333334</c:v>
                </c:pt>
                <c:pt idx="359">
                  <c:v>22.800333333333334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8D1-44BD-A847-552C5258FD53}"/>
            </c:ext>
          </c:extLst>
        </c:ser>
        <c:ser>
          <c:idx val="4"/>
          <c:order val="4"/>
          <c:tx>
            <c:v>irrigation control</c:v>
          </c:tx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dPt>
            <c:idx val="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08EC-43AB-8BB6-4FA02DB66234}"/>
              </c:ext>
            </c:extLst>
          </c:dPt>
          <c:cat>
            <c:numRef>
              <c:f>Bilan_hydrique!$A$2:$A$366</c:f>
              <c:numCache>
                <c:formatCode>m/d/yyyy</c:formatCode>
                <c:ptCount val="365"/>
                <c:pt idx="0">
                  <c:v>42050</c:v>
                </c:pt>
                <c:pt idx="1">
                  <c:v>42051</c:v>
                </c:pt>
                <c:pt idx="2">
                  <c:v>42052</c:v>
                </c:pt>
                <c:pt idx="3">
                  <c:v>42053</c:v>
                </c:pt>
                <c:pt idx="4">
                  <c:v>42054</c:v>
                </c:pt>
                <c:pt idx="5">
                  <c:v>42055</c:v>
                </c:pt>
                <c:pt idx="6">
                  <c:v>42056</c:v>
                </c:pt>
                <c:pt idx="7">
                  <c:v>42057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42063</c:v>
                </c:pt>
                <c:pt idx="14">
                  <c:v>42064</c:v>
                </c:pt>
                <c:pt idx="15">
                  <c:v>42065</c:v>
                </c:pt>
                <c:pt idx="16">
                  <c:v>42066</c:v>
                </c:pt>
                <c:pt idx="17">
                  <c:v>42067</c:v>
                </c:pt>
                <c:pt idx="18">
                  <c:v>42068</c:v>
                </c:pt>
                <c:pt idx="19">
                  <c:v>42069</c:v>
                </c:pt>
                <c:pt idx="20">
                  <c:v>42070</c:v>
                </c:pt>
                <c:pt idx="21">
                  <c:v>42071</c:v>
                </c:pt>
                <c:pt idx="22">
                  <c:v>42072</c:v>
                </c:pt>
                <c:pt idx="23">
                  <c:v>42073</c:v>
                </c:pt>
                <c:pt idx="24">
                  <c:v>42074</c:v>
                </c:pt>
                <c:pt idx="25">
                  <c:v>42075</c:v>
                </c:pt>
                <c:pt idx="26">
                  <c:v>42076</c:v>
                </c:pt>
                <c:pt idx="27">
                  <c:v>42077</c:v>
                </c:pt>
                <c:pt idx="28">
                  <c:v>42078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42084</c:v>
                </c:pt>
                <c:pt idx="35">
                  <c:v>42085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42091</c:v>
                </c:pt>
                <c:pt idx="42">
                  <c:v>42092</c:v>
                </c:pt>
                <c:pt idx="43">
                  <c:v>42093</c:v>
                </c:pt>
                <c:pt idx="44">
                  <c:v>42094</c:v>
                </c:pt>
                <c:pt idx="45">
                  <c:v>42095</c:v>
                </c:pt>
                <c:pt idx="46">
                  <c:v>42096</c:v>
                </c:pt>
                <c:pt idx="47">
                  <c:v>42097</c:v>
                </c:pt>
                <c:pt idx="48">
                  <c:v>42098</c:v>
                </c:pt>
                <c:pt idx="49">
                  <c:v>42099</c:v>
                </c:pt>
                <c:pt idx="50">
                  <c:v>42100</c:v>
                </c:pt>
                <c:pt idx="51">
                  <c:v>42101</c:v>
                </c:pt>
                <c:pt idx="52">
                  <c:v>42102</c:v>
                </c:pt>
                <c:pt idx="53">
                  <c:v>42103</c:v>
                </c:pt>
                <c:pt idx="54">
                  <c:v>42104</c:v>
                </c:pt>
                <c:pt idx="55">
                  <c:v>42105</c:v>
                </c:pt>
                <c:pt idx="56">
                  <c:v>42106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42112</c:v>
                </c:pt>
                <c:pt idx="63">
                  <c:v>42113</c:v>
                </c:pt>
                <c:pt idx="64">
                  <c:v>42114</c:v>
                </c:pt>
                <c:pt idx="65">
                  <c:v>42115</c:v>
                </c:pt>
                <c:pt idx="66">
                  <c:v>42116</c:v>
                </c:pt>
                <c:pt idx="67">
                  <c:v>42117</c:v>
                </c:pt>
                <c:pt idx="68">
                  <c:v>42118</c:v>
                </c:pt>
                <c:pt idx="69">
                  <c:v>42119</c:v>
                </c:pt>
                <c:pt idx="70">
                  <c:v>42120</c:v>
                </c:pt>
                <c:pt idx="71">
                  <c:v>42121</c:v>
                </c:pt>
                <c:pt idx="72">
                  <c:v>42122</c:v>
                </c:pt>
                <c:pt idx="73">
                  <c:v>42123</c:v>
                </c:pt>
                <c:pt idx="74">
                  <c:v>42124</c:v>
                </c:pt>
                <c:pt idx="75">
                  <c:v>42125</c:v>
                </c:pt>
                <c:pt idx="76">
                  <c:v>42126</c:v>
                </c:pt>
                <c:pt idx="77">
                  <c:v>42127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42133</c:v>
                </c:pt>
                <c:pt idx="84">
                  <c:v>42134</c:v>
                </c:pt>
                <c:pt idx="85">
                  <c:v>42135</c:v>
                </c:pt>
                <c:pt idx="86">
                  <c:v>42136</c:v>
                </c:pt>
                <c:pt idx="87">
                  <c:v>42137</c:v>
                </c:pt>
                <c:pt idx="88">
                  <c:v>42138</c:v>
                </c:pt>
                <c:pt idx="89">
                  <c:v>42139</c:v>
                </c:pt>
                <c:pt idx="90">
                  <c:v>42140</c:v>
                </c:pt>
                <c:pt idx="91">
                  <c:v>42141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42144</c:v>
                </c:pt>
                <c:pt idx="96">
                  <c:v>42144</c:v>
                </c:pt>
                <c:pt idx="97">
                  <c:v>42144</c:v>
                </c:pt>
                <c:pt idx="98">
                  <c:v>42144</c:v>
                </c:pt>
                <c:pt idx="99">
                  <c:v>42144</c:v>
                </c:pt>
                <c:pt idx="100">
                  <c:v>42144</c:v>
                </c:pt>
                <c:pt idx="101">
                  <c:v>42144</c:v>
                </c:pt>
                <c:pt idx="102">
                  <c:v>42144</c:v>
                </c:pt>
                <c:pt idx="103">
                  <c:v>42144</c:v>
                </c:pt>
                <c:pt idx="104">
                  <c:v>42144</c:v>
                </c:pt>
                <c:pt idx="105">
                  <c:v>42144</c:v>
                </c:pt>
                <c:pt idx="106">
                  <c:v>42144</c:v>
                </c:pt>
                <c:pt idx="107">
                  <c:v>42144</c:v>
                </c:pt>
                <c:pt idx="108">
                  <c:v>42144</c:v>
                </c:pt>
                <c:pt idx="109">
                  <c:v>42144</c:v>
                </c:pt>
                <c:pt idx="110">
                  <c:v>42144</c:v>
                </c:pt>
                <c:pt idx="111">
                  <c:v>42144</c:v>
                </c:pt>
                <c:pt idx="112">
                  <c:v>42144</c:v>
                </c:pt>
                <c:pt idx="113">
                  <c:v>42144</c:v>
                </c:pt>
                <c:pt idx="114">
                  <c:v>42144</c:v>
                </c:pt>
                <c:pt idx="115">
                  <c:v>42144</c:v>
                </c:pt>
                <c:pt idx="116">
                  <c:v>42144</c:v>
                </c:pt>
                <c:pt idx="117">
                  <c:v>42144</c:v>
                </c:pt>
                <c:pt idx="118">
                  <c:v>42144</c:v>
                </c:pt>
                <c:pt idx="119">
                  <c:v>42144</c:v>
                </c:pt>
                <c:pt idx="120">
                  <c:v>42144</c:v>
                </c:pt>
                <c:pt idx="121">
                  <c:v>42144</c:v>
                </c:pt>
                <c:pt idx="122">
                  <c:v>42144</c:v>
                </c:pt>
                <c:pt idx="123">
                  <c:v>42144</c:v>
                </c:pt>
                <c:pt idx="124">
                  <c:v>42144</c:v>
                </c:pt>
                <c:pt idx="125">
                  <c:v>42144</c:v>
                </c:pt>
                <c:pt idx="126">
                  <c:v>42144</c:v>
                </c:pt>
                <c:pt idx="127">
                  <c:v>42144</c:v>
                </c:pt>
                <c:pt idx="128">
                  <c:v>42144</c:v>
                </c:pt>
                <c:pt idx="129">
                  <c:v>42144</c:v>
                </c:pt>
                <c:pt idx="130">
                  <c:v>42144</c:v>
                </c:pt>
                <c:pt idx="131">
                  <c:v>42144</c:v>
                </c:pt>
                <c:pt idx="132">
                  <c:v>42144</c:v>
                </c:pt>
                <c:pt idx="133">
                  <c:v>42144</c:v>
                </c:pt>
                <c:pt idx="134">
                  <c:v>42144</c:v>
                </c:pt>
                <c:pt idx="135">
                  <c:v>42144</c:v>
                </c:pt>
                <c:pt idx="136">
                  <c:v>42144</c:v>
                </c:pt>
                <c:pt idx="137">
                  <c:v>42144</c:v>
                </c:pt>
                <c:pt idx="138">
                  <c:v>42144</c:v>
                </c:pt>
                <c:pt idx="139">
                  <c:v>42144</c:v>
                </c:pt>
                <c:pt idx="140">
                  <c:v>42144</c:v>
                </c:pt>
                <c:pt idx="141">
                  <c:v>42144</c:v>
                </c:pt>
                <c:pt idx="142">
                  <c:v>42144</c:v>
                </c:pt>
                <c:pt idx="143">
                  <c:v>42144</c:v>
                </c:pt>
                <c:pt idx="144">
                  <c:v>42144</c:v>
                </c:pt>
                <c:pt idx="145">
                  <c:v>42144</c:v>
                </c:pt>
                <c:pt idx="146">
                  <c:v>42144</c:v>
                </c:pt>
                <c:pt idx="147">
                  <c:v>42144</c:v>
                </c:pt>
                <c:pt idx="148">
                  <c:v>42144</c:v>
                </c:pt>
                <c:pt idx="149">
                  <c:v>42144</c:v>
                </c:pt>
                <c:pt idx="150">
                  <c:v>42144</c:v>
                </c:pt>
                <c:pt idx="151">
                  <c:v>42144</c:v>
                </c:pt>
                <c:pt idx="152">
                  <c:v>42144</c:v>
                </c:pt>
                <c:pt idx="153">
                  <c:v>42144</c:v>
                </c:pt>
                <c:pt idx="154">
                  <c:v>42144</c:v>
                </c:pt>
                <c:pt idx="155">
                  <c:v>42144</c:v>
                </c:pt>
                <c:pt idx="156">
                  <c:v>42144</c:v>
                </c:pt>
                <c:pt idx="157">
                  <c:v>42144</c:v>
                </c:pt>
                <c:pt idx="158">
                  <c:v>42144</c:v>
                </c:pt>
                <c:pt idx="159">
                  <c:v>42144</c:v>
                </c:pt>
                <c:pt idx="160">
                  <c:v>42144</c:v>
                </c:pt>
                <c:pt idx="161">
                  <c:v>42144</c:v>
                </c:pt>
                <c:pt idx="162">
                  <c:v>42144</c:v>
                </c:pt>
                <c:pt idx="163">
                  <c:v>42144</c:v>
                </c:pt>
                <c:pt idx="164">
                  <c:v>42144</c:v>
                </c:pt>
                <c:pt idx="165">
                  <c:v>42144</c:v>
                </c:pt>
                <c:pt idx="166">
                  <c:v>42144</c:v>
                </c:pt>
                <c:pt idx="167">
                  <c:v>42144</c:v>
                </c:pt>
                <c:pt idx="168">
                  <c:v>42144</c:v>
                </c:pt>
                <c:pt idx="169">
                  <c:v>42144</c:v>
                </c:pt>
                <c:pt idx="170">
                  <c:v>42144</c:v>
                </c:pt>
                <c:pt idx="171">
                  <c:v>42144</c:v>
                </c:pt>
                <c:pt idx="172">
                  <c:v>42144</c:v>
                </c:pt>
                <c:pt idx="173">
                  <c:v>42144</c:v>
                </c:pt>
                <c:pt idx="174">
                  <c:v>42144</c:v>
                </c:pt>
                <c:pt idx="175">
                  <c:v>42144</c:v>
                </c:pt>
                <c:pt idx="176">
                  <c:v>42144</c:v>
                </c:pt>
                <c:pt idx="177">
                  <c:v>42144</c:v>
                </c:pt>
                <c:pt idx="178">
                  <c:v>42144</c:v>
                </c:pt>
                <c:pt idx="179">
                  <c:v>42144</c:v>
                </c:pt>
                <c:pt idx="180">
                  <c:v>42144</c:v>
                </c:pt>
                <c:pt idx="181">
                  <c:v>42144</c:v>
                </c:pt>
                <c:pt idx="182">
                  <c:v>42144</c:v>
                </c:pt>
                <c:pt idx="183">
                  <c:v>42144</c:v>
                </c:pt>
                <c:pt idx="184">
                  <c:v>42144</c:v>
                </c:pt>
                <c:pt idx="185">
                  <c:v>42144</c:v>
                </c:pt>
                <c:pt idx="186">
                  <c:v>42144</c:v>
                </c:pt>
                <c:pt idx="187">
                  <c:v>42144</c:v>
                </c:pt>
                <c:pt idx="188">
                  <c:v>42144</c:v>
                </c:pt>
                <c:pt idx="189">
                  <c:v>42144</c:v>
                </c:pt>
                <c:pt idx="190">
                  <c:v>42144</c:v>
                </c:pt>
                <c:pt idx="191">
                  <c:v>42144</c:v>
                </c:pt>
                <c:pt idx="192">
                  <c:v>42144</c:v>
                </c:pt>
                <c:pt idx="193">
                  <c:v>42144</c:v>
                </c:pt>
                <c:pt idx="194">
                  <c:v>42144</c:v>
                </c:pt>
                <c:pt idx="195">
                  <c:v>42144</c:v>
                </c:pt>
                <c:pt idx="196">
                  <c:v>42144</c:v>
                </c:pt>
                <c:pt idx="197">
                  <c:v>42144</c:v>
                </c:pt>
                <c:pt idx="198">
                  <c:v>42144</c:v>
                </c:pt>
                <c:pt idx="199">
                  <c:v>42144</c:v>
                </c:pt>
                <c:pt idx="200">
                  <c:v>42144</c:v>
                </c:pt>
                <c:pt idx="201">
                  <c:v>42144</c:v>
                </c:pt>
                <c:pt idx="202">
                  <c:v>42144</c:v>
                </c:pt>
                <c:pt idx="203">
                  <c:v>42144</c:v>
                </c:pt>
                <c:pt idx="204">
                  <c:v>42144</c:v>
                </c:pt>
                <c:pt idx="205">
                  <c:v>42144</c:v>
                </c:pt>
                <c:pt idx="206">
                  <c:v>42144</c:v>
                </c:pt>
                <c:pt idx="207">
                  <c:v>42144</c:v>
                </c:pt>
                <c:pt idx="208">
                  <c:v>42144</c:v>
                </c:pt>
                <c:pt idx="209">
                  <c:v>42144</c:v>
                </c:pt>
                <c:pt idx="210">
                  <c:v>42144</c:v>
                </c:pt>
                <c:pt idx="211">
                  <c:v>42144</c:v>
                </c:pt>
                <c:pt idx="212">
                  <c:v>42144</c:v>
                </c:pt>
                <c:pt idx="213">
                  <c:v>42144</c:v>
                </c:pt>
                <c:pt idx="214">
                  <c:v>42144</c:v>
                </c:pt>
                <c:pt idx="215">
                  <c:v>42144</c:v>
                </c:pt>
                <c:pt idx="216">
                  <c:v>42144</c:v>
                </c:pt>
                <c:pt idx="217">
                  <c:v>42144</c:v>
                </c:pt>
                <c:pt idx="218">
                  <c:v>42144</c:v>
                </c:pt>
                <c:pt idx="219">
                  <c:v>42144</c:v>
                </c:pt>
                <c:pt idx="220">
                  <c:v>42144</c:v>
                </c:pt>
                <c:pt idx="221">
                  <c:v>42144</c:v>
                </c:pt>
                <c:pt idx="222">
                  <c:v>42144</c:v>
                </c:pt>
                <c:pt idx="223">
                  <c:v>42144</c:v>
                </c:pt>
                <c:pt idx="224">
                  <c:v>42144</c:v>
                </c:pt>
                <c:pt idx="225">
                  <c:v>42144</c:v>
                </c:pt>
                <c:pt idx="226">
                  <c:v>42144</c:v>
                </c:pt>
                <c:pt idx="227">
                  <c:v>42144</c:v>
                </c:pt>
                <c:pt idx="228">
                  <c:v>42144</c:v>
                </c:pt>
                <c:pt idx="229">
                  <c:v>42144</c:v>
                </c:pt>
                <c:pt idx="230">
                  <c:v>42144</c:v>
                </c:pt>
                <c:pt idx="231">
                  <c:v>42144</c:v>
                </c:pt>
                <c:pt idx="232">
                  <c:v>42144</c:v>
                </c:pt>
                <c:pt idx="233">
                  <c:v>42144</c:v>
                </c:pt>
                <c:pt idx="234">
                  <c:v>42144</c:v>
                </c:pt>
                <c:pt idx="235">
                  <c:v>42144</c:v>
                </c:pt>
                <c:pt idx="236">
                  <c:v>42144</c:v>
                </c:pt>
                <c:pt idx="237">
                  <c:v>42144</c:v>
                </c:pt>
                <c:pt idx="238">
                  <c:v>42144</c:v>
                </c:pt>
                <c:pt idx="239">
                  <c:v>42144</c:v>
                </c:pt>
                <c:pt idx="240">
                  <c:v>42144</c:v>
                </c:pt>
                <c:pt idx="241">
                  <c:v>42144</c:v>
                </c:pt>
                <c:pt idx="242">
                  <c:v>42144</c:v>
                </c:pt>
                <c:pt idx="243">
                  <c:v>42144</c:v>
                </c:pt>
                <c:pt idx="244">
                  <c:v>42144</c:v>
                </c:pt>
                <c:pt idx="245">
                  <c:v>42144</c:v>
                </c:pt>
                <c:pt idx="246">
                  <c:v>42144</c:v>
                </c:pt>
                <c:pt idx="247">
                  <c:v>42144</c:v>
                </c:pt>
                <c:pt idx="248">
                  <c:v>42144</c:v>
                </c:pt>
                <c:pt idx="249">
                  <c:v>42144</c:v>
                </c:pt>
                <c:pt idx="250">
                  <c:v>42144</c:v>
                </c:pt>
                <c:pt idx="251">
                  <c:v>42144</c:v>
                </c:pt>
                <c:pt idx="252">
                  <c:v>42144</c:v>
                </c:pt>
                <c:pt idx="253">
                  <c:v>42144</c:v>
                </c:pt>
                <c:pt idx="254">
                  <c:v>42144</c:v>
                </c:pt>
                <c:pt idx="255">
                  <c:v>42144</c:v>
                </c:pt>
                <c:pt idx="256">
                  <c:v>42144</c:v>
                </c:pt>
                <c:pt idx="257">
                  <c:v>42144</c:v>
                </c:pt>
                <c:pt idx="258">
                  <c:v>42144</c:v>
                </c:pt>
                <c:pt idx="259">
                  <c:v>42144</c:v>
                </c:pt>
                <c:pt idx="260">
                  <c:v>42144</c:v>
                </c:pt>
                <c:pt idx="261">
                  <c:v>42144</c:v>
                </c:pt>
                <c:pt idx="262">
                  <c:v>42144</c:v>
                </c:pt>
                <c:pt idx="263">
                  <c:v>42144</c:v>
                </c:pt>
                <c:pt idx="264">
                  <c:v>42144</c:v>
                </c:pt>
                <c:pt idx="265">
                  <c:v>42144</c:v>
                </c:pt>
                <c:pt idx="266">
                  <c:v>42144</c:v>
                </c:pt>
                <c:pt idx="267">
                  <c:v>42144</c:v>
                </c:pt>
                <c:pt idx="268">
                  <c:v>42144</c:v>
                </c:pt>
                <c:pt idx="269">
                  <c:v>42144</c:v>
                </c:pt>
                <c:pt idx="270">
                  <c:v>42144</c:v>
                </c:pt>
                <c:pt idx="271">
                  <c:v>42144</c:v>
                </c:pt>
                <c:pt idx="272">
                  <c:v>42144</c:v>
                </c:pt>
                <c:pt idx="273">
                  <c:v>42144</c:v>
                </c:pt>
                <c:pt idx="274">
                  <c:v>42144</c:v>
                </c:pt>
                <c:pt idx="275">
                  <c:v>42144</c:v>
                </c:pt>
                <c:pt idx="276">
                  <c:v>42144</c:v>
                </c:pt>
                <c:pt idx="277">
                  <c:v>42144</c:v>
                </c:pt>
                <c:pt idx="278">
                  <c:v>42144</c:v>
                </c:pt>
                <c:pt idx="279">
                  <c:v>42144</c:v>
                </c:pt>
                <c:pt idx="280">
                  <c:v>42144</c:v>
                </c:pt>
                <c:pt idx="281">
                  <c:v>42144</c:v>
                </c:pt>
                <c:pt idx="282">
                  <c:v>42144</c:v>
                </c:pt>
                <c:pt idx="283">
                  <c:v>42144</c:v>
                </c:pt>
                <c:pt idx="284">
                  <c:v>42144</c:v>
                </c:pt>
                <c:pt idx="285">
                  <c:v>42144</c:v>
                </c:pt>
                <c:pt idx="286">
                  <c:v>42144</c:v>
                </c:pt>
                <c:pt idx="287">
                  <c:v>42144</c:v>
                </c:pt>
                <c:pt idx="288">
                  <c:v>42144</c:v>
                </c:pt>
                <c:pt idx="289">
                  <c:v>42144</c:v>
                </c:pt>
                <c:pt idx="290">
                  <c:v>42144</c:v>
                </c:pt>
                <c:pt idx="291">
                  <c:v>42144</c:v>
                </c:pt>
                <c:pt idx="292">
                  <c:v>42144</c:v>
                </c:pt>
                <c:pt idx="293">
                  <c:v>42144</c:v>
                </c:pt>
                <c:pt idx="294">
                  <c:v>42144</c:v>
                </c:pt>
                <c:pt idx="295">
                  <c:v>42144</c:v>
                </c:pt>
                <c:pt idx="296">
                  <c:v>42144</c:v>
                </c:pt>
                <c:pt idx="297">
                  <c:v>42144</c:v>
                </c:pt>
                <c:pt idx="298">
                  <c:v>42144</c:v>
                </c:pt>
                <c:pt idx="299">
                  <c:v>42144</c:v>
                </c:pt>
                <c:pt idx="300">
                  <c:v>42144</c:v>
                </c:pt>
                <c:pt idx="301">
                  <c:v>42144</c:v>
                </c:pt>
                <c:pt idx="302">
                  <c:v>42144</c:v>
                </c:pt>
                <c:pt idx="303">
                  <c:v>42144</c:v>
                </c:pt>
                <c:pt idx="304">
                  <c:v>42144</c:v>
                </c:pt>
                <c:pt idx="305">
                  <c:v>42144</c:v>
                </c:pt>
                <c:pt idx="306">
                  <c:v>42144</c:v>
                </c:pt>
                <c:pt idx="307">
                  <c:v>42144</c:v>
                </c:pt>
                <c:pt idx="308">
                  <c:v>42144</c:v>
                </c:pt>
                <c:pt idx="309">
                  <c:v>42144</c:v>
                </c:pt>
                <c:pt idx="310">
                  <c:v>42144</c:v>
                </c:pt>
                <c:pt idx="311">
                  <c:v>42144</c:v>
                </c:pt>
                <c:pt idx="312">
                  <c:v>42144</c:v>
                </c:pt>
                <c:pt idx="313">
                  <c:v>42144</c:v>
                </c:pt>
                <c:pt idx="314">
                  <c:v>42144</c:v>
                </c:pt>
                <c:pt idx="315">
                  <c:v>42144</c:v>
                </c:pt>
                <c:pt idx="316">
                  <c:v>42144</c:v>
                </c:pt>
                <c:pt idx="317">
                  <c:v>42144</c:v>
                </c:pt>
                <c:pt idx="318">
                  <c:v>42144</c:v>
                </c:pt>
                <c:pt idx="319">
                  <c:v>42144</c:v>
                </c:pt>
                <c:pt idx="320">
                  <c:v>42144</c:v>
                </c:pt>
                <c:pt idx="321">
                  <c:v>42144</c:v>
                </c:pt>
                <c:pt idx="322">
                  <c:v>42144</c:v>
                </c:pt>
                <c:pt idx="323">
                  <c:v>42144</c:v>
                </c:pt>
                <c:pt idx="324">
                  <c:v>42144</c:v>
                </c:pt>
                <c:pt idx="325">
                  <c:v>42144</c:v>
                </c:pt>
                <c:pt idx="326">
                  <c:v>42144</c:v>
                </c:pt>
                <c:pt idx="327">
                  <c:v>42144</c:v>
                </c:pt>
                <c:pt idx="328">
                  <c:v>42144</c:v>
                </c:pt>
                <c:pt idx="329">
                  <c:v>42144</c:v>
                </c:pt>
                <c:pt idx="330">
                  <c:v>42144</c:v>
                </c:pt>
                <c:pt idx="331">
                  <c:v>42144</c:v>
                </c:pt>
                <c:pt idx="332">
                  <c:v>42144</c:v>
                </c:pt>
                <c:pt idx="333">
                  <c:v>42144</c:v>
                </c:pt>
                <c:pt idx="334">
                  <c:v>42144</c:v>
                </c:pt>
                <c:pt idx="335">
                  <c:v>42144</c:v>
                </c:pt>
                <c:pt idx="336">
                  <c:v>42144</c:v>
                </c:pt>
                <c:pt idx="337">
                  <c:v>42144</c:v>
                </c:pt>
                <c:pt idx="338">
                  <c:v>42144</c:v>
                </c:pt>
                <c:pt idx="339">
                  <c:v>42144</c:v>
                </c:pt>
                <c:pt idx="340">
                  <c:v>42144</c:v>
                </c:pt>
                <c:pt idx="341">
                  <c:v>42144</c:v>
                </c:pt>
                <c:pt idx="342">
                  <c:v>42144</c:v>
                </c:pt>
                <c:pt idx="343">
                  <c:v>42144</c:v>
                </c:pt>
                <c:pt idx="344">
                  <c:v>42144</c:v>
                </c:pt>
                <c:pt idx="345">
                  <c:v>42144</c:v>
                </c:pt>
                <c:pt idx="346">
                  <c:v>42144</c:v>
                </c:pt>
                <c:pt idx="347">
                  <c:v>42144</c:v>
                </c:pt>
                <c:pt idx="348">
                  <c:v>42144</c:v>
                </c:pt>
                <c:pt idx="349">
                  <c:v>42144</c:v>
                </c:pt>
                <c:pt idx="350">
                  <c:v>42144</c:v>
                </c:pt>
                <c:pt idx="351">
                  <c:v>42144</c:v>
                </c:pt>
                <c:pt idx="352">
                  <c:v>42144</c:v>
                </c:pt>
                <c:pt idx="353">
                  <c:v>42144</c:v>
                </c:pt>
                <c:pt idx="354">
                  <c:v>42144</c:v>
                </c:pt>
                <c:pt idx="355">
                  <c:v>42144</c:v>
                </c:pt>
                <c:pt idx="356">
                  <c:v>42144</c:v>
                </c:pt>
                <c:pt idx="357">
                  <c:v>42144</c:v>
                </c:pt>
                <c:pt idx="358">
                  <c:v>42144</c:v>
                </c:pt>
                <c:pt idx="359">
                  <c:v>42144</c:v>
                </c:pt>
                <c:pt idx="360">
                  <c:v>42144</c:v>
                </c:pt>
                <c:pt idx="361">
                  <c:v>42144</c:v>
                </c:pt>
                <c:pt idx="362">
                  <c:v>42144</c:v>
                </c:pt>
                <c:pt idx="363">
                  <c:v>42144</c:v>
                </c:pt>
                <c:pt idx="364">
                  <c:v>42144</c:v>
                </c:pt>
              </c:numCache>
            </c:numRef>
          </c:cat>
          <c:val>
            <c:numRef>
              <c:f>Bilan_hydrique!$L$2:$L$366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EC-43AB-8BB6-4FA02DB66234}"/>
            </c:ext>
          </c:extLst>
        </c:ser>
        <c:ser>
          <c:idx val="5"/>
          <c:order val="5"/>
          <c:tx>
            <c:v>irrigation AV</c:v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Bilan_hydrique!$Q$2:$Q$366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EC-43AB-8BB6-4FA02DB66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8522271"/>
        <c:axId val="2128518431"/>
      </c:lineChart>
      <c:dateAx>
        <c:axId val="2128522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28518431"/>
        <c:crosses val="autoZero"/>
        <c:auto val="1"/>
        <c:lblOffset val="100"/>
        <c:baseTimeUnit val="days"/>
      </c:dateAx>
      <c:valAx>
        <c:axId val="212851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Available water </a:t>
                </a:r>
                <a:r>
                  <a:rPr lang="fr-FR" baseline="0"/>
                  <a:t>(mm)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28522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345090187129799"/>
          <c:y val="0.34573321600814327"/>
          <c:w val="0.17654909812870193"/>
          <c:h val="0.35840968808018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de l'eau utile avec ou sans installation photovoltaïque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916658551460344E-2"/>
          <c:y val="0.1131182811283621"/>
          <c:w val="0.77452506727798265"/>
          <c:h val="0.67527497249438295"/>
        </c:manualLayout>
      </c:layout>
      <c:lineChart>
        <c:grouping val="standard"/>
        <c:varyColors val="0"/>
        <c:ser>
          <c:idx val="0"/>
          <c:order val="0"/>
          <c:tx>
            <c:v>Contrôle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BH_Mois!$A$2:$A$366</c:f>
              <c:numCache>
                <c:formatCode>m/d/yyyy</c:formatCode>
                <c:ptCount val="365"/>
                <c:pt idx="0">
                  <c:v>42215</c:v>
                </c:pt>
                <c:pt idx="1">
                  <c:v>42216</c:v>
                </c:pt>
                <c:pt idx="2">
                  <c:v>42217</c:v>
                </c:pt>
                <c:pt idx="3">
                  <c:v>42218</c:v>
                </c:pt>
                <c:pt idx="4">
                  <c:v>42219</c:v>
                </c:pt>
                <c:pt idx="5">
                  <c:v>42220</c:v>
                </c:pt>
                <c:pt idx="6">
                  <c:v>42221</c:v>
                </c:pt>
                <c:pt idx="7">
                  <c:v>42222</c:v>
                </c:pt>
                <c:pt idx="8">
                  <c:v>42223</c:v>
                </c:pt>
                <c:pt idx="9">
                  <c:v>42224</c:v>
                </c:pt>
                <c:pt idx="10">
                  <c:v>42225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42229</c:v>
                </c:pt>
                <c:pt idx="16">
                  <c:v>42229</c:v>
                </c:pt>
                <c:pt idx="17">
                  <c:v>42229</c:v>
                </c:pt>
                <c:pt idx="18">
                  <c:v>42229</c:v>
                </c:pt>
                <c:pt idx="19">
                  <c:v>42229</c:v>
                </c:pt>
                <c:pt idx="20">
                  <c:v>42229</c:v>
                </c:pt>
                <c:pt idx="21">
                  <c:v>42229</c:v>
                </c:pt>
                <c:pt idx="22">
                  <c:v>42229</c:v>
                </c:pt>
                <c:pt idx="23">
                  <c:v>42229</c:v>
                </c:pt>
                <c:pt idx="24">
                  <c:v>42229</c:v>
                </c:pt>
                <c:pt idx="25">
                  <c:v>42229</c:v>
                </c:pt>
                <c:pt idx="26">
                  <c:v>42229</c:v>
                </c:pt>
                <c:pt idx="27">
                  <c:v>42229</c:v>
                </c:pt>
                <c:pt idx="28">
                  <c:v>42229</c:v>
                </c:pt>
                <c:pt idx="29">
                  <c:v>42229</c:v>
                </c:pt>
                <c:pt idx="30">
                  <c:v>42229</c:v>
                </c:pt>
                <c:pt idx="31">
                  <c:v>42229</c:v>
                </c:pt>
                <c:pt idx="32">
                  <c:v>42229</c:v>
                </c:pt>
                <c:pt idx="33">
                  <c:v>42229</c:v>
                </c:pt>
                <c:pt idx="34">
                  <c:v>42229</c:v>
                </c:pt>
                <c:pt idx="35">
                  <c:v>42229</c:v>
                </c:pt>
                <c:pt idx="36">
                  <c:v>42229</c:v>
                </c:pt>
                <c:pt idx="37">
                  <c:v>42229</c:v>
                </c:pt>
                <c:pt idx="38">
                  <c:v>42229</c:v>
                </c:pt>
                <c:pt idx="39">
                  <c:v>42229</c:v>
                </c:pt>
                <c:pt idx="40">
                  <c:v>42229</c:v>
                </c:pt>
                <c:pt idx="41">
                  <c:v>42229</c:v>
                </c:pt>
                <c:pt idx="42">
                  <c:v>42229</c:v>
                </c:pt>
                <c:pt idx="43">
                  <c:v>42229</c:v>
                </c:pt>
                <c:pt idx="44">
                  <c:v>42229</c:v>
                </c:pt>
                <c:pt idx="45">
                  <c:v>42229</c:v>
                </c:pt>
                <c:pt idx="46">
                  <c:v>42229</c:v>
                </c:pt>
                <c:pt idx="47">
                  <c:v>42229</c:v>
                </c:pt>
                <c:pt idx="48">
                  <c:v>42229</c:v>
                </c:pt>
                <c:pt idx="49">
                  <c:v>42229</c:v>
                </c:pt>
                <c:pt idx="50">
                  <c:v>42229</c:v>
                </c:pt>
                <c:pt idx="51">
                  <c:v>42229</c:v>
                </c:pt>
                <c:pt idx="52">
                  <c:v>42229</c:v>
                </c:pt>
                <c:pt idx="53">
                  <c:v>42229</c:v>
                </c:pt>
                <c:pt idx="54">
                  <c:v>42229</c:v>
                </c:pt>
                <c:pt idx="55">
                  <c:v>42229</c:v>
                </c:pt>
                <c:pt idx="56">
                  <c:v>42229</c:v>
                </c:pt>
                <c:pt idx="57">
                  <c:v>42229</c:v>
                </c:pt>
                <c:pt idx="58">
                  <c:v>42229</c:v>
                </c:pt>
                <c:pt idx="59">
                  <c:v>42229</c:v>
                </c:pt>
                <c:pt idx="60">
                  <c:v>42229</c:v>
                </c:pt>
                <c:pt idx="61">
                  <c:v>42229</c:v>
                </c:pt>
                <c:pt idx="62">
                  <c:v>42229</c:v>
                </c:pt>
                <c:pt idx="63">
                  <c:v>42229</c:v>
                </c:pt>
                <c:pt idx="64">
                  <c:v>42229</c:v>
                </c:pt>
                <c:pt idx="65">
                  <c:v>42229</c:v>
                </c:pt>
                <c:pt idx="66">
                  <c:v>42229</c:v>
                </c:pt>
                <c:pt idx="67">
                  <c:v>42229</c:v>
                </c:pt>
                <c:pt idx="68">
                  <c:v>42229</c:v>
                </c:pt>
                <c:pt idx="69">
                  <c:v>42229</c:v>
                </c:pt>
                <c:pt idx="70">
                  <c:v>42229</c:v>
                </c:pt>
                <c:pt idx="71">
                  <c:v>42229</c:v>
                </c:pt>
                <c:pt idx="72">
                  <c:v>42229</c:v>
                </c:pt>
                <c:pt idx="73">
                  <c:v>42229</c:v>
                </c:pt>
                <c:pt idx="74">
                  <c:v>42229</c:v>
                </c:pt>
                <c:pt idx="75">
                  <c:v>42229</c:v>
                </c:pt>
                <c:pt idx="76">
                  <c:v>42229</c:v>
                </c:pt>
                <c:pt idx="77">
                  <c:v>42229</c:v>
                </c:pt>
                <c:pt idx="78">
                  <c:v>42229</c:v>
                </c:pt>
                <c:pt idx="79">
                  <c:v>42229</c:v>
                </c:pt>
                <c:pt idx="80">
                  <c:v>42229</c:v>
                </c:pt>
                <c:pt idx="81">
                  <c:v>42229</c:v>
                </c:pt>
                <c:pt idx="82">
                  <c:v>42229</c:v>
                </c:pt>
                <c:pt idx="83">
                  <c:v>42229</c:v>
                </c:pt>
                <c:pt idx="84">
                  <c:v>42229</c:v>
                </c:pt>
                <c:pt idx="85">
                  <c:v>42229</c:v>
                </c:pt>
                <c:pt idx="86">
                  <c:v>42229</c:v>
                </c:pt>
                <c:pt idx="87">
                  <c:v>42229</c:v>
                </c:pt>
                <c:pt idx="88">
                  <c:v>42229</c:v>
                </c:pt>
                <c:pt idx="89">
                  <c:v>42229</c:v>
                </c:pt>
                <c:pt idx="90">
                  <c:v>42229</c:v>
                </c:pt>
                <c:pt idx="91">
                  <c:v>42229</c:v>
                </c:pt>
                <c:pt idx="92">
                  <c:v>42229</c:v>
                </c:pt>
                <c:pt idx="93">
                  <c:v>42229</c:v>
                </c:pt>
                <c:pt idx="94">
                  <c:v>42229</c:v>
                </c:pt>
                <c:pt idx="95">
                  <c:v>42229</c:v>
                </c:pt>
                <c:pt idx="96">
                  <c:v>42229</c:v>
                </c:pt>
                <c:pt idx="97">
                  <c:v>42229</c:v>
                </c:pt>
                <c:pt idx="98">
                  <c:v>42229</c:v>
                </c:pt>
                <c:pt idx="99">
                  <c:v>42229</c:v>
                </c:pt>
                <c:pt idx="100">
                  <c:v>42229</c:v>
                </c:pt>
                <c:pt idx="101">
                  <c:v>42229</c:v>
                </c:pt>
                <c:pt idx="102">
                  <c:v>42229</c:v>
                </c:pt>
                <c:pt idx="103">
                  <c:v>42229</c:v>
                </c:pt>
                <c:pt idx="104">
                  <c:v>42229</c:v>
                </c:pt>
                <c:pt idx="105">
                  <c:v>42229</c:v>
                </c:pt>
                <c:pt idx="106">
                  <c:v>42229</c:v>
                </c:pt>
                <c:pt idx="107">
                  <c:v>42229</c:v>
                </c:pt>
                <c:pt idx="108">
                  <c:v>42229</c:v>
                </c:pt>
                <c:pt idx="109">
                  <c:v>42229</c:v>
                </c:pt>
                <c:pt idx="110">
                  <c:v>42229</c:v>
                </c:pt>
                <c:pt idx="111">
                  <c:v>42229</c:v>
                </c:pt>
                <c:pt idx="112">
                  <c:v>42229</c:v>
                </c:pt>
                <c:pt idx="113">
                  <c:v>42229</c:v>
                </c:pt>
                <c:pt idx="114">
                  <c:v>42229</c:v>
                </c:pt>
                <c:pt idx="115">
                  <c:v>42229</c:v>
                </c:pt>
                <c:pt idx="116">
                  <c:v>42229</c:v>
                </c:pt>
                <c:pt idx="117">
                  <c:v>42229</c:v>
                </c:pt>
                <c:pt idx="118">
                  <c:v>42229</c:v>
                </c:pt>
                <c:pt idx="119">
                  <c:v>42229</c:v>
                </c:pt>
                <c:pt idx="120">
                  <c:v>42229</c:v>
                </c:pt>
                <c:pt idx="121">
                  <c:v>42229</c:v>
                </c:pt>
                <c:pt idx="122">
                  <c:v>42229</c:v>
                </c:pt>
                <c:pt idx="123">
                  <c:v>42229</c:v>
                </c:pt>
                <c:pt idx="124">
                  <c:v>42229</c:v>
                </c:pt>
                <c:pt idx="125">
                  <c:v>42229</c:v>
                </c:pt>
                <c:pt idx="126">
                  <c:v>42229</c:v>
                </c:pt>
                <c:pt idx="127">
                  <c:v>42229</c:v>
                </c:pt>
                <c:pt idx="128">
                  <c:v>42229</c:v>
                </c:pt>
                <c:pt idx="129">
                  <c:v>42229</c:v>
                </c:pt>
                <c:pt idx="130">
                  <c:v>42229</c:v>
                </c:pt>
                <c:pt idx="131">
                  <c:v>42229</c:v>
                </c:pt>
                <c:pt idx="132">
                  <c:v>42229</c:v>
                </c:pt>
                <c:pt idx="133">
                  <c:v>42229</c:v>
                </c:pt>
                <c:pt idx="134">
                  <c:v>42229</c:v>
                </c:pt>
                <c:pt idx="135">
                  <c:v>42229</c:v>
                </c:pt>
                <c:pt idx="136">
                  <c:v>42229</c:v>
                </c:pt>
                <c:pt idx="137">
                  <c:v>42229</c:v>
                </c:pt>
                <c:pt idx="138">
                  <c:v>42229</c:v>
                </c:pt>
                <c:pt idx="139">
                  <c:v>42229</c:v>
                </c:pt>
                <c:pt idx="140">
                  <c:v>42229</c:v>
                </c:pt>
                <c:pt idx="141">
                  <c:v>42229</c:v>
                </c:pt>
                <c:pt idx="142">
                  <c:v>42229</c:v>
                </c:pt>
                <c:pt idx="143">
                  <c:v>42229</c:v>
                </c:pt>
                <c:pt idx="144">
                  <c:v>42229</c:v>
                </c:pt>
                <c:pt idx="145">
                  <c:v>42229</c:v>
                </c:pt>
                <c:pt idx="146">
                  <c:v>42229</c:v>
                </c:pt>
                <c:pt idx="147">
                  <c:v>42229</c:v>
                </c:pt>
                <c:pt idx="148">
                  <c:v>42229</c:v>
                </c:pt>
                <c:pt idx="149">
                  <c:v>42229</c:v>
                </c:pt>
                <c:pt idx="150">
                  <c:v>42229</c:v>
                </c:pt>
                <c:pt idx="151">
                  <c:v>42229</c:v>
                </c:pt>
                <c:pt idx="152">
                  <c:v>42229</c:v>
                </c:pt>
                <c:pt idx="153">
                  <c:v>42229</c:v>
                </c:pt>
                <c:pt idx="154">
                  <c:v>42229</c:v>
                </c:pt>
                <c:pt idx="155">
                  <c:v>42229</c:v>
                </c:pt>
                <c:pt idx="156">
                  <c:v>42229</c:v>
                </c:pt>
                <c:pt idx="157">
                  <c:v>42229</c:v>
                </c:pt>
                <c:pt idx="158">
                  <c:v>42229</c:v>
                </c:pt>
                <c:pt idx="159">
                  <c:v>42229</c:v>
                </c:pt>
                <c:pt idx="160">
                  <c:v>42229</c:v>
                </c:pt>
                <c:pt idx="161">
                  <c:v>42229</c:v>
                </c:pt>
                <c:pt idx="162">
                  <c:v>42229</c:v>
                </c:pt>
                <c:pt idx="163">
                  <c:v>42229</c:v>
                </c:pt>
                <c:pt idx="164">
                  <c:v>42229</c:v>
                </c:pt>
                <c:pt idx="165">
                  <c:v>42229</c:v>
                </c:pt>
                <c:pt idx="166">
                  <c:v>42229</c:v>
                </c:pt>
                <c:pt idx="167">
                  <c:v>42229</c:v>
                </c:pt>
                <c:pt idx="168">
                  <c:v>42229</c:v>
                </c:pt>
                <c:pt idx="169">
                  <c:v>42229</c:v>
                </c:pt>
                <c:pt idx="170">
                  <c:v>42229</c:v>
                </c:pt>
                <c:pt idx="171">
                  <c:v>42229</c:v>
                </c:pt>
                <c:pt idx="172">
                  <c:v>42229</c:v>
                </c:pt>
                <c:pt idx="173">
                  <c:v>42229</c:v>
                </c:pt>
                <c:pt idx="174">
                  <c:v>42229</c:v>
                </c:pt>
                <c:pt idx="175">
                  <c:v>42229</c:v>
                </c:pt>
                <c:pt idx="176">
                  <c:v>42229</c:v>
                </c:pt>
                <c:pt idx="177">
                  <c:v>42229</c:v>
                </c:pt>
                <c:pt idx="178">
                  <c:v>42229</c:v>
                </c:pt>
                <c:pt idx="179">
                  <c:v>42229</c:v>
                </c:pt>
                <c:pt idx="180">
                  <c:v>42229</c:v>
                </c:pt>
                <c:pt idx="181">
                  <c:v>42229</c:v>
                </c:pt>
                <c:pt idx="182">
                  <c:v>42229</c:v>
                </c:pt>
                <c:pt idx="183">
                  <c:v>42229</c:v>
                </c:pt>
                <c:pt idx="184">
                  <c:v>42229</c:v>
                </c:pt>
                <c:pt idx="185">
                  <c:v>42229</c:v>
                </c:pt>
                <c:pt idx="186">
                  <c:v>42229</c:v>
                </c:pt>
                <c:pt idx="187">
                  <c:v>42229</c:v>
                </c:pt>
                <c:pt idx="188">
                  <c:v>42229</c:v>
                </c:pt>
                <c:pt idx="189">
                  <c:v>42229</c:v>
                </c:pt>
                <c:pt idx="190">
                  <c:v>42229</c:v>
                </c:pt>
                <c:pt idx="191">
                  <c:v>42229</c:v>
                </c:pt>
                <c:pt idx="192">
                  <c:v>42229</c:v>
                </c:pt>
                <c:pt idx="193">
                  <c:v>42229</c:v>
                </c:pt>
                <c:pt idx="194">
                  <c:v>42229</c:v>
                </c:pt>
                <c:pt idx="195">
                  <c:v>42229</c:v>
                </c:pt>
                <c:pt idx="196">
                  <c:v>42229</c:v>
                </c:pt>
                <c:pt idx="197">
                  <c:v>42229</c:v>
                </c:pt>
                <c:pt idx="198">
                  <c:v>42229</c:v>
                </c:pt>
                <c:pt idx="199">
                  <c:v>42229</c:v>
                </c:pt>
                <c:pt idx="200">
                  <c:v>42229</c:v>
                </c:pt>
                <c:pt idx="201">
                  <c:v>42229</c:v>
                </c:pt>
                <c:pt idx="202">
                  <c:v>42229</c:v>
                </c:pt>
                <c:pt idx="203">
                  <c:v>42229</c:v>
                </c:pt>
                <c:pt idx="204">
                  <c:v>42229</c:v>
                </c:pt>
                <c:pt idx="205">
                  <c:v>42229</c:v>
                </c:pt>
                <c:pt idx="206">
                  <c:v>42229</c:v>
                </c:pt>
                <c:pt idx="207">
                  <c:v>42229</c:v>
                </c:pt>
                <c:pt idx="208">
                  <c:v>42229</c:v>
                </c:pt>
                <c:pt idx="209">
                  <c:v>42229</c:v>
                </c:pt>
                <c:pt idx="210">
                  <c:v>42229</c:v>
                </c:pt>
                <c:pt idx="211">
                  <c:v>42229</c:v>
                </c:pt>
                <c:pt idx="212">
                  <c:v>42229</c:v>
                </c:pt>
                <c:pt idx="213">
                  <c:v>42229</c:v>
                </c:pt>
                <c:pt idx="214">
                  <c:v>42229</c:v>
                </c:pt>
                <c:pt idx="215">
                  <c:v>42229</c:v>
                </c:pt>
                <c:pt idx="216">
                  <c:v>42229</c:v>
                </c:pt>
                <c:pt idx="217">
                  <c:v>42229</c:v>
                </c:pt>
                <c:pt idx="218">
                  <c:v>42229</c:v>
                </c:pt>
                <c:pt idx="219">
                  <c:v>42229</c:v>
                </c:pt>
                <c:pt idx="220">
                  <c:v>42229</c:v>
                </c:pt>
                <c:pt idx="221">
                  <c:v>42229</c:v>
                </c:pt>
                <c:pt idx="222">
                  <c:v>42229</c:v>
                </c:pt>
                <c:pt idx="223">
                  <c:v>42229</c:v>
                </c:pt>
                <c:pt idx="224">
                  <c:v>42229</c:v>
                </c:pt>
                <c:pt idx="225">
                  <c:v>42229</c:v>
                </c:pt>
                <c:pt idx="226">
                  <c:v>42229</c:v>
                </c:pt>
                <c:pt idx="227">
                  <c:v>42229</c:v>
                </c:pt>
                <c:pt idx="228">
                  <c:v>42229</c:v>
                </c:pt>
                <c:pt idx="229">
                  <c:v>42229</c:v>
                </c:pt>
                <c:pt idx="230">
                  <c:v>42229</c:v>
                </c:pt>
                <c:pt idx="231">
                  <c:v>42229</c:v>
                </c:pt>
                <c:pt idx="232">
                  <c:v>42229</c:v>
                </c:pt>
                <c:pt idx="233">
                  <c:v>42229</c:v>
                </c:pt>
                <c:pt idx="234">
                  <c:v>42229</c:v>
                </c:pt>
                <c:pt idx="235">
                  <c:v>42229</c:v>
                </c:pt>
                <c:pt idx="236">
                  <c:v>42229</c:v>
                </c:pt>
                <c:pt idx="237">
                  <c:v>42229</c:v>
                </c:pt>
                <c:pt idx="238">
                  <c:v>42229</c:v>
                </c:pt>
                <c:pt idx="239">
                  <c:v>42229</c:v>
                </c:pt>
                <c:pt idx="240">
                  <c:v>42229</c:v>
                </c:pt>
                <c:pt idx="241">
                  <c:v>42229</c:v>
                </c:pt>
                <c:pt idx="242">
                  <c:v>42229</c:v>
                </c:pt>
                <c:pt idx="243">
                  <c:v>42229</c:v>
                </c:pt>
                <c:pt idx="244">
                  <c:v>42229</c:v>
                </c:pt>
                <c:pt idx="245">
                  <c:v>42229</c:v>
                </c:pt>
                <c:pt idx="246">
                  <c:v>42229</c:v>
                </c:pt>
                <c:pt idx="247">
                  <c:v>42229</c:v>
                </c:pt>
                <c:pt idx="248">
                  <c:v>42229</c:v>
                </c:pt>
                <c:pt idx="249">
                  <c:v>42229</c:v>
                </c:pt>
                <c:pt idx="250">
                  <c:v>42229</c:v>
                </c:pt>
                <c:pt idx="251">
                  <c:v>42229</c:v>
                </c:pt>
                <c:pt idx="252">
                  <c:v>42229</c:v>
                </c:pt>
                <c:pt idx="253">
                  <c:v>42229</c:v>
                </c:pt>
                <c:pt idx="254">
                  <c:v>42229</c:v>
                </c:pt>
                <c:pt idx="255">
                  <c:v>42229</c:v>
                </c:pt>
                <c:pt idx="256">
                  <c:v>42229</c:v>
                </c:pt>
                <c:pt idx="257">
                  <c:v>42229</c:v>
                </c:pt>
                <c:pt idx="258">
                  <c:v>42229</c:v>
                </c:pt>
                <c:pt idx="259">
                  <c:v>42229</c:v>
                </c:pt>
                <c:pt idx="260">
                  <c:v>42229</c:v>
                </c:pt>
                <c:pt idx="261">
                  <c:v>42229</c:v>
                </c:pt>
                <c:pt idx="262">
                  <c:v>42229</c:v>
                </c:pt>
                <c:pt idx="263">
                  <c:v>42229</c:v>
                </c:pt>
                <c:pt idx="264">
                  <c:v>42229</c:v>
                </c:pt>
                <c:pt idx="265">
                  <c:v>42229</c:v>
                </c:pt>
                <c:pt idx="266">
                  <c:v>42229</c:v>
                </c:pt>
                <c:pt idx="267">
                  <c:v>42229</c:v>
                </c:pt>
                <c:pt idx="268">
                  <c:v>42229</c:v>
                </c:pt>
                <c:pt idx="269">
                  <c:v>42229</c:v>
                </c:pt>
                <c:pt idx="270">
                  <c:v>42229</c:v>
                </c:pt>
                <c:pt idx="271">
                  <c:v>42229</c:v>
                </c:pt>
                <c:pt idx="272">
                  <c:v>42229</c:v>
                </c:pt>
                <c:pt idx="273">
                  <c:v>42229</c:v>
                </c:pt>
                <c:pt idx="274">
                  <c:v>42229</c:v>
                </c:pt>
                <c:pt idx="275">
                  <c:v>42229</c:v>
                </c:pt>
                <c:pt idx="276">
                  <c:v>42229</c:v>
                </c:pt>
                <c:pt idx="277">
                  <c:v>42229</c:v>
                </c:pt>
                <c:pt idx="278">
                  <c:v>42229</c:v>
                </c:pt>
                <c:pt idx="279">
                  <c:v>42229</c:v>
                </c:pt>
                <c:pt idx="280">
                  <c:v>42229</c:v>
                </c:pt>
                <c:pt idx="281">
                  <c:v>42229</c:v>
                </c:pt>
                <c:pt idx="282">
                  <c:v>42229</c:v>
                </c:pt>
                <c:pt idx="283">
                  <c:v>42229</c:v>
                </c:pt>
                <c:pt idx="284">
                  <c:v>42229</c:v>
                </c:pt>
                <c:pt idx="285">
                  <c:v>42229</c:v>
                </c:pt>
                <c:pt idx="286">
                  <c:v>42229</c:v>
                </c:pt>
                <c:pt idx="287">
                  <c:v>42229</c:v>
                </c:pt>
                <c:pt idx="288">
                  <c:v>42229</c:v>
                </c:pt>
                <c:pt idx="289">
                  <c:v>42229</c:v>
                </c:pt>
                <c:pt idx="290">
                  <c:v>42229</c:v>
                </c:pt>
                <c:pt idx="291">
                  <c:v>42229</c:v>
                </c:pt>
                <c:pt idx="292">
                  <c:v>42229</c:v>
                </c:pt>
                <c:pt idx="293">
                  <c:v>42229</c:v>
                </c:pt>
                <c:pt idx="294">
                  <c:v>42229</c:v>
                </c:pt>
                <c:pt idx="295">
                  <c:v>42229</c:v>
                </c:pt>
                <c:pt idx="296">
                  <c:v>42229</c:v>
                </c:pt>
                <c:pt idx="297">
                  <c:v>42229</c:v>
                </c:pt>
                <c:pt idx="298">
                  <c:v>42229</c:v>
                </c:pt>
                <c:pt idx="299">
                  <c:v>42229</c:v>
                </c:pt>
                <c:pt idx="300">
                  <c:v>42229</c:v>
                </c:pt>
                <c:pt idx="301">
                  <c:v>42229</c:v>
                </c:pt>
                <c:pt idx="302">
                  <c:v>42229</c:v>
                </c:pt>
                <c:pt idx="303">
                  <c:v>42229</c:v>
                </c:pt>
                <c:pt idx="304">
                  <c:v>42229</c:v>
                </c:pt>
                <c:pt idx="305">
                  <c:v>42229</c:v>
                </c:pt>
                <c:pt idx="306">
                  <c:v>42229</c:v>
                </c:pt>
                <c:pt idx="307">
                  <c:v>42229</c:v>
                </c:pt>
                <c:pt idx="308">
                  <c:v>42229</c:v>
                </c:pt>
                <c:pt idx="309">
                  <c:v>42229</c:v>
                </c:pt>
                <c:pt idx="310">
                  <c:v>42229</c:v>
                </c:pt>
                <c:pt idx="311">
                  <c:v>42229</c:v>
                </c:pt>
                <c:pt idx="312">
                  <c:v>42229</c:v>
                </c:pt>
                <c:pt idx="313">
                  <c:v>42229</c:v>
                </c:pt>
                <c:pt idx="314">
                  <c:v>42229</c:v>
                </c:pt>
                <c:pt idx="315">
                  <c:v>42229</c:v>
                </c:pt>
                <c:pt idx="316">
                  <c:v>42229</c:v>
                </c:pt>
                <c:pt idx="317">
                  <c:v>42229</c:v>
                </c:pt>
                <c:pt idx="318">
                  <c:v>42229</c:v>
                </c:pt>
                <c:pt idx="319">
                  <c:v>42229</c:v>
                </c:pt>
                <c:pt idx="320">
                  <c:v>42229</c:v>
                </c:pt>
                <c:pt idx="321">
                  <c:v>42229</c:v>
                </c:pt>
                <c:pt idx="322">
                  <c:v>42229</c:v>
                </c:pt>
                <c:pt idx="323">
                  <c:v>42229</c:v>
                </c:pt>
                <c:pt idx="324">
                  <c:v>42229</c:v>
                </c:pt>
                <c:pt idx="325">
                  <c:v>42229</c:v>
                </c:pt>
                <c:pt idx="326">
                  <c:v>42229</c:v>
                </c:pt>
                <c:pt idx="327">
                  <c:v>42229</c:v>
                </c:pt>
                <c:pt idx="328">
                  <c:v>42229</c:v>
                </c:pt>
                <c:pt idx="329">
                  <c:v>42229</c:v>
                </c:pt>
                <c:pt idx="330">
                  <c:v>42229</c:v>
                </c:pt>
                <c:pt idx="331">
                  <c:v>42229</c:v>
                </c:pt>
                <c:pt idx="332">
                  <c:v>42229</c:v>
                </c:pt>
                <c:pt idx="333">
                  <c:v>42229</c:v>
                </c:pt>
                <c:pt idx="334">
                  <c:v>42229</c:v>
                </c:pt>
                <c:pt idx="335">
                  <c:v>42229</c:v>
                </c:pt>
                <c:pt idx="336">
                  <c:v>42229</c:v>
                </c:pt>
                <c:pt idx="337">
                  <c:v>42229</c:v>
                </c:pt>
                <c:pt idx="338">
                  <c:v>42229</c:v>
                </c:pt>
                <c:pt idx="339">
                  <c:v>42229</c:v>
                </c:pt>
                <c:pt idx="340">
                  <c:v>42229</c:v>
                </c:pt>
                <c:pt idx="341">
                  <c:v>42229</c:v>
                </c:pt>
                <c:pt idx="342">
                  <c:v>42229</c:v>
                </c:pt>
                <c:pt idx="343">
                  <c:v>42229</c:v>
                </c:pt>
                <c:pt idx="344">
                  <c:v>42229</c:v>
                </c:pt>
                <c:pt idx="345">
                  <c:v>42229</c:v>
                </c:pt>
                <c:pt idx="346">
                  <c:v>42229</c:v>
                </c:pt>
                <c:pt idx="347">
                  <c:v>42229</c:v>
                </c:pt>
                <c:pt idx="348">
                  <c:v>42229</c:v>
                </c:pt>
                <c:pt idx="349">
                  <c:v>42229</c:v>
                </c:pt>
                <c:pt idx="350">
                  <c:v>42229</c:v>
                </c:pt>
                <c:pt idx="351">
                  <c:v>42229</c:v>
                </c:pt>
                <c:pt idx="352">
                  <c:v>42229</c:v>
                </c:pt>
                <c:pt idx="353">
                  <c:v>42229</c:v>
                </c:pt>
                <c:pt idx="354">
                  <c:v>42229</c:v>
                </c:pt>
                <c:pt idx="355">
                  <c:v>42229</c:v>
                </c:pt>
                <c:pt idx="356">
                  <c:v>42229</c:v>
                </c:pt>
                <c:pt idx="357">
                  <c:v>42229</c:v>
                </c:pt>
                <c:pt idx="358">
                  <c:v>42229</c:v>
                </c:pt>
                <c:pt idx="359">
                  <c:v>42229</c:v>
                </c:pt>
                <c:pt idx="360">
                  <c:v>42229</c:v>
                </c:pt>
                <c:pt idx="361">
                  <c:v>42229</c:v>
                </c:pt>
                <c:pt idx="362">
                  <c:v>42229</c:v>
                </c:pt>
                <c:pt idx="363">
                  <c:v>42229</c:v>
                </c:pt>
                <c:pt idx="364">
                  <c:v>42229</c:v>
                </c:pt>
              </c:numCache>
            </c:numRef>
          </c:cat>
          <c:val>
            <c:numRef>
              <c:f>BH_Mois!$D$2:$D$365</c:f>
              <c:numCache>
                <c:formatCode>General</c:formatCode>
                <c:ptCount val="364"/>
                <c:pt idx="0">
                  <c:v>25.7504299125773</c:v>
                </c:pt>
                <c:pt idx="1">
                  <c:v>20.660143640600111</c:v>
                </c:pt>
                <c:pt idx="2">
                  <c:v>20.658833011967943</c:v>
                </c:pt>
                <c:pt idx="3">
                  <c:v>16.834889561642395</c:v>
                </c:pt>
                <c:pt idx="4">
                  <c:v>26.417223736729923</c:v>
                </c:pt>
                <c:pt idx="5">
                  <c:v>31.554215627666022</c:v>
                </c:pt>
                <c:pt idx="6">
                  <c:v>48.142806668258594</c:v>
                </c:pt>
                <c:pt idx="7">
                  <c:v>44.604966513062799</c:v>
                </c:pt>
                <c:pt idx="8">
                  <c:v>41.162085802509708</c:v>
                </c:pt>
                <c:pt idx="9">
                  <c:v>38.685138648670161</c:v>
                </c:pt>
                <c:pt idx="10">
                  <c:v>58.656724656739648</c:v>
                </c:pt>
                <c:pt idx="11">
                  <c:v>60.772798964754301</c:v>
                </c:pt>
                <c:pt idx="12">
                  <c:v>57.396545034365168</c:v>
                </c:pt>
                <c:pt idx="13">
                  <c:v>53.867560967175834</c:v>
                </c:pt>
                <c:pt idx="14">
                  <c:v>51.806079080943981</c:v>
                </c:pt>
                <c:pt idx="15">
                  <c:v>51.806079080943981</c:v>
                </c:pt>
                <c:pt idx="16">
                  <c:v>51.806079080943981</c:v>
                </c:pt>
                <c:pt idx="17">
                  <c:v>51.806079080943981</c:v>
                </c:pt>
                <c:pt idx="18">
                  <c:v>51.806079080943981</c:v>
                </c:pt>
                <c:pt idx="19">
                  <c:v>51.806079080943981</c:v>
                </c:pt>
                <c:pt idx="20">
                  <c:v>51.806079080943981</c:v>
                </c:pt>
                <c:pt idx="21">
                  <c:v>51.806079080943981</c:v>
                </c:pt>
                <c:pt idx="22">
                  <c:v>51.806079080943981</c:v>
                </c:pt>
                <c:pt idx="23">
                  <c:v>51.806079080943981</c:v>
                </c:pt>
                <c:pt idx="24">
                  <c:v>51.806079080943981</c:v>
                </c:pt>
                <c:pt idx="25">
                  <c:v>51.806079080943981</c:v>
                </c:pt>
                <c:pt idx="26">
                  <c:v>51.806079080943981</c:v>
                </c:pt>
                <c:pt idx="27">
                  <c:v>51.806079080943981</c:v>
                </c:pt>
                <c:pt idx="28">
                  <c:v>51.806079080943981</c:v>
                </c:pt>
                <c:pt idx="29">
                  <c:v>51.806079080943981</c:v>
                </c:pt>
                <c:pt idx="30">
                  <c:v>51.806079080943981</c:v>
                </c:pt>
                <c:pt idx="31">
                  <c:v>51.806079080943981</c:v>
                </c:pt>
                <c:pt idx="32">
                  <c:v>51.806079080943981</c:v>
                </c:pt>
                <c:pt idx="33">
                  <c:v>51.806079080943981</c:v>
                </c:pt>
                <c:pt idx="34">
                  <c:v>51.806079080943981</c:v>
                </c:pt>
                <c:pt idx="35">
                  <c:v>51.806079080943981</c:v>
                </c:pt>
                <c:pt idx="36">
                  <c:v>51.806079080943981</c:v>
                </c:pt>
                <c:pt idx="37">
                  <c:v>51.806079080943981</c:v>
                </c:pt>
                <c:pt idx="38">
                  <c:v>51.806079080943981</c:v>
                </c:pt>
                <c:pt idx="39">
                  <c:v>51.806079080943981</c:v>
                </c:pt>
                <c:pt idx="40">
                  <c:v>51.806079080943981</c:v>
                </c:pt>
                <c:pt idx="41">
                  <c:v>51.806079080943981</c:v>
                </c:pt>
                <c:pt idx="42">
                  <c:v>51.806079080943981</c:v>
                </c:pt>
                <c:pt idx="43">
                  <c:v>51.806079080943981</c:v>
                </c:pt>
                <c:pt idx="44">
                  <c:v>51.806079080943981</c:v>
                </c:pt>
                <c:pt idx="45">
                  <c:v>51.806079080943981</c:v>
                </c:pt>
                <c:pt idx="46">
                  <c:v>51.806079080943981</c:v>
                </c:pt>
                <c:pt idx="47">
                  <c:v>51.806079080943981</c:v>
                </c:pt>
                <c:pt idx="48">
                  <c:v>51.806079080943981</c:v>
                </c:pt>
                <c:pt idx="49">
                  <c:v>51.806079080943981</c:v>
                </c:pt>
                <c:pt idx="50">
                  <c:v>51.806079080943981</c:v>
                </c:pt>
                <c:pt idx="51">
                  <c:v>51.806079080943981</c:v>
                </c:pt>
                <c:pt idx="52">
                  <c:v>51.806079080943981</c:v>
                </c:pt>
                <c:pt idx="53">
                  <c:v>51.806079080943981</c:v>
                </c:pt>
                <c:pt idx="54">
                  <c:v>51.806079080943981</c:v>
                </c:pt>
                <c:pt idx="55">
                  <c:v>51.806079080943981</c:v>
                </c:pt>
                <c:pt idx="56">
                  <c:v>51.806079080943981</c:v>
                </c:pt>
                <c:pt idx="57">
                  <c:v>51.806079080943981</c:v>
                </c:pt>
                <c:pt idx="58">
                  <c:v>51.806079080943981</c:v>
                </c:pt>
                <c:pt idx="59">
                  <c:v>51.806079080943981</c:v>
                </c:pt>
                <c:pt idx="60">
                  <c:v>51.806079080943981</c:v>
                </c:pt>
                <c:pt idx="61">
                  <c:v>51.806079080943981</c:v>
                </c:pt>
                <c:pt idx="62">
                  <c:v>51.806079080943981</c:v>
                </c:pt>
                <c:pt idx="63">
                  <c:v>51.806079080943981</c:v>
                </c:pt>
                <c:pt idx="64">
                  <c:v>51.806079080943981</c:v>
                </c:pt>
                <c:pt idx="65">
                  <c:v>51.806079080943981</c:v>
                </c:pt>
                <c:pt idx="66">
                  <c:v>51.806079080943981</c:v>
                </c:pt>
                <c:pt idx="67">
                  <c:v>51.806079080943981</c:v>
                </c:pt>
                <c:pt idx="68">
                  <c:v>51.806079080943981</c:v>
                </c:pt>
                <c:pt idx="69">
                  <c:v>51.806079080943981</c:v>
                </c:pt>
                <c:pt idx="70">
                  <c:v>51.806079080943981</c:v>
                </c:pt>
                <c:pt idx="71">
                  <c:v>51.806079080943981</c:v>
                </c:pt>
                <c:pt idx="72">
                  <c:v>51.806079080943981</c:v>
                </c:pt>
                <c:pt idx="73">
                  <c:v>51.806079080943981</c:v>
                </c:pt>
                <c:pt idx="74">
                  <c:v>51.806079080943981</c:v>
                </c:pt>
                <c:pt idx="75">
                  <c:v>51.806079080943981</c:v>
                </c:pt>
                <c:pt idx="76">
                  <c:v>51.806079080943981</c:v>
                </c:pt>
                <c:pt idx="77">
                  <c:v>51.806079080943981</c:v>
                </c:pt>
                <c:pt idx="78">
                  <c:v>51.806079080943981</c:v>
                </c:pt>
                <c:pt idx="79">
                  <c:v>51.806079080943981</c:v>
                </c:pt>
                <c:pt idx="80">
                  <c:v>51.806079080943981</c:v>
                </c:pt>
                <c:pt idx="81">
                  <c:v>51.806079080943981</c:v>
                </c:pt>
                <c:pt idx="82">
                  <c:v>51.806079080943981</c:v>
                </c:pt>
                <c:pt idx="83">
                  <c:v>51.806079080943981</c:v>
                </c:pt>
                <c:pt idx="84">
                  <c:v>51.806079080943981</c:v>
                </c:pt>
                <c:pt idx="85">
                  <c:v>51.806079080943981</c:v>
                </c:pt>
                <c:pt idx="86">
                  <c:v>51.806079080943981</c:v>
                </c:pt>
                <c:pt idx="87">
                  <c:v>51.806079080943981</c:v>
                </c:pt>
                <c:pt idx="88">
                  <c:v>51.806079080943981</c:v>
                </c:pt>
                <c:pt idx="89">
                  <c:v>51.806079080943981</c:v>
                </c:pt>
                <c:pt idx="90">
                  <c:v>51.806079080943981</c:v>
                </c:pt>
                <c:pt idx="91">
                  <c:v>51.806079080943981</c:v>
                </c:pt>
                <c:pt idx="92">
                  <c:v>51.806079080943981</c:v>
                </c:pt>
                <c:pt idx="93">
                  <c:v>51.806079080943981</c:v>
                </c:pt>
                <c:pt idx="94">
                  <c:v>51.806079080943981</c:v>
                </c:pt>
                <c:pt idx="95">
                  <c:v>51.806079080943981</c:v>
                </c:pt>
                <c:pt idx="96">
                  <c:v>51.806079080943981</c:v>
                </c:pt>
                <c:pt idx="97">
                  <c:v>51.806079080943981</c:v>
                </c:pt>
                <c:pt idx="98">
                  <c:v>51.806079080943981</c:v>
                </c:pt>
                <c:pt idx="99">
                  <c:v>51.806079080943981</c:v>
                </c:pt>
                <c:pt idx="100">
                  <c:v>51.806079080943981</c:v>
                </c:pt>
                <c:pt idx="101">
                  <c:v>51.806079080943981</c:v>
                </c:pt>
                <c:pt idx="102">
                  <c:v>51.806079080943981</c:v>
                </c:pt>
                <c:pt idx="103">
                  <c:v>51.806079080943981</c:v>
                </c:pt>
                <c:pt idx="104">
                  <c:v>51.806079080943981</c:v>
                </c:pt>
                <c:pt idx="105">
                  <c:v>51.806079080943981</c:v>
                </c:pt>
                <c:pt idx="106">
                  <c:v>51.806079080943981</c:v>
                </c:pt>
                <c:pt idx="107">
                  <c:v>51.806079080943981</c:v>
                </c:pt>
                <c:pt idx="108">
                  <c:v>51.806079080943981</c:v>
                </c:pt>
                <c:pt idx="109">
                  <c:v>51.806079080943981</c:v>
                </c:pt>
                <c:pt idx="110">
                  <c:v>51.806079080943981</c:v>
                </c:pt>
                <c:pt idx="111">
                  <c:v>51.806079080943981</c:v>
                </c:pt>
                <c:pt idx="112">
                  <c:v>51.806079080943981</c:v>
                </c:pt>
                <c:pt idx="113">
                  <c:v>51.806079080943981</c:v>
                </c:pt>
                <c:pt idx="114">
                  <c:v>51.806079080943981</c:v>
                </c:pt>
                <c:pt idx="115">
                  <c:v>51.806079080943981</c:v>
                </c:pt>
                <c:pt idx="116">
                  <c:v>51.806079080943981</c:v>
                </c:pt>
                <c:pt idx="117">
                  <c:v>51.806079080943981</c:v>
                </c:pt>
                <c:pt idx="118">
                  <c:v>51.806079080943981</c:v>
                </c:pt>
                <c:pt idx="119">
                  <c:v>51.806079080943981</c:v>
                </c:pt>
                <c:pt idx="120">
                  <c:v>51.806079080943981</c:v>
                </c:pt>
                <c:pt idx="121">
                  <c:v>51.806079080943981</c:v>
                </c:pt>
                <c:pt idx="122">
                  <c:v>51.806079080943981</c:v>
                </c:pt>
                <c:pt idx="123">
                  <c:v>51.806079080943981</c:v>
                </c:pt>
                <c:pt idx="124">
                  <c:v>51.806079080943981</c:v>
                </c:pt>
                <c:pt idx="125">
                  <c:v>51.806079080943981</c:v>
                </c:pt>
                <c:pt idx="126">
                  <c:v>51.806079080943981</c:v>
                </c:pt>
                <c:pt idx="127">
                  <c:v>51.806079080943981</c:v>
                </c:pt>
                <c:pt idx="128">
                  <c:v>51.806079080943981</c:v>
                </c:pt>
                <c:pt idx="129">
                  <c:v>51.806079080943981</c:v>
                </c:pt>
                <c:pt idx="130">
                  <c:v>51.806079080943981</c:v>
                </c:pt>
                <c:pt idx="131">
                  <c:v>51.806079080943981</c:v>
                </c:pt>
                <c:pt idx="132">
                  <c:v>51.806079080943981</c:v>
                </c:pt>
                <c:pt idx="133">
                  <c:v>51.806079080943981</c:v>
                </c:pt>
                <c:pt idx="134">
                  <c:v>51.806079080943981</c:v>
                </c:pt>
                <c:pt idx="135">
                  <c:v>51.806079080943981</c:v>
                </c:pt>
                <c:pt idx="136">
                  <c:v>51.806079080943981</c:v>
                </c:pt>
                <c:pt idx="137">
                  <c:v>51.806079080943981</c:v>
                </c:pt>
                <c:pt idx="138">
                  <c:v>51.806079080943981</c:v>
                </c:pt>
                <c:pt idx="139">
                  <c:v>51.806079080943981</c:v>
                </c:pt>
                <c:pt idx="140">
                  <c:v>51.806079080943981</c:v>
                </c:pt>
                <c:pt idx="141">
                  <c:v>51.806079080943981</c:v>
                </c:pt>
                <c:pt idx="142">
                  <c:v>51.806079080943981</c:v>
                </c:pt>
                <c:pt idx="143">
                  <c:v>51.806079080943981</c:v>
                </c:pt>
                <c:pt idx="144">
                  <c:v>51.806079080943981</c:v>
                </c:pt>
                <c:pt idx="145">
                  <c:v>51.806079080943981</c:v>
                </c:pt>
                <c:pt idx="146">
                  <c:v>51.806079080943981</c:v>
                </c:pt>
                <c:pt idx="147">
                  <c:v>51.806079080943981</c:v>
                </c:pt>
                <c:pt idx="148">
                  <c:v>51.806079080943981</c:v>
                </c:pt>
                <c:pt idx="149">
                  <c:v>51.806079080943981</c:v>
                </c:pt>
                <c:pt idx="150">
                  <c:v>51.806079080943981</c:v>
                </c:pt>
                <c:pt idx="151">
                  <c:v>51.806079080943981</c:v>
                </c:pt>
                <c:pt idx="152">
                  <c:v>51.806079080943981</c:v>
                </c:pt>
                <c:pt idx="153">
                  <c:v>51.806079080943981</c:v>
                </c:pt>
                <c:pt idx="154">
                  <c:v>51.806079080943981</c:v>
                </c:pt>
                <c:pt idx="155">
                  <c:v>51.806079080943981</c:v>
                </c:pt>
                <c:pt idx="156">
                  <c:v>51.806079080943981</c:v>
                </c:pt>
                <c:pt idx="157">
                  <c:v>51.806079080943981</c:v>
                </c:pt>
                <c:pt idx="158">
                  <c:v>51.806079080943981</c:v>
                </c:pt>
                <c:pt idx="159">
                  <c:v>51.806079080943981</c:v>
                </c:pt>
                <c:pt idx="160">
                  <c:v>51.806079080943981</c:v>
                </c:pt>
                <c:pt idx="161">
                  <c:v>51.806079080943981</c:v>
                </c:pt>
                <c:pt idx="162">
                  <c:v>51.806079080943981</c:v>
                </c:pt>
                <c:pt idx="163">
                  <c:v>51.806079080943981</c:v>
                </c:pt>
                <c:pt idx="164">
                  <c:v>51.806079080943981</c:v>
                </c:pt>
                <c:pt idx="165">
                  <c:v>51.806079080943981</c:v>
                </c:pt>
                <c:pt idx="166">
                  <c:v>51.806079080943981</c:v>
                </c:pt>
                <c:pt idx="167">
                  <c:v>51.806079080943981</c:v>
                </c:pt>
                <c:pt idx="168">
                  <c:v>51.806079080943981</c:v>
                </c:pt>
                <c:pt idx="169">
                  <c:v>51.806079080943981</c:v>
                </c:pt>
                <c:pt idx="170">
                  <c:v>51.806079080943981</c:v>
                </c:pt>
                <c:pt idx="171">
                  <c:v>51.806079080943981</c:v>
                </c:pt>
                <c:pt idx="172">
                  <c:v>51.806079080943981</c:v>
                </c:pt>
                <c:pt idx="173">
                  <c:v>51.806079080943981</c:v>
                </c:pt>
                <c:pt idx="174">
                  <c:v>51.806079080943981</c:v>
                </c:pt>
                <c:pt idx="175">
                  <c:v>51.806079080943981</c:v>
                </c:pt>
                <c:pt idx="176">
                  <c:v>51.806079080943981</c:v>
                </c:pt>
                <c:pt idx="177">
                  <c:v>51.806079080943981</c:v>
                </c:pt>
                <c:pt idx="178">
                  <c:v>51.806079080943981</c:v>
                </c:pt>
                <c:pt idx="179">
                  <c:v>51.806079080943981</c:v>
                </c:pt>
                <c:pt idx="180">
                  <c:v>51.806079080943981</c:v>
                </c:pt>
                <c:pt idx="181">
                  <c:v>51.806079080943981</c:v>
                </c:pt>
                <c:pt idx="182">
                  <c:v>51.806079080943981</c:v>
                </c:pt>
                <c:pt idx="183">
                  <c:v>51.806079080943981</c:v>
                </c:pt>
                <c:pt idx="184">
                  <c:v>51.806079080943981</c:v>
                </c:pt>
                <c:pt idx="185">
                  <c:v>51.806079080943981</c:v>
                </c:pt>
                <c:pt idx="186">
                  <c:v>51.806079080943981</c:v>
                </c:pt>
                <c:pt idx="187">
                  <c:v>51.806079080943981</c:v>
                </c:pt>
                <c:pt idx="188">
                  <c:v>51.806079080943981</c:v>
                </c:pt>
                <c:pt idx="189">
                  <c:v>51.806079080943981</c:v>
                </c:pt>
                <c:pt idx="190">
                  <c:v>51.806079080943981</c:v>
                </c:pt>
                <c:pt idx="191">
                  <c:v>51.806079080943981</c:v>
                </c:pt>
                <c:pt idx="192">
                  <c:v>51.806079080943981</c:v>
                </c:pt>
                <c:pt idx="193">
                  <c:v>51.806079080943981</c:v>
                </c:pt>
                <c:pt idx="194">
                  <c:v>51.806079080943981</c:v>
                </c:pt>
                <c:pt idx="195">
                  <c:v>51.806079080943981</c:v>
                </c:pt>
                <c:pt idx="196">
                  <c:v>51.806079080943981</c:v>
                </c:pt>
                <c:pt idx="197">
                  <c:v>51.806079080943981</c:v>
                </c:pt>
                <c:pt idx="198">
                  <c:v>51.806079080943981</c:v>
                </c:pt>
                <c:pt idx="199">
                  <c:v>51.806079080943981</c:v>
                </c:pt>
                <c:pt idx="200">
                  <c:v>51.806079080943981</c:v>
                </c:pt>
                <c:pt idx="201">
                  <c:v>51.806079080943981</c:v>
                </c:pt>
                <c:pt idx="202">
                  <c:v>51.806079080943981</c:v>
                </c:pt>
                <c:pt idx="203">
                  <c:v>51.806079080943981</c:v>
                </c:pt>
                <c:pt idx="204">
                  <c:v>51.806079080943981</c:v>
                </c:pt>
                <c:pt idx="205">
                  <c:v>51.806079080943981</c:v>
                </c:pt>
                <c:pt idx="206">
                  <c:v>51.806079080943981</c:v>
                </c:pt>
                <c:pt idx="207">
                  <c:v>51.806079080943981</c:v>
                </c:pt>
                <c:pt idx="208">
                  <c:v>51.806079080943981</c:v>
                </c:pt>
                <c:pt idx="209">
                  <c:v>51.806079080943981</c:v>
                </c:pt>
                <c:pt idx="210">
                  <c:v>51.806079080943981</c:v>
                </c:pt>
                <c:pt idx="211">
                  <c:v>51.806079080943981</c:v>
                </c:pt>
                <c:pt idx="212">
                  <c:v>51.806079080943981</c:v>
                </c:pt>
                <c:pt idx="213">
                  <c:v>51.806079080943981</c:v>
                </c:pt>
                <c:pt idx="214">
                  <c:v>51.806079080943981</c:v>
                </c:pt>
                <c:pt idx="215">
                  <c:v>51.806079080943981</c:v>
                </c:pt>
                <c:pt idx="216">
                  <c:v>51.806079080943981</c:v>
                </c:pt>
                <c:pt idx="217">
                  <c:v>51.806079080943981</c:v>
                </c:pt>
                <c:pt idx="218">
                  <c:v>51.806079080943981</c:v>
                </c:pt>
                <c:pt idx="219">
                  <c:v>51.806079080943981</c:v>
                </c:pt>
                <c:pt idx="220">
                  <c:v>51.806079080943981</c:v>
                </c:pt>
                <c:pt idx="221">
                  <c:v>51.806079080943981</c:v>
                </c:pt>
                <c:pt idx="222">
                  <c:v>51.806079080943981</c:v>
                </c:pt>
                <c:pt idx="223">
                  <c:v>51.806079080943981</c:v>
                </c:pt>
                <c:pt idx="224">
                  <c:v>51.806079080943981</c:v>
                </c:pt>
                <c:pt idx="225">
                  <c:v>51.806079080943981</c:v>
                </c:pt>
                <c:pt idx="226">
                  <c:v>51.806079080943981</c:v>
                </c:pt>
                <c:pt idx="227">
                  <c:v>51.806079080943981</c:v>
                </c:pt>
                <c:pt idx="228">
                  <c:v>51.806079080943981</c:v>
                </c:pt>
                <c:pt idx="229">
                  <c:v>51.806079080943981</c:v>
                </c:pt>
                <c:pt idx="230">
                  <c:v>51.806079080943981</c:v>
                </c:pt>
                <c:pt idx="231">
                  <c:v>51.806079080943981</c:v>
                </c:pt>
                <c:pt idx="232">
                  <c:v>51.806079080943981</c:v>
                </c:pt>
                <c:pt idx="233">
                  <c:v>51.806079080943981</c:v>
                </c:pt>
                <c:pt idx="234">
                  <c:v>51.806079080943981</c:v>
                </c:pt>
                <c:pt idx="235">
                  <c:v>51.806079080943981</c:v>
                </c:pt>
                <c:pt idx="236">
                  <c:v>51.806079080943981</c:v>
                </c:pt>
                <c:pt idx="237">
                  <c:v>51.806079080943981</c:v>
                </c:pt>
                <c:pt idx="238">
                  <c:v>51.806079080943981</c:v>
                </c:pt>
                <c:pt idx="239">
                  <c:v>51.806079080943981</c:v>
                </c:pt>
                <c:pt idx="240">
                  <c:v>51.806079080943981</c:v>
                </c:pt>
                <c:pt idx="241">
                  <c:v>51.806079080943981</c:v>
                </c:pt>
                <c:pt idx="242">
                  <c:v>51.806079080943981</c:v>
                </c:pt>
                <c:pt idx="243">
                  <c:v>51.806079080943981</c:v>
                </c:pt>
                <c:pt idx="244">
                  <c:v>51.806079080943981</c:v>
                </c:pt>
                <c:pt idx="245">
                  <c:v>51.806079080943981</c:v>
                </c:pt>
                <c:pt idx="246">
                  <c:v>51.806079080943981</c:v>
                </c:pt>
                <c:pt idx="247">
                  <c:v>51.806079080943981</c:v>
                </c:pt>
                <c:pt idx="248">
                  <c:v>51.806079080943981</c:v>
                </c:pt>
                <c:pt idx="249">
                  <c:v>51.806079080943981</c:v>
                </c:pt>
                <c:pt idx="250">
                  <c:v>51.806079080943981</c:v>
                </c:pt>
                <c:pt idx="251">
                  <c:v>51.806079080943981</c:v>
                </c:pt>
                <c:pt idx="252">
                  <c:v>51.806079080943981</c:v>
                </c:pt>
                <c:pt idx="253">
                  <c:v>51.806079080943981</c:v>
                </c:pt>
                <c:pt idx="254">
                  <c:v>51.806079080943981</c:v>
                </c:pt>
                <c:pt idx="255">
                  <c:v>51.806079080943981</c:v>
                </c:pt>
                <c:pt idx="256">
                  <c:v>51.806079080943981</c:v>
                </c:pt>
                <c:pt idx="257">
                  <c:v>51.806079080943981</c:v>
                </c:pt>
                <c:pt idx="258">
                  <c:v>51.806079080943981</c:v>
                </c:pt>
                <c:pt idx="259">
                  <c:v>51.806079080943981</c:v>
                </c:pt>
                <c:pt idx="260">
                  <c:v>51.806079080943981</c:v>
                </c:pt>
                <c:pt idx="261">
                  <c:v>51.806079080943981</c:v>
                </c:pt>
                <c:pt idx="262">
                  <c:v>51.806079080943981</c:v>
                </c:pt>
                <c:pt idx="263">
                  <c:v>51.806079080943981</c:v>
                </c:pt>
                <c:pt idx="264">
                  <c:v>51.806079080943981</c:v>
                </c:pt>
                <c:pt idx="265">
                  <c:v>51.806079080943981</c:v>
                </c:pt>
                <c:pt idx="266">
                  <c:v>51.806079080943981</c:v>
                </c:pt>
                <c:pt idx="267">
                  <c:v>51.806079080943981</c:v>
                </c:pt>
                <c:pt idx="268">
                  <c:v>51.806079080943981</c:v>
                </c:pt>
                <c:pt idx="269">
                  <c:v>51.806079080943981</c:v>
                </c:pt>
                <c:pt idx="270">
                  <c:v>51.806079080943981</c:v>
                </c:pt>
                <c:pt idx="271">
                  <c:v>51.806079080943981</c:v>
                </c:pt>
                <c:pt idx="272">
                  <c:v>51.806079080943981</c:v>
                </c:pt>
                <c:pt idx="273">
                  <c:v>51.806079080943981</c:v>
                </c:pt>
                <c:pt idx="274">
                  <c:v>51.806079080943981</c:v>
                </c:pt>
                <c:pt idx="275">
                  <c:v>51.806079080943981</c:v>
                </c:pt>
                <c:pt idx="276">
                  <c:v>51.806079080943981</c:v>
                </c:pt>
                <c:pt idx="277">
                  <c:v>51.806079080943981</c:v>
                </c:pt>
                <c:pt idx="278">
                  <c:v>51.806079080943981</c:v>
                </c:pt>
                <c:pt idx="279">
                  <c:v>51.806079080943981</c:v>
                </c:pt>
                <c:pt idx="280">
                  <c:v>51.806079080943981</c:v>
                </c:pt>
                <c:pt idx="281">
                  <c:v>51.806079080943981</c:v>
                </c:pt>
                <c:pt idx="282">
                  <c:v>51.806079080943981</c:v>
                </c:pt>
                <c:pt idx="283">
                  <c:v>51.806079080943981</c:v>
                </c:pt>
                <c:pt idx="284">
                  <c:v>51.806079080943981</c:v>
                </c:pt>
                <c:pt idx="285">
                  <c:v>51.806079080943981</c:v>
                </c:pt>
                <c:pt idx="286">
                  <c:v>51.806079080943981</c:v>
                </c:pt>
                <c:pt idx="287">
                  <c:v>51.806079080943981</c:v>
                </c:pt>
                <c:pt idx="288">
                  <c:v>51.806079080943981</c:v>
                </c:pt>
                <c:pt idx="289">
                  <c:v>51.806079080943981</c:v>
                </c:pt>
                <c:pt idx="290">
                  <c:v>51.806079080943981</c:v>
                </c:pt>
                <c:pt idx="291">
                  <c:v>51.806079080943981</c:v>
                </c:pt>
                <c:pt idx="292">
                  <c:v>51.806079080943981</c:v>
                </c:pt>
                <c:pt idx="293">
                  <c:v>51.806079080943981</c:v>
                </c:pt>
                <c:pt idx="294">
                  <c:v>51.806079080943981</c:v>
                </c:pt>
                <c:pt idx="295">
                  <c:v>51.806079080943981</c:v>
                </c:pt>
                <c:pt idx="296">
                  <c:v>51.806079080943981</c:v>
                </c:pt>
                <c:pt idx="297">
                  <c:v>51.806079080943981</c:v>
                </c:pt>
                <c:pt idx="298">
                  <c:v>51.806079080943981</c:v>
                </c:pt>
                <c:pt idx="299">
                  <c:v>51.806079080943981</c:v>
                </c:pt>
                <c:pt idx="300">
                  <c:v>51.806079080943981</c:v>
                </c:pt>
                <c:pt idx="301">
                  <c:v>51.806079080943981</c:v>
                </c:pt>
                <c:pt idx="302">
                  <c:v>51.806079080943981</c:v>
                </c:pt>
                <c:pt idx="303">
                  <c:v>51.806079080943981</c:v>
                </c:pt>
                <c:pt idx="304">
                  <c:v>51.806079080943981</c:v>
                </c:pt>
                <c:pt idx="305">
                  <c:v>51.806079080943981</c:v>
                </c:pt>
                <c:pt idx="306">
                  <c:v>51.806079080943981</c:v>
                </c:pt>
                <c:pt idx="307">
                  <c:v>51.806079080943981</c:v>
                </c:pt>
                <c:pt idx="308">
                  <c:v>51.806079080943981</c:v>
                </c:pt>
                <c:pt idx="309">
                  <c:v>51.806079080943981</c:v>
                </c:pt>
                <c:pt idx="310">
                  <c:v>51.806079080943981</c:v>
                </c:pt>
                <c:pt idx="311">
                  <c:v>51.806079080943981</c:v>
                </c:pt>
                <c:pt idx="312">
                  <c:v>51.806079080943981</c:v>
                </c:pt>
                <c:pt idx="313">
                  <c:v>51.806079080943981</c:v>
                </c:pt>
                <c:pt idx="314">
                  <c:v>51.806079080943981</c:v>
                </c:pt>
                <c:pt idx="315">
                  <c:v>51.806079080943981</c:v>
                </c:pt>
                <c:pt idx="316">
                  <c:v>51.806079080943981</c:v>
                </c:pt>
                <c:pt idx="317">
                  <c:v>51.806079080943981</c:v>
                </c:pt>
                <c:pt idx="318">
                  <c:v>51.806079080943981</c:v>
                </c:pt>
                <c:pt idx="319">
                  <c:v>51.806079080943981</c:v>
                </c:pt>
                <c:pt idx="320">
                  <c:v>51.806079080943981</c:v>
                </c:pt>
                <c:pt idx="321">
                  <c:v>51.806079080943981</c:v>
                </c:pt>
                <c:pt idx="322">
                  <c:v>51.806079080943981</c:v>
                </c:pt>
                <c:pt idx="323">
                  <c:v>51.806079080943981</c:v>
                </c:pt>
                <c:pt idx="324">
                  <c:v>51.806079080943981</c:v>
                </c:pt>
                <c:pt idx="325">
                  <c:v>51.806079080943981</c:v>
                </c:pt>
                <c:pt idx="326">
                  <c:v>51.806079080943981</c:v>
                </c:pt>
                <c:pt idx="327">
                  <c:v>51.806079080943981</c:v>
                </c:pt>
                <c:pt idx="328">
                  <c:v>51.806079080943981</c:v>
                </c:pt>
                <c:pt idx="329">
                  <c:v>51.806079080943981</c:v>
                </c:pt>
                <c:pt idx="330">
                  <c:v>51.806079080943981</c:v>
                </c:pt>
                <c:pt idx="331">
                  <c:v>51.806079080943981</c:v>
                </c:pt>
                <c:pt idx="332">
                  <c:v>51.806079080943981</c:v>
                </c:pt>
                <c:pt idx="333">
                  <c:v>51.806079080943981</c:v>
                </c:pt>
                <c:pt idx="334">
                  <c:v>51.806079080943981</c:v>
                </c:pt>
                <c:pt idx="335">
                  <c:v>51.806079080943981</c:v>
                </c:pt>
                <c:pt idx="336">
                  <c:v>51.806079080943981</c:v>
                </c:pt>
                <c:pt idx="337">
                  <c:v>51.806079080943981</c:v>
                </c:pt>
                <c:pt idx="338">
                  <c:v>51.806079080943981</c:v>
                </c:pt>
                <c:pt idx="339">
                  <c:v>51.806079080943981</c:v>
                </c:pt>
                <c:pt idx="340">
                  <c:v>51.806079080943981</c:v>
                </c:pt>
                <c:pt idx="341">
                  <c:v>51.806079080943981</c:v>
                </c:pt>
                <c:pt idx="342">
                  <c:v>51.806079080943981</c:v>
                </c:pt>
                <c:pt idx="343">
                  <c:v>51.806079080943981</c:v>
                </c:pt>
                <c:pt idx="344">
                  <c:v>51.806079080943981</c:v>
                </c:pt>
                <c:pt idx="345">
                  <c:v>51.806079080943981</c:v>
                </c:pt>
                <c:pt idx="346">
                  <c:v>51.806079080943981</c:v>
                </c:pt>
                <c:pt idx="347">
                  <c:v>51.806079080943981</c:v>
                </c:pt>
                <c:pt idx="348">
                  <c:v>51.806079080943981</c:v>
                </c:pt>
                <c:pt idx="349">
                  <c:v>51.806079080943981</c:v>
                </c:pt>
                <c:pt idx="350">
                  <c:v>51.806079080943981</c:v>
                </c:pt>
                <c:pt idx="351">
                  <c:v>51.806079080943981</c:v>
                </c:pt>
                <c:pt idx="352">
                  <c:v>51.806079080943981</c:v>
                </c:pt>
                <c:pt idx="353">
                  <c:v>51.806079080943981</c:v>
                </c:pt>
                <c:pt idx="354">
                  <c:v>51.806079080943981</c:v>
                </c:pt>
                <c:pt idx="355">
                  <c:v>51.806079080943981</c:v>
                </c:pt>
                <c:pt idx="356">
                  <c:v>51.806079080943981</c:v>
                </c:pt>
                <c:pt idx="357">
                  <c:v>51.806079080943981</c:v>
                </c:pt>
                <c:pt idx="358">
                  <c:v>51.806079080943981</c:v>
                </c:pt>
                <c:pt idx="359">
                  <c:v>51.806079080943981</c:v>
                </c:pt>
                <c:pt idx="360">
                  <c:v>51.806079080943981</c:v>
                </c:pt>
                <c:pt idx="361">
                  <c:v>51.806079080943981</c:v>
                </c:pt>
                <c:pt idx="362">
                  <c:v>51.806079080943981</c:v>
                </c:pt>
                <c:pt idx="363">
                  <c:v>51.806079080943981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9-47EF-A541-1D57A6FFF2D5}"/>
            </c:ext>
          </c:extLst>
        </c:ser>
        <c:ser>
          <c:idx val="1"/>
          <c:order val="1"/>
          <c:tx>
            <c:v>APV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BH_Mois!$A$2:$A$366</c:f>
              <c:numCache>
                <c:formatCode>m/d/yyyy</c:formatCode>
                <c:ptCount val="365"/>
                <c:pt idx="0">
                  <c:v>42215</c:v>
                </c:pt>
                <c:pt idx="1">
                  <c:v>42216</c:v>
                </c:pt>
                <c:pt idx="2">
                  <c:v>42217</c:v>
                </c:pt>
                <c:pt idx="3">
                  <c:v>42218</c:v>
                </c:pt>
                <c:pt idx="4">
                  <c:v>42219</c:v>
                </c:pt>
                <c:pt idx="5">
                  <c:v>42220</c:v>
                </c:pt>
                <c:pt idx="6">
                  <c:v>42221</c:v>
                </c:pt>
                <c:pt idx="7">
                  <c:v>42222</c:v>
                </c:pt>
                <c:pt idx="8">
                  <c:v>42223</c:v>
                </c:pt>
                <c:pt idx="9">
                  <c:v>42224</c:v>
                </c:pt>
                <c:pt idx="10">
                  <c:v>42225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42229</c:v>
                </c:pt>
                <c:pt idx="16">
                  <c:v>42229</c:v>
                </c:pt>
                <c:pt idx="17">
                  <c:v>42229</c:v>
                </c:pt>
                <c:pt idx="18">
                  <c:v>42229</c:v>
                </c:pt>
                <c:pt idx="19">
                  <c:v>42229</c:v>
                </c:pt>
                <c:pt idx="20">
                  <c:v>42229</c:v>
                </c:pt>
                <c:pt idx="21">
                  <c:v>42229</c:v>
                </c:pt>
                <c:pt idx="22">
                  <c:v>42229</c:v>
                </c:pt>
                <c:pt idx="23">
                  <c:v>42229</c:v>
                </c:pt>
                <c:pt idx="24">
                  <c:v>42229</c:v>
                </c:pt>
                <c:pt idx="25">
                  <c:v>42229</c:v>
                </c:pt>
                <c:pt idx="26">
                  <c:v>42229</c:v>
                </c:pt>
                <c:pt idx="27">
                  <c:v>42229</c:v>
                </c:pt>
                <c:pt idx="28">
                  <c:v>42229</c:v>
                </c:pt>
                <c:pt idx="29">
                  <c:v>42229</c:v>
                </c:pt>
                <c:pt idx="30">
                  <c:v>42229</c:v>
                </c:pt>
                <c:pt idx="31">
                  <c:v>42229</c:v>
                </c:pt>
                <c:pt idx="32">
                  <c:v>42229</c:v>
                </c:pt>
                <c:pt idx="33">
                  <c:v>42229</c:v>
                </c:pt>
                <c:pt idx="34">
                  <c:v>42229</c:v>
                </c:pt>
                <c:pt idx="35">
                  <c:v>42229</c:v>
                </c:pt>
                <c:pt idx="36">
                  <c:v>42229</c:v>
                </c:pt>
                <c:pt idx="37">
                  <c:v>42229</c:v>
                </c:pt>
                <c:pt idx="38">
                  <c:v>42229</c:v>
                </c:pt>
                <c:pt idx="39">
                  <c:v>42229</c:v>
                </c:pt>
                <c:pt idx="40">
                  <c:v>42229</c:v>
                </c:pt>
                <c:pt idx="41">
                  <c:v>42229</c:v>
                </c:pt>
                <c:pt idx="42">
                  <c:v>42229</c:v>
                </c:pt>
                <c:pt idx="43">
                  <c:v>42229</c:v>
                </c:pt>
                <c:pt idx="44">
                  <c:v>42229</c:v>
                </c:pt>
                <c:pt idx="45">
                  <c:v>42229</c:v>
                </c:pt>
                <c:pt idx="46">
                  <c:v>42229</c:v>
                </c:pt>
                <c:pt idx="47">
                  <c:v>42229</c:v>
                </c:pt>
                <c:pt idx="48">
                  <c:v>42229</c:v>
                </c:pt>
                <c:pt idx="49">
                  <c:v>42229</c:v>
                </c:pt>
                <c:pt idx="50">
                  <c:v>42229</c:v>
                </c:pt>
                <c:pt idx="51">
                  <c:v>42229</c:v>
                </c:pt>
                <c:pt idx="52">
                  <c:v>42229</c:v>
                </c:pt>
                <c:pt idx="53">
                  <c:v>42229</c:v>
                </c:pt>
                <c:pt idx="54">
                  <c:v>42229</c:v>
                </c:pt>
                <c:pt idx="55">
                  <c:v>42229</c:v>
                </c:pt>
                <c:pt idx="56">
                  <c:v>42229</c:v>
                </c:pt>
                <c:pt idx="57">
                  <c:v>42229</c:v>
                </c:pt>
                <c:pt idx="58">
                  <c:v>42229</c:v>
                </c:pt>
                <c:pt idx="59">
                  <c:v>42229</c:v>
                </c:pt>
                <c:pt idx="60">
                  <c:v>42229</c:v>
                </c:pt>
                <c:pt idx="61">
                  <c:v>42229</c:v>
                </c:pt>
                <c:pt idx="62">
                  <c:v>42229</c:v>
                </c:pt>
                <c:pt idx="63">
                  <c:v>42229</c:v>
                </c:pt>
                <c:pt idx="64">
                  <c:v>42229</c:v>
                </c:pt>
                <c:pt idx="65">
                  <c:v>42229</c:v>
                </c:pt>
                <c:pt idx="66">
                  <c:v>42229</c:v>
                </c:pt>
                <c:pt idx="67">
                  <c:v>42229</c:v>
                </c:pt>
                <c:pt idx="68">
                  <c:v>42229</c:v>
                </c:pt>
                <c:pt idx="69">
                  <c:v>42229</c:v>
                </c:pt>
                <c:pt idx="70">
                  <c:v>42229</c:v>
                </c:pt>
                <c:pt idx="71">
                  <c:v>42229</c:v>
                </c:pt>
                <c:pt idx="72">
                  <c:v>42229</c:v>
                </c:pt>
                <c:pt idx="73">
                  <c:v>42229</c:v>
                </c:pt>
                <c:pt idx="74">
                  <c:v>42229</c:v>
                </c:pt>
                <c:pt idx="75">
                  <c:v>42229</c:v>
                </c:pt>
                <c:pt idx="76">
                  <c:v>42229</c:v>
                </c:pt>
                <c:pt idx="77">
                  <c:v>42229</c:v>
                </c:pt>
                <c:pt idx="78">
                  <c:v>42229</c:v>
                </c:pt>
                <c:pt idx="79">
                  <c:v>42229</c:v>
                </c:pt>
                <c:pt idx="80">
                  <c:v>42229</c:v>
                </c:pt>
                <c:pt idx="81">
                  <c:v>42229</c:v>
                </c:pt>
                <c:pt idx="82">
                  <c:v>42229</c:v>
                </c:pt>
                <c:pt idx="83">
                  <c:v>42229</c:v>
                </c:pt>
                <c:pt idx="84">
                  <c:v>42229</c:v>
                </c:pt>
                <c:pt idx="85">
                  <c:v>42229</c:v>
                </c:pt>
                <c:pt idx="86">
                  <c:v>42229</c:v>
                </c:pt>
                <c:pt idx="87">
                  <c:v>42229</c:v>
                </c:pt>
                <c:pt idx="88">
                  <c:v>42229</c:v>
                </c:pt>
                <c:pt idx="89">
                  <c:v>42229</c:v>
                </c:pt>
                <c:pt idx="90">
                  <c:v>42229</c:v>
                </c:pt>
                <c:pt idx="91">
                  <c:v>42229</c:v>
                </c:pt>
                <c:pt idx="92">
                  <c:v>42229</c:v>
                </c:pt>
                <c:pt idx="93">
                  <c:v>42229</c:v>
                </c:pt>
                <c:pt idx="94">
                  <c:v>42229</c:v>
                </c:pt>
                <c:pt idx="95">
                  <c:v>42229</c:v>
                </c:pt>
                <c:pt idx="96">
                  <c:v>42229</c:v>
                </c:pt>
                <c:pt idx="97">
                  <c:v>42229</c:v>
                </c:pt>
                <c:pt idx="98">
                  <c:v>42229</c:v>
                </c:pt>
                <c:pt idx="99">
                  <c:v>42229</c:v>
                </c:pt>
                <c:pt idx="100">
                  <c:v>42229</c:v>
                </c:pt>
                <c:pt idx="101">
                  <c:v>42229</c:v>
                </c:pt>
                <c:pt idx="102">
                  <c:v>42229</c:v>
                </c:pt>
                <c:pt idx="103">
                  <c:v>42229</c:v>
                </c:pt>
                <c:pt idx="104">
                  <c:v>42229</c:v>
                </c:pt>
                <c:pt idx="105">
                  <c:v>42229</c:v>
                </c:pt>
                <c:pt idx="106">
                  <c:v>42229</c:v>
                </c:pt>
                <c:pt idx="107">
                  <c:v>42229</c:v>
                </c:pt>
                <c:pt idx="108">
                  <c:v>42229</c:v>
                </c:pt>
                <c:pt idx="109">
                  <c:v>42229</c:v>
                </c:pt>
                <c:pt idx="110">
                  <c:v>42229</c:v>
                </c:pt>
                <c:pt idx="111">
                  <c:v>42229</c:v>
                </c:pt>
                <c:pt idx="112">
                  <c:v>42229</c:v>
                </c:pt>
                <c:pt idx="113">
                  <c:v>42229</c:v>
                </c:pt>
                <c:pt idx="114">
                  <c:v>42229</c:v>
                </c:pt>
                <c:pt idx="115">
                  <c:v>42229</c:v>
                </c:pt>
                <c:pt idx="116">
                  <c:v>42229</c:v>
                </c:pt>
                <c:pt idx="117">
                  <c:v>42229</c:v>
                </c:pt>
                <c:pt idx="118">
                  <c:v>42229</c:v>
                </c:pt>
                <c:pt idx="119">
                  <c:v>42229</c:v>
                </c:pt>
                <c:pt idx="120">
                  <c:v>42229</c:v>
                </c:pt>
                <c:pt idx="121">
                  <c:v>42229</c:v>
                </c:pt>
                <c:pt idx="122">
                  <c:v>42229</c:v>
                </c:pt>
                <c:pt idx="123">
                  <c:v>42229</c:v>
                </c:pt>
                <c:pt idx="124">
                  <c:v>42229</c:v>
                </c:pt>
                <c:pt idx="125">
                  <c:v>42229</c:v>
                </c:pt>
                <c:pt idx="126">
                  <c:v>42229</c:v>
                </c:pt>
                <c:pt idx="127">
                  <c:v>42229</c:v>
                </c:pt>
                <c:pt idx="128">
                  <c:v>42229</c:v>
                </c:pt>
                <c:pt idx="129">
                  <c:v>42229</c:v>
                </c:pt>
                <c:pt idx="130">
                  <c:v>42229</c:v>
                </c:pt>
                <c:pt idx="131">
                  <c:v>42229</c:v>
                </c:pt>
                <c:pt idx="132">
                  <c:v>42229</c:v>
                </c:pt>
                <c:pt idx="133">
                  <c:v>42229</c:v>
                </c:pt>
                <c:pt idx="134">
                  <c:v>42229</c:v>
                </c:pt>
                <c:pt idx="135">
                  <c:v>42229</c:v>
                </c:pt>
                <c:pt idx="136">
                  <c:v>42229</c:v>
                </c:pt>
                <c:pt idx="137">
                  <c:v>42229</c:v>
                </c:pt>
                <c:pt idx="138">
                  <c:v>42229</c:v>
                </c:pt>
                <c:pt idx="139">
                  <c:v>42229</c:v>
                </c:pt>
                <c:pt idx="140">
                  <c:v>42229</c:v>
                </c:pt>
                <c:pt idx="141">
                  <c:v>42229</c:v>
                </c:pt>
                <c:pt idx="142">
                  <c:v>42229</c:v>
                </c:pt>
                <c:pt idx="143">
                  <c:v>42229</c:v>
                </c:pt>
                <c:pt idx="144">
                  <c:v>42229</c:v>
                </c:pt>
                <c:pt idx="145">
                  <c:v>42229</c:v>
                </c:pt>
                <c:pt idx="146">
                  <c:v>42229</c:v>
                </c:pt>
                <c:pt idx="147">
                  <c:v>42229</c:v>
                </c:pt>
                <c:pt idx="148">
                  <c:v>42229</c:v>
                </c:pt>
                <c:pt idx="149">
                  <c:v>42229</c:v>
                </c:pt>
                <c:pt idx="150">
                  <c:v>42229</c:v>
                </c:pt>
                <c:pt idx="151">
                  <c:v>42229</c:v>
                </c:pt>
                <c:pt idx="152">
                  <c:v>42229</c:v>
                </c:pt>
                <c:pt idx="153">
                  <c:v>42229</c:v>
                </c:pt>
                <c:pt idx="154">
                  <c:v>42229</c:v>
                </c:pt>
                <c:pt idx="155">
                  <c:v>42229</c:v>
                </c:pt>
                <c:pt idx="156">
                  <c:v>42229</c:v>
                </c:pt>
                <c:pt idx="157">
                  <c:v>42229</c:v>
                </c:pt>
                <c:pt idx="158">
                  <c:v>42229</c:v>
                </c:pt>
                <c:pt idx="159">
                  <c:v>42229</c:v>
                </c:pt>
                <c:pt idx="160">
                  <c:v>42229</c:v>
                </c:pt>
                <c:pt idx="161">
                  <c:v>42229</c:v>
                </c:pt>
                <c:pt idx="162">
                  <c:v>42229</c:v>
                </c:pt>
                <c:pt idx="163">
                  <c:v>42229</c:v>
                </c:pt>
                <c:pt idx="164">
                  <c:v>42229</c:v>
                </c:pt>
                <c:pt idx="165">
                  <c:v>42229</c:v>
                </c:pt>
                <c:pt idx="166">
                  <c:v>42229</c:v>
                </c:pt>
                <c:pt idx="167">
                  <c:v>42229</c:v>
                </c:pt>
                <c:pt idx="168">
                  <c:v>42229</c:v>
                </c:pt>
                <c:pt idx="169">
                  <c:v>42229</c:v>
                </c:pt>
                <c:pt idx="170">
                  <c:v>42229</c:v>
                </c:pt>
                <c:pt idx="171">
                  <c:v>42229</c:v>
                </c:pt>
                <c:pt idx="172">
                  <c:v>42229</c:v>
                </c:pt>
                <c:pt idx="173">
                  <c:v>42229</c:v>
                </c:pt>
                <c:pt idx="174">
                  <c:v>42229</c:v>
                </c:pt>
                <c:pt idx="175">
                  <c:v>42229</c:v>
                </c:pt>
                <c:pt idx="176">
                  <c:v>42229</c:v>
                </c:pt>
                <c:pt idx="177">
                  <c:v>42229</c:v>
                </c:pt>
                <c:pt idx="178">
                  <c:v>42229</c:v>
                </c:pt>
                <c:pt idx="179">
                  <c:v>42229</c:v>
                </c:pt>
                <c:pt idx="180">
                  <c:v>42229</c:v>
                </c:pt>
                <c:pt idx="181">
                  <c:v>42229</c:v>
                </c:pt>
                <c:pt idx="182">
                  <c:v>42229</c:v>
                </c:pt>
                <c:pt idx="183">
                  <c:v>42229</c:v>
                </c:pt>
                <c:pt idx="184">
                  <c:v>42229</c:v>
                </c:pt>
                <c:pt idx="185">
                  <c:v>42229</c:v>
                </c:pt>
                <c:pt idx="186">
                  <c:v>42229</c:v>
                </c:pt>
                <c:pt idx="187">
                  <c:v>42229</c:v>
                </c:pt>
                <c:pt idx="188">
                  <c:v>42229</c:v>
                </c:pt>
                <c:pt idx="189">
                  <c:v>42229</c:v>
                </c:pt>
                <c:pt idx="190">
                  <c:v>42229</c:v>
                </c:pt>
                <c:pt idx="191">
                  <c:v>42229</c:v>
                </c:pt>
                <c:pt idx="192">
                  <c:v>42229</c:v>
                </c:pt>
                <c:pt idx="193">
                  <c:v>42229</c:v>
                </c:pt>
                <c:pt idx="194">
                  <c:v>42229</c:v>
                </c:pt>
                <c:pt idx="195">
                  <c:v>42229</c:v>
                </c:pt>
                <c:pt idx="196">
                  <c:v>42229</c:v>
                </c:pt>
                <c:pt idx="197">
                  <c:v>42229</c:v>
                </c:pt>
                <c:pt idx="198">
                  <c:v>42229</c:v>
                </c:pt>
                <c:pt idx="199">
                  <c:v>42229</c:v>
                </c:pt>
                <c:pt idx="200">
                  <c:v>42229</c:v>
                </c:pt>
                <c:pt idx="201">
                  <c:v>42229</c:v>
                </c:pt>
                <c:pt idx="202">
                  <c:v>42229</c:v>
                </c:pt>
                <c:pt idx="203">
                  <c:v>42229</c:v>
                </c:pt>
                <c:pt idx="204">
                  <c:v>42229</c:v>
                </c:pt>
                <c:pt idx="205">
                  <c:v>42229</c:v>
                </c:pt>
                <c:pt idx="206">
                  <c:v>42229</c:v>
                </c:pt>
                <c:pt idx="207">
                  <c:v>42229</c:v>
                </c:pt>
                <c:pt idx="208">
                  <c:v>42229</c:v>
                </c:pt>
                <c:pt idx="209">
                  <c:v>42229</c:v>
                </c:pt>
                <c:pt idx="210">
                  <c:v>42229</c:v>
                </c:pt>
                <c:pt idx="211">
                  <c:v>42229</c:v>
                </c:pt>
                <c:pt idx="212">
                  <c:v>42229</c:v>
                </c:pt>
                <c:pt idx="213">
                  <c:v>42229</c:v>
                </c:pt>
                <c:pt idx="214">
                  <c:v>42229</c:v>
                </c:pt>
                <c:pt idx="215">
                  <c:v>42229</c:v>
                </c:pt>
                <c:pt idx="216">
                  <c:v>42229</c:v>
                </c:pt>
                <c:pt idx="217">
                  <c:v>42229</c:v>
                </c:pt>
                <c:pt idx="218">
                  <c:v>42229</c:v>
                </c:pt>
                <c:pt idx="219">
                  <c:v>42229</c:v>
                </c:pt>
                <c:pt idx="220">
                  <c:v>42229</c:v>
                </c:pt>
                <c:pt idx="221">
                  <c:v>42229</c:v>
                </c:pt>
                <c:pt idx="222">
                  <c:v>42229</c:v>
                </c:pt>
                <c:pt idx="223">
                  <c:v>42229</c:v>
                </c:pt>
                <c:pt idx="224">
                  <c:v>42229</c:v>
                </c:pt>
                <c:pt idx="225">
                  <c:v>42229</c:v>
                </c:pt>
                <c:pt idx="226">
                  <c:v>42229</c:v>
                </c:pt>
                <c:pt idx="227">
                  <c:v>42229</c:v>
                </c:pt>
                <c:pt idx="228">
                  <c:v>42229</c:v>
                </c:pt>
                <c:pt idx="229">
                  <c:v>42229</c:v>
                </c:pt>
                <c:pt idx="230">
                  <c:v>42229</c:v>
                </c:pt>
                <c:pt idx="231">
                  <c:v>42229</c:v>
                </c:pt>
                <c:pt idx="232">
                  <c:v>42229</c:v>
                </c:pt>
                <c:pt idx="233">
                  <c:v>42229</c:v>
                </c:pt>
                <c:pt idx="234">
                  <c:v>42229</c:v>
                </c:pt>
                <c:pt idx="235">
                  <c:v>42229</c:v>
                </c:pt>
                <c:pt idx="236">
                  <c:v>42229</c:v>
                </c:pt>
                <c:pt idx="237">
                  <c:v>42229</c:v>
                </c:pt>
                <c:pt idx="238">
                  <c:v>42229</c:v>
                </c:pt>
                <c:pt idx="239">
                  <c:v>42229</c:v>
                </c:pt>
                <c:pt idx="240">
                  <c:v>42229</c:v>
                </c:pt>
                <c:pt idx="241">
                  <c:v>42229</c:v>
                </c:pt>
                <c:pt idx="242">
                  <c:v>42229</c:v>
                </c:pt>
                <c:pt idx="243">
                  <c:v>42229</c:v>
                </c:pt>
                <c:pt idx="244">
                  <c:v>42229</c:v>
                </c:pt>
                <c:pt idx="245">
                  <c:v>42229</c:v>
                </c:pt>
                <c:pt idx="246">
                  <c:v>42229</c:v>
                </c:pt>
                <c:pt idx="247">
                  <c:v>42229</c:v>
                </c:pt>
                <c:pt idx="248">
                  <c:v>42229</c:v>
                </c:pt>
                <c:pt idx="249">
                  <c:v>42229</c:v>
                </c:pt>
                <c:pt idx="250">
                  <c:v>42229</c:v>
                </c:pt>
                <c:pt idx="251">
                  <c:v>42229</c:v>
                </c:pt>
                <c:pt idx="252">
                  <c:v>42229</c:v>
                </c:pt>
                <c:pt idx="253">
                  <c:v>42229</c:v>
                </c:pt>
                <c:pt idx="254">
                  <c:v>42229</c:v>
                </c:pt>
                <c:pt idx="255">
                  <c:v>42229</c:v>
                </c:pt>
                <c:pt idx="256">
                  <c:v>42229</c:v>
                </c:pt>
                <c:pt idx="257">
                  <c:v>42229</c:v>
                </c:pt>
                <c:pt idx="258">
                  <c:v>42229</c:v>
                </c:pt>
                <c:pt idx="259">
                  <c:v>42229</c:v>
                </c:pt>
                <c:pt idx="260">
                  <c:v>42229</c:v>
                </c:pt>
                <c:pt idx="261">
                  <c:v>42229</c:v>
                </c:pt>
                <c:pt idx="262">
                  <c:v>42229</c:v>
                </c:pt>
                <c:pt idx="263">
                  <c:v>42229</c:v>
                </c:pt>
                <c:pt idx="264">
                  <c:v>42229</c:v>
                </c:pt>
                <c:pt idx="265">
                  <c:v>42229</c:v>
                </c:pt>
                <c:pt idx="266">
                  <c:v>42229</c:v>
                </c:pt>
                <c:pt idx="267">
                  <c:v>42229</c:v>
                </c:pt>
                <c:pt idx="268">
                  <c:v>42229</c:v>
                </c:pt>
                <c:pt idx="269">
                  <c:v>42229</c:v>
                </c:pt>
                <c:pt idx="270">
                  <c:v>42229</c:v>
                </c:pt>
                <c:pt idx="271">
                  <c:v>42229</c:v>
                </c:pt>
                <c:pt idx="272">
                  <c:v>42229</c:v>
                </c:pt>
                <c:pt idx="273">
                  <c:v>42229</c:v>
                </c:pt>
                <c:pt idx="274">
                  <c:v>42229</c:v>
                </c:pt>
                <c:pt idx="275">
                  <c:v>42229</c:v>
                </c:pt>
                <c:pt idx="276">
                  <c:v>42229</c:v>
                </c:pt>
                <c:pt idx="277">
                  <c:v>42229</c:v>
                </c:pt>
                <c:pt idx="278">
                  <c:v>42229</c:v>
                </c:pt>
                <c:pt idx="279">
                  <c:v>42229</c:v>
                </c:pt>
                <c:pt idx="280">
                  <c:v>42229</c:v>
                </c:pt>
                <c:pt idx="281">
                  <c:v>42229</c:v>
                </c:pt>
                <c:pt idx="282">
                  <c:v>42229</c:v>
                </c:pt>
                <c:pt idx="283">
                  <c:v>42229</c:v>
                </c:pt>
                <c:pt idx="284">
                  <c:v>42229</c:v>
                </c:pt>
                <c:pt idx="285">
                  <c:v>42229</c:v>
                </c:pt>
                <c:pt idx="286">
                  <c:v>42229</c:v>
                </c:pt>
                <c:pt idx="287">
                  <c:v>42229</c:v>
                </c:pt>
                <c:pt idx="288">
                  <c:v>42229</c:v>
                </c:pt>
                <c:pt idx="289">
                  <c:v>42229</c:v>
                </c:pt>
                <c:pt idx="290">
                  <c:v>42229</c:v>
                </c:pt>
                <c:pt idx="291">
                  <c:v>42229</c:v>
                </c:pt>
                <c:pt idx="292">
                  <c:v>42229</c:v>
                </c:pt>
                <c:pt idx="293">
                  <c:v>42229</c:v>
                </c:pt>
                <c:pt idx="294">
                  <c:v>42229</c:v>
                </c:pt>
                <c:pt idx="295">
                  <c:v>42229</c:v>
                </c:pt>
                <c:pt idx="296">
                  <c:v>42229</c:v>
                </c:pt>
                <c:pt idx="297">
                  <c:v>42229</c:v>
                </c:pt>
                <c:pt idx="298">
                  <c:v>42229</c:v>
                </c:pt>
                <c:pt idx="299">
                  <c:v>42229</c:v>
                </c:pt>
                <c:pt idx="300">
                  <c:v>42229</c:v>
                </c:pt>
                <c:pt idx="301">
                  <c:v>42229</c:v>
                </c:pt>
                <c:pt idx="302">
                  <c:v>42229</c:v>
                </c:pt>
                <c:pt idx="303">
                  <c:v>42229</c:v>
                </c:pt>
                <c:pt idx="304">
                  <c:v>42229</c:v>
                </c:pt>
                <c:pt idx="305">
                  <c:v>42229</c:v>
                </c:pt>
                <c:pt idx="306">
                  <c:v>42229</c:v>
                </c:pt>
                <c:pt idx="307">
                  <c:v>42229</c:v>
                </c:pt>
                <c:pt idx="308">
                  <c:v>42229</c:v>
                </c:pt>
                <c:pt idx="309">
                  <c:v>42229</c:v>
                </c:pt>
                <c:pt idx="310">
                  <c:v>42229</c:v>
                </c:pt>
                <c:pt idx="311">
                  <c:v>42229</c:v>
                </c:pt>
                <c:pt idx="312">
                  <c:v>42229</c:v>
                </c:pt>
                <c:pt idx="313">
                  <c:v>42229</c:v>
                </c:pt>
                <c:pt idx="314">
                  <c:v>42229</c:v>
                </c:pt>
                <c:pt idx="315">
                  <c:v>42229</c:v>
                </c:pt>
                <c:pt idx="316">
                  <c:v>42229</c:v>
                </c:pt>
                <c:pt idx="317">
                  <c:v>42229</c:v>
                </c:pt>
                <c:pt idx="318">
                  <c:v>42229</c:v>
                </c:pt>
                <c:pt idx="319">
                  <c:v>42229</c:v>
                </c:pt>
                <c:pt idx="320">
                  <c:v>42229</c:v>
                </c:pt>
                <c:pt idx="321">
                  <c:v>42229</c:v>
                </c:pt>
                <c:pt idx="322">
                  <c:v>42229</c:v>
                </c:pt>
                <c:pt idx="323">
                  <c:v>42229</c:v>
                </c:pt>
                <c:pt idx="324">
                  <c:v>42229</c:v>
                </c:pt>
                <c:pt idx="325">
                  <c:v>42229</c:v>
                </c:pt>
                <c:pt idx="326">
                  <c:v>42229</c:v>
                </c:pt>
                <c:pt idx="327">
                  <c:v>42229</c:v>
                </c:pt>
                <c:pt idx="328">
                  <c:v>42229</c:v>
                </c:pt>
                <c:pt idx="329">
                  <c:v>42229</c:v>
                </c:pt>
                <c:pt idx="330">
                  <c:v>42229</c:v>
                </c:pt>
                <c:pt idx="331">
                  <c:v>42229</c:v>
                </c:pt>
                <c:pt idx="332">
                  <c:v>42229</c:v>
                </c:pt>
                <c:pt idx="333">
                  <c:v>42229</c:v>
                </c:pt>
                <c:pt idx="334">
                  <c:v>42229</c:v>
                </c:pt>
                <c:pt idx="335">
                  <c:v>42229</c:v>
                </c:pt>
                <c:pt idx="336">
                  <c:v>42229</c:v>
                </c:pt>
                <c:pt idx="337">
                  <c:v>42229</c:v>
                </c:pt>
                <c:pt idx="338">
                  <c:v>42229</c:v>
                </c:pt>
                <c:pt idx="339">
                  <c:v>42229</c:v>
                </c:pt>
                <c:pt idx="340">
                  <c:v>42229</c:v>
                </c:pt>
                <c:pt idx="341">
                  <c:v>42229</c:v>
                </c:pt>
                <c:pt idx="342">
                  <c:v>42229</c:v>
                </c:pt>
                <c:pt idx="343">
                  <c:v>42229</c:v>
                </c:pt>
                <c:pt idx="344">
                  <c:v>42229</c:v>
                </c:pt>
                <c:pt idx="345">
                  <c:v>42229</c:v>
                </c:pt>
                <c:pt idx="346">
                  <c:v>42229</c:v>
                </c:pt>
                <c:pt idx="347">
                  <c:v>42229</c:v>
                </c:pt>
                <c:pt idx="348">
                  <c:v>42229</c:v>
                </c:pt>
                <c:pt idx="349">
                  <c:v>42229</c:v>
                </c:pt>
                <c:pt idx="350">
                  <c:v>42229</c:v>
                </c:pt>
                <c:pt idx="351">
                  <c:v>42229</c:v>
                </c:pt>
                <c:pt idx="352">
                  <c:v>42229</c:v>
                </c:pt>
                <c:pt idx="353">
                  <c:v>42229</c:v>
                </c:pt>
                <c:pt idx="354">
                  <c:v>42229</c:v>
                </c:pt>
                <c:pt idx="355">
                  <c:v>42229</c:v>
                </c:pt>
                <c:pt idx="356">
                  <c:v>42229</c:v>
                </c:pt>
                <c:pt idx="357">
                  <c:v>42229</c:v>
                </c:pt>
                <c:pt idx="358">
                  <c:v>42229</c:v>
                </c:pt>
                <c:pt idx="359">
                  <c:v>42229</c:v>
                </c:pt>
                <c:pt idx="360">
                  <c:v>42229</c:v>
                </c:pt>
                <c:pt idx="361">
                  <c:v>42229</c:v>
                </c:pt>
                <c:pt idx="362">
                  <c:v>42229</c:v>
                </c:pt>
                <c:pt idx="363">
                  <c:v>42229</c:v>
                </c:pt>
                <c:pt idx="364">
                  <c:v>42229</c:v>
                </c:pt>
              </c:numCache>
            </c:numRef>
          </c:cat>
          <c:val>
            <c:numRef>
              <c:f>BH_Mois!$F$2:$F$365</c:f>
              <c:numCache>
                <c:formatCode>General</c:formatCode>
                <c:ptCount val="364"/>
                <c:pt idx="0">
                  <c:v>23.657902728123439</c:v>
                </c:pt>
                <c:pt idx="1">
                  <c:v>19.840186118130273</c:v>
                </c:pt>
                <c:pt idx="2">
                  <c:v>20.241080914597212</c:v>
                </c:pt>
                <c:pt idx="3">
                  <c:v>17.177511805915348</c:v>
                </c:pt>
                <c:pt idx="4">
                  <c:v>27.803654351404369</c:v>
                </c:pt>
                <c:pt idx="5">
                  <c:v>33.636231266642874</c:v>
                </c:pt>
                <c:pt idx="6">
                  <c:v>50.494366187414052</c:v>
                </c:pt>
                <c:pt idx="7">
                  <c:v>47.608376777312344</c:v>
                </c:pt>
                <c:pt idx="8">
                  <c:v>44.7989775135608</c:v>
                </c:pt>
                <c:pt idx="9">
                  <c:v>42.802313293283071</c:v>
                </c:pt>
                <c:pt idx="10">
                  <c:v>62.890060955145096</c:v>
                </c:pt>
                <c:pt idx="11">
                  <c:v>65.212737745190012</c:v>
                </c:pt>
                <c:pt idx="12">
                  <c:v>62.458770128569405</c:v>
                </c:pt>
                <c:pt idx="13">
                  <c:v>59.579801107456078</c:v>
                </c:pt>
                <c:pt idx="14">
                  <c:v>58.153061233998926</c:v>
                </c:pt>
                <c:pt idx="15">
                  <c:v>58.153061233998926</c:v>
                </c:pt>
                <c:pt idx="16">
                  <c:v>58.153061233998926</c:v>
                </c:pt>
                <c:pt idx="17">
                  <c:v>58.153061233998926</c:v>
                </c:pt>
                <c:pt idx="18">
                  <c:v>58.153061233998926</c:v>
                </c:pt>
                <c:pt idx="19">
                  <c:v>58.153061233998926</c:v>
                </c:pt>
                <c:pt idx="20">
                  <c:v>58.153061233998926</c:v>
                </c:pt>
                <c:pt idx="21">
                  <c:v>58.153061233998926</c:v>
                </c:pt>
                <c:pt idx="22">
                  <c:v>58.153061233998926</c:v>
                </c:pt>
                <c:pt idx="23">
                  <c:v>58.153061233998926</c:v>
                </c:pt>
                <c:pt idx="24">
                  <c:v>58.153061233998926</c:v>
                </c:pt>
                <c:pt idx="25">
                  <c:v>58.153061233998926</c:v>
                </c:pt>
                <c:pt idx="26">
                  <c:v>58.153061233998926</c:v>
                </c:pt>
                <c:pt idx="27">
                  <c:v>58.153061233998926</c:v>
                </c:pt>
                <c:pt idx="28">
                  <c:v>58.153061233998926</c:v>
                </c:pt>
                <c:pt idx="29">
                  <c:v>58.153061233998926</c:v>
                </c:pt>
                <c:pt idx="30">
                  <c:v>58.153061233998926</c:v>
                </c:pt>
                <c:pt idx="31">
                  <c:v>58.153061233998926</c:v>
                </c:pt>
                <c:pt idx="32">
                  <c:v>58.153061233998926</c:v>
                </c:pt>
                <c:pt idx="33">
                  <c:v>58.153061233998926</c:v>
                </c:pt>
                <c:pt idx="34">
                  <c:v>58.153061233998926</c:v>
                </c:pt>
                <c:pt idx="35">
                  <c:v>58.153061233998926</c:v>
                </c:pt>
                <c:pt idx="36">
                  <c:v>58.153061233998926</c:v>
                </c:pt>
                <c:pt idx="37">
                  <c:v>58.153061233998926</c:v>
                </c:pt>
                <c:pt idx="38">
                  <c:v>58.153061233998926</c:v>
                </c:pt>
                <c:pt idx="39">
                  <c:v>58.153061233998926</c:v>
                </c:pt>
                <c:pt idx="40">
                  <c:v>58.153061233998926</c:v>
                </c:pt>
                <c:pt idx="41">
                  <c:v>58.153061233998926</c:v>
                </c:pt>
                <c:pt idx="42">
                  <c:v>58.153061233998926</c:v>
                </c:pt>
                <c:pt idx="43">
                  <c:v>58.153061233998926</c:v>
                </c:pt>
                <c:pt idx="44">
                  <c:v>58.153061233998926</c:v>
                </c:pt>
                <c:pt idx="45">
                  <c:v>58.153061233998926</c:v>
                </c:pt>
                <c:pt idx="46">
                  <c:v>58.153061233998926</c:v>
                </c:pt>
                <c:pt idx="47">
                  <c:v>58.153061233998926</c:v>
                </c:pt>
                <c:pt idx="48">
                  <c:v>58.153061233998926</c:v>
                </c:pt>
                <c:pt idx="49">
                  <c:v>58.153061233998926</c:v>
                </c:pt>
                <c:pt idx="50">
                  <c:v>58.153061233998926</c:v>
                </c:pt>
                <c:pt idx="51">
                  <c:v>58.153061233998926</c:v>
                </c:pt>
                <c:pt idx="52">
                  <c:v>58.153061233998926</c:v>
                </c:pt>
                <c:pt idx="53">
                  <c:v>58.153061233998926</c:v>
                </c:pt>
                <c:pt idx="54">
                  <c:v>58.153061233998926</c:v>
                </c:pt>
                <c:pt idx="55">
                  <c:v>58.153061233998926</c:v>
                </c:pt>
                <c:pt idx="56">
                  <c:v>58.153061233998926</c:v>
                </c:pt>
                <c:pt idx="57">
                  <c:v>58.153061233998926</c:v>
                </c:pt>
                <c:pt idx="58">
                  <c:v>58.153061233998926</c:v>
                </c:pt>
                <c:pt idx="59">
                  <c:v>58.153061233998926</c:v>
                </c:pt>
                <c:pt idx="60">
                  <c:v>58.153061233998926</c:v>
                </c:pt>
                <c:pt idx="61">
                  <c:v>58.153061233998926</c:v>
                </c:pt>
                <c:pt idx="62">
                  <c:v>58.153061233998926</c:v>
                </c:pt>
                <c:pt idx="63">
                  <c:v>58.153061233998926</c:v>
                </c:pt>
                <c:pt idx="64">
                  <c:v>58.153061233998926</c:v>
                </c:pt>
                <c:pt idx="65">
                  <c:v>58.153061233998926</c:v>
                </c:pt>
                <c:pt idx="66">
                  <c:v>58.153061233998926</c:v>
                </c:pt>
                <c:pt idx="67">
                  <c:v>58.153061233998926</c:v>
                </c:pt>
                <c:pt idx="68">
                  <c:v>58.153061233998926</c:v>
                </c:pt>
                <c:pt idx="69">
                  <c:v>58.153061233998926</c:v>
                </c:pt>
                <c:pt idx="70">
                  <c:v>58.153061233998926</c:v>
                </c:pt>
                <c:pt idx="71">
                  <c:v>58.153061233998926</c:v>
                </c:pt>
                <c:pt idx="72">
                  <c:v>58.153061233998926</c:v>
                </c:pt>
                <c:pt idx="73">
                  <c:v>58.153061233998926</c:v>
                </c:pt>
                <c:pt idx="74">
                  <c:v>58.153061233998926</c:v>
                </c:pt>
                <c:pt idx="75">
                  <c:v>58.153061233998926</c:v>
                </c:pt>
                <c:pt idx="76">
                  <c:v>58.153061233998926</c:v>
                </c:pt>
                <c:pt idx="77">
                  <c:v>58.153061233998926</c:v>
                </c:pt>
                <c:pt idx="78">
                  <c:v>58.153061233998926</c:v>
                </c:pt>
                <c:pt idx="79">
                  <c:v>58.153061233998926</c:v>
                </c:pt>
                <c:pt idx="80">
                  <c:v>58.153061233998926</c:v>
                </c:pt>
                <c:pt idx="81">
                  <c:v>58.153061233998926</c:v>
                </c:pt>
                <c:pt idx="82">
                  <c:v>58.153061233998926</c:v>
                </c:pt>
                <c:pt idx="83">
                  <c:v>58.153061233998926</c:v>
                </c:pt>
                <c:pt idx="84">
                  <c:v>58.153061233998926</c:v>
                </c:pt>
                <c:pt idx="85">
                  <c:v>58.153061233998926</c:v>
                </c:pt>
                <c:pt idx="86">
                  <c:v>58.153061233998926</c:v>
                </c:pt>
                <c:pt idx="87">
                  <c:v>58.153061233998926</c:v>
                </c:pt>
                <c:pt idx="88">
                  <c:v>58.153061233998926</c:v>
                </c:pt>
                <c:pt idx="89">
                  <c:v>58.153061233998926</c:v>
                </c:pt>
                <c:pt idx="90">
                  <c:v>58.153061233998926</c:v>
                </c:pt>
                <c:pt idx="91">
                  <c:v>58.153061233998926</c:v>
                </c:pt>
                <c:pt idx="92">
                  <c:v>58.153061233998926</c:v>
                </c:pt>
                <c:pt idx="93">
                  <c:v>58.153061233998926</c:v>
                </c:pt>
                <c:pt idx="94">
                  <c:v>58.153061233998926</c:v>
                </c:pt>
                <c:pt idx="95">
                  <c:v>58.153061233998926</c:v>
                </c:pt>
                <c:pt idx="96">
                  <c:v>58.153061233998926</c:v>
                </c:pt>
                <c:pt idx="97">
                  <c:v>58.153061233998926</c:v>
                </c:pt>
                <c:pt idx="98">
                  <c:v>58.153061233998926</c:v>
                </c:pt>
                <c:pt idx="99">
                  <c:v>58.153061233998926</c:v>
                </c:pt>
                <c:pt idx="100">
                  <c:v>58.153061233998926</c:v>
                </c:pt>
                <c:pt idx="101">
                  <c:v>58.153061233998926</c:v>
                </c:pt>
                <c:pt idx="102">
                  <c:v>58.153061233998926</c:v>
                </c:pt>
                <c:pt idx="103">
                  <c:v>58.153061233998926</c:v>
                </c:pt>
                <c:pt idx="104">
                  <c:v>58.153061233998926</c:v>
                </c:pt>
                <c:pt idx="105">
                  <c:v>58.153061233998926</c:v>
                </c:pt>
                <c:pt idx="106">
                  <c:v>58.153061233998926</c:v>
                </c:pt>
                <c:pt idx="107">
                  <c:v>58.153061233998926</c:v>
                </c:pt>
                <c:pt idx="108">
                  <c:v>58.153061233998926</c:v>
                </c:pt>
                <c:pt idx="109">
                  <c:v>58.153061233998926</c:v>
                </c:pt>
                <c:pt idx="110">
                  <c:v>58.153061233998926</c:v>
                </c:pt>
                <c:pt idx="111">
                  <c:v>58.153061233998926</c:v>
                </c:pt>
                <c:pt idx="112">
                  <c:v>58.153061233998926</c:v>
                </c:pt>
                <c:pt idx="113">
                  <c:v>58.153061233998926</c:v>
                </c:pt>
                <c:pt idx="114">
                  <c:v>58.153061233998926</c:v>
                </c:pt>
                <c:pt idx="115">
                  <c:v>58.153061233998926</c:v>
                </c:pt>
                <c:pt idx="116">
                  <c:v>58.153061233998926</c:v>
                </c:pt>
                <c:pt idx="117">
                  <c:v>58.153061233998926</c:v>
                </c:pt>
                <c:pt idx="118">
                  <c:v>58.153061233998926</c:v>
                </c:pt>
                <c:pt idx="119">
                  <c:v>58.153061233998926</c:v>
                </c:pt>
                <c:pt idx="120">
                  <c:v>58.153061233998926</c:v>
                </c:pt>
                <c:pt idx="121">
                  <c:v>58.153061233998926</c:v>
                </c:pt>
                <c:pt idx="122">
                  <c:v>58.153061233998926</c:v>
                </c:pt>
                <c:pt idx="123">
                  <c:v>58.153061233998926</c:v>
                </c:pt>
                <c:pt idx="124">
                  <c:v>58.153061233998926</c:v>
                </c:pt>
                <c:pt idx="125">
                  <c:v>58.153061233998926</c:v>
                </c:pt>
                <c:pt idx="126">
                  <c:v>58.153061233998926</c:v>
                </c:pt>
                <c:pt idx="127">
                  <c:v>58.153061233998926</c:v>
                </c:pt>
                <c:pt idx="128">
                  <c:v>58.153061233998926</c:v>
                </c:pt>
                <c:pt idx="129">
                  <c:v>58.153061233998926</c:v>
                </c:pt>
                <c:pt idx="130">
                  <c:v>58.153061233998926</c:v>
                </c:pt>
                <c:pt idx="131">
                  <c:v>58.153061233998926</c:v>
                </c:pt>
                <c:pt idx="132">
                  <c:v>58.153061233998926</c:v>
                </c:pt>
                <c:pt idx="133">
                  <c:v>58.153061233998926</c:v>
                </c:pt>
                <c:pt idx="134">
                  <c:v>58.153061233998926</c:v>
                </c:pt>
                <c:pt idx="135">
                  <c:v>58.153061233998926</c:v>
                </c:pt>
                <c:pt idx="136">
                  <c:v>58.153061233998926</c:v>
                </c:pt>
                <c:pt idx="137">
                  <c:v>58.153061233998926</c:v>
                </c:pt>
                <c:pt idx="138">
                  <c:v>58.153061233998926</c:v>
                </c:pt>
                <c:pt idx="139">
                  <c:v>58.153061233998926</c:v>
                </c:pt>
                <c:pt idx="140">
                  <c:v>58.153061233998926</c:v>
                </c:pt>
                <c:pt idx="141">
                  <c:v>58.153061233998926</c:v>
                </c:pt>
                <c:pt idx="142">
                  <c:v>58.153061233998926</c:v>
                </c:pt>
                <c:pt idx="143">
                  <c:v>58.153061233998926</c:v>
                </c:pt>
                <c:pt idx="144">
                  <c:v>58.153061233998926</c:v>
                </c:pt>
                <c:pt idx="145">
                  <c:v>58.153061233998926</c:v>
                </c:pt>
                <c:pt idx="146">
                  <c:v>58.153061233998926</c:v>
                </c:pt>
                <c:pt idx="147">
                  <c:v>58.153061233998926</c:v>
                </c:pt>
                <c:pt idx="148">
                  <c:v>58.153061233998926</c:v>
                </c:pt>
                <c:pt idx="149">
                  <c:v>58.153061233998926</c:v>
                </c:pt>
                <c:pt idx="150">
                  <c:v>58.153061233998926</c:v>
                </c:pt>
                <c:pt idx="151">
                  <c:v>58.153061233998926</c:v>
                </c:pt>
                <c:pt idx="152">
                  <c:v>58.153061233998926</c:v>
                </c:pt>
                <c:pt idx="153">
                  <c:v>58.153061233998926</c:v>
                </c:pt>
                <c:pt idx="154">
                  <c:v>58.153061233998926</c:v>
                </c:pt>
                <c:pt idx="155">
                  <c:v>58.153061233998926</c:v>
                </c:pt>
                <c:pt idx="156">
                  <c:v>58.153061233998926</c:v>
                </c:pt>
                <c:pt idx="157">
                  <c:v>58.153061233998926</c:v>
                </c:pt>
                <c:pt idx="158">
                  <c:v>58.153061233998926</c:v>
                </c:pt>
                <c:pt idx="159">
                  <c:v>58.153061233998926</c:v>
                </c:pt>
                <c:pt idx="160">
                  <c:v>58.153061233998926</c:v>
                </c:pt>
                <c:pt idx="161">
                  <c:v>58.153061233998926</c:v>
                </c:pt>
                <c:pt idx="162">
                  <c:v>58.153061233998926</c:v>
                </c:pt>
                <c:pt idx="163">
                  <c:v>58.153061233998926</c:v>
                </c:pt>
                <c:pt idx="164">
                  <c:v>58.153061233998926</c:v>
                </c:pt>
                <c:pt idx="165">
                  <c:v>58.153061233998926</c:v>
                </c:pt>
                <c:pt idx="166">
                  <c:v>58.153061233998926</c:v>
                </c:pt>
                <c:pt idx="167">
                  <c:v>58.153061233998926</c:v>
                </c:pt>
                <c:pt idx="168">
                  <c:v>58.153061233998926</c:v>
                </c:pt>
                <c:pt idx="169">
                  <c:v>58.153061233998926</c:v>
                </c:pt>
                <c:pt idx="170">
                  <c:v>58.153061233998926</c:v>
                </c:pt>
                <c:pt idx="171">
                  <c:v>58.153061233998926</c:v>
                </c:pt>
                <c:pt idx="172">
                  <c:v>58.153061233998926</c:v>
                </c:pt>
                <c:pt idx="173">
                  <c:v>58.153061233998926</c:v>
                </c:pt>
                <c:pt idx="174">
                  <c:v>58.153061233998926</c:v>
                </c:pt>
                <c:pt idx="175">
                  <c:v>58.153061233998926</c:v>
                </c:pt>
                <c:pt idx="176">
                  <c:v>58.153061233998926</c:v>
                </c:pt>
                <c:pt idx="177">
                  <c:v>58.153061233998926</c:v>
                </c:pt>
                <c:pt idx="178">
                  <c:v>58.153061233998926</c:v>
                </c:pt>
                <c:pt idx="179">
                  <c:v>58.153061233998926</c:v>
                </c:pt>
                <c:pt idx="180">
                  <c:v>58.153061233998926</c:v>
                </c:pt>
                <c:pt idx="181">
                  <c:v>58.153061233998926</c:v>
                </c:pt>
                <c:pt idx="182">
                  <c:v>58.153061233998926</c:v>
                </c:pt>
                <c:pt idx="183">
                  <c:v>58.153061233998926</c:v>
                </c:pt>
                <c:pt idx="184">
                  <c:v>58.153061233998926</c:v>
                </c:pt>
                <c:pt idx="185">
                  <c:v>58.153061233998926</c:v>
                </c:pt>
                <c:pt idx="186">
                  <c:v>58.153061233998926</c:v>
                </c:pt>
                <c:pt idx="187">
                  <c:v>58.153061233998926</c:v>
                </c:pt>
                <c:pt idx="188">
                  <c:v>58.153061233998926</c:v>
                </c:pt>
                <c:pt idx="189">
                  <c:v>58.153061233998926</c:v>
                </c:pt>
                <c:pt idx="190">
                  <c:v>58.153061233998926</c:v>
                </c:pt>
                <c:pt idx="191">
                  <c:v>58.153061233998926</c:v>
                </c:pt>
                <c:pt idx="192">
                  <c:v>58.153061233998926</c:v>
                </c:pt>
                <c:pt idx="193">
                  <c:v>58.153061233998926</c:v>
                </c:pt>
                <c:pt idx="194">
                  <c:v>58.153061233998926</c:v>
                </c:pt>
                <c:pt idx="195">
                  <c:v>58.153061233998926</c:v>
                </c:pt>
                <c:pt idx="196">
                  <c:v>58.153061233998926</c:v>
                </c:pt>
                <c:pt idx="197">
                  <c:v>58.153061233998926</c:v>
                </c:pt>
                <c:pt idx="198">
                  <c:v>58.153061233998926</c:v>
                </c:pt>
                <c:pt idx="199">
                  <c:v>58.153061233998926</c:v>
                </c:pt>
                <c:pt idx="200">
                  <c:v>58.153061233998926</c:v>
                </c:pt>
                <c:pt idx="201">
                  <c:v>58.153061233998926</c:v>
                </c:pt>
                <c:pt idx="202">
                  <c:v>58.153061233998926</c:v>
                </c:pt>
                <c:pt idx="203">
                  <c:v>58.153061233998926</c:v>
                </c:pt>
                <c:pt idx="204">
                  <c:v>58.153061233998926</c:v>
                </c:pt>
                <c:pt idx="205">
                  <c:v>58.153061233998926</c:v>
                </c:pt>
                <c:pt idx="206">
                  <c:v>58.153061233998926</c:v>
                </c:pt>
                <c:pt idx="207">
                  <c:v>58.153061233998926</c:v>
                </c:pt>
                <c:pt idx="208">
                  <c:v>58.153061233998926</c:v>
                </c:pt>
                <c:pt idx="209">
                  <c:v>58.153061233998926</c:v>
                </c:pt>
                <c:pt idx="210">
                  <c:v>58.153061233998926</c:v>
                </c:pt>
                <c:pt idx="211">
                  <c:v>58.153061233998926</c:v>
                </c:pt>
                <c:pt idx="212">
                  <c:v>58.153061233998926</c:v>
                </c:pt>
                <c:pt idx="213">
                  <c:v>58.153061233998926</c:v>
                </c:pt>
                <c:pt idx="214">
                  <c:v>58.153061233998926</c:v>
                </c:pt>
                <c:pt idx="215">
                  <c:v>58.153061233998926</c:v>
                </c:pt>
                <c:pt idx="216">
                  <c:v>58.153061233998926</c:v>
                </c:pt>
                <c:pt idx="217">
                  <c:v>58.153061233998926</c:v>
                </c:pt>
                <c:pt idx="218">
                  <c:v>58.153061233998926</c:v>
                </c:pt>
                <c:pt idx="219">
                  <c:v>58.153061233998926</c:v>
                </c:pt>
                <c:pt idx="220">
                  <c:v>58.153061233998926</c:v>
                </c:pt>
                <c:pt idx="221">
                  <c:v>58.153061233998926</c:v>
                </c:pt>
                <c:pt idx="222">
                  <c:v>58.153061233998926</c:v>
                </c:pt>
                <c:pt idx="223">
                  <c:v>58.153061233998926</c:v>
                </c:pt>
                <c:pt idx="224">
                  <c:v>58.153061233998926</c:v>
                </c:pt>
                <c:pt idx="225">
                  <c:v>58.153061233998926</c:v>
                </c:pt>
                <c:pt idx="226">
                  <c:v>58.153061233998926</c:v>
                </c:pt>
                <c:pt idx="227">
                  <c:v>58.153061233998926</c:v>
                </c:pt>
                <c:pt idx="228">
                  <c:v>58.153061233998926</c:v>
                </c:pt>
                <c:pt idx="229">
                  <c:v>58.153061233998926</c:v>
                </c:pt>
                <c:pt idx="230">
                  <c:v>58.153061233998926</c:v>
                </c:pt>
                <c:pt idx="231">
                  <c:v>58.153061233998926</c:v>
                </c:pt>
                <c:pt idx="232">
                  <c:v>58.153061233998926</c:v>
                </c:pt>
                <c:pt idx="233">
                  <c:v>58.153061233998926</c:v>
                </c:pt>
                <c:pt idx="234">
                  <c:v>58.153061233998926</c:v>
                </c:pt>
                <c:pt idx="235">
                  <c:v>58.153061233998926</c:v>
                </c:pt>
                <c:pt idx="236">
                  <c:v>58.153061233998926</c:v>
                </c:pt>
                <c:pt idx="237">
                  <c:v>58.153061233998926</c:v>
                </c:pt>
                <c:pt idx="238">
                  <c:v>58.153061233998926</c:v>
                </c:pt>
                <c:pt idx="239">
                  <c:v>58.153061233998926</c:v>
                </c:pt>
                <c:pt idx="240">
                  <c:v>58.153061233998926</c:v>
                </c:pt>
                <c:pt idx="241">
                  <c:v>58.153061233998926</c:v>
                </c:pt>
                <c:pt idx="242">
                  <c:v>58.153061233998926</c:v>
                </c:pt>
                <c:pt idx="243">
                  <c:v>58.153061233998926</c:v>
                </c:pt>
                <c:pt idx="244">
                  <c:v>58.153061233998926</c:v>
                </c:pt>
                <c:pt idx="245">
                  <c:v>58.153061233998926</c:v>
                </c:pt>
                <c:pt idx="246">
                  <c:v>58.153061233998926</c:v>
                </c:pt>
                <c:pt idx="247">
                  <c:v>58.153061233998926</c:v>
                </c:pt>
                <c:pt idx="248">
                  <c:v>58.153061233998926</c:v>
                </c:pt>
                <c:pt idx="249">
                  <c:v>58.153061233998926</c:v>
                </c:pt>
                <c:pt idx="250">
                  <c:v>58.153061233998926</c:v>
                </c:pt>
                <c:pt idx="251">
                  <c:v>58.153061233998926</c:v>
                </c:pt>
                <c:pt idx="252">
                  <c:v>58.153061233998926</c:v>
                </c:pt>
                <c:pt idx="253">
                  <c:v>58.153061233998926</c:v>
                </c:pt>
                <c:pt idx="254">
                  <c:v>58.153061233998926</c:v>
                </c:pt>
                <c:pt idx="255">
                  <c:v>58.153061233998926</c:v>
                </c:pt>
                <c:pt idx="256">
                  <c:v>58.153061233998926</c:v>
                </c:pt>
                <c:pt idx="257">
                  <c:v>58.153061233998926</c:v>
                </c:pt>
                <c:pt idx="258">
                  <c:v>58.153061233998926</c:v>
                </c:pt>
                <c:pt idx="259">
                  <c:v>58.153061233998926</c:v>
                </c:pt>
                <c:pt idx="260">
                  <c:v>58.153061233998926</c:v>
                </c:pt>
                <c:pt idx="261">
                  <c:v>58.153061233998926</c:v>
                </c:pt>
                <c:pt idx="262">
                  <c:v>58.153061233998926</c:v>
                </c:pt>
                <c:pt idx="263">
                  <c:v>58.153061233998926</c:v>
                </c:pt>
                <c:pt idx="264">
                  <c:v>58.153061233998926</c:v>
                </c:pt>
                <c:pt idx="265">
                  <c:v>58.153061233998926</c:v>
                </c:pt>
                <c:pt idx="266">
                  <c:v>58.153061233998926</c:v>
                </c:pt>
                <c:pt idx="267">
                  <c:v>58.153061233998926</c:v>
                </c:pt>
                <c:pt idx="268">
                  <c:v>58.153061233998926</c:v>
                </c:pt>
                <c:pt idx="269">
                  <c:v>58.153061233998926</c:v>
                </c:pt>
                <c:pt idx="270">
                  <c:v>58.153061233998926</c:v>
                </c:pt>
                <c:pt idx="271">
                  <c:v>58.153061233998926</c:v>
                </c:pt>
                <c:pt idx="272">
                  <c:v>58.153061233998926</c:v>
                </c:pt>
                <c:pt idx="273">
                  <c:v>58.153061233998926</c:v>
                </c:pt>
                <c:pt idx="274">
                  <c:v>58.153061233998926</c:v>
                </c:pt>
                <c:pt idx="275">
                  <c:v>58.153061233998926</c:v>
                </c:pt>
                <c:pt idx="276">
                  <c:v>58.153061233998926</c:v>
                </c:pt>
                <c:pt idx="277">
                  <c:v>58.153061233998926</c:v>
                </c:pt>
                <c:pt idx="278">
                  <c:v>58.153061233998926</c:v>
                </c:pt>
                <c:pt idx="279">
                  <c:v>58.153061233998926</c:v>
                </c:pt>
                <c:pt idx="280">
                  <c:v>58.153061233998926</c:v>
                </c:pt>
                <c:pt idx="281">
                  <c:v>58.153061233998926</c:v>
                </c:pt>
                <c:pt idx="282">
                  <c:v>58.153061233998926</c:v>
                </c:pt>
                <c:pt idx="283">
                  <c:v>58.153061233998926</c:v>
                </c:pt>
                <c:pt idx="284">
                  <c:v>58.153061233998926</c:v>
                </c:pt>
                <c:pt idx="285">
                  <c:v>58.153061233998926</c:v>
                </c:pt>
                <c:pt idx="286">
                  <c:v>58.153061233998926</c:v>
                </c:pt>
                <c:pt idx="287">
                  <c:v>58.153061233998926</c:v>
                </c:pt>
                <c:pt idx="288">
                  <c:v>58.153061233998926</c:v>
                </c:pt>
                <c:pt idx="289">
                  <c:v>58.153061233998926</c:v>
                </c:pt>
                <c:pt idx="290">
                  <c:v>58.153061233998926</c:v>
                </c:pt>
                <c:pt idx="291">
                  <c:v>58.153061233998926</c:v>
                </c:pt>
                <c:pt idx="292">
                  <c:v>58.153061233998926</c:v>
                </c:pt>
                <c:pt idx="293">
                  <c:v>58.153061233998926</c:v>
                </c:pt>
                <c:pt idx="294">
                  <c:v>58.153061233998926</c:v>
                </c:pt>
                <c:pt idx="295">
                  <c:v>58.153061233998926</c:v>
                </c:pt>
                <c:pt idx="296">
                  <c:v>58.153061233998926</c:v>
                </c:pt>
                <c:pt idx="297">
                  <c:v>58.153061233998926</c:v>
                </c:pt>
                <c:pt idx="298">
                  <c:v>58.153061233998926</c:v>
                </c:pt>
                <c:pt idx="299">
                  <c:v>58.153061233998926</c:v>
                </c:pt>
                <c:pt idx="300">
                  <c:v>58.153061233998926</c:v>
                </c:pt>
                <c:pt idx="301">
                  <c:v>58.153061233998926</c:v>
                </c:pt>
                <c:pt idx="302">
                  <c:v>58.153061233998926</c:v>
                </c:pt>
                <c:pt idx="303">
                  <c:v>58.153061233998926</c:v>
                </c:pt>
                <c:pt idx="304">
                  <c:v>58.153061233998926</c:v>
                </c:pt>
                <c:pt idx="305">
                  <c:v>58.153061233998926</c:v>
                </c:pt>
                <c:pt idx="306">
                  <c:v>58.153061233998926</c:v>
                </c:pt>
                <c:pt idx="307">
                  <c:v>58.153061233998926</c:v>
                </c:pt>
                <c:pt idx="308">
                  <c:v>58.153061233998926</c:v>
                </c:pt>
                <c:pt idx="309">
                  <c:v>58.153061233998926</c:v>
                </c:pt>
                <c:pt idx="310">
                  <c:v>58.153061233998926</c:v>
                </c:pt>
                <c:pt idx="311">
                  <c:v>58.153061233998926</c:v>
                </c:pt>
                <c:pt idx="312">
                  <c:v>58.153061233998926</c:v>
                </c:pt>
                <c:pt idx="313">
                  <c:v>58.153061233998926</c:v>
                </c:pt>
                <c:pt idx="314">
                  <c:v>58.153061233998926</c:v>
                </c:pt>
                <c:pt idx="315">
                  <c:v>58.153061233998926</c:v>
                </c:pt>
                <c:pt idx="316">
                  <c:v>58.153061233998926</c:v>
                </c:pt>
                <c:pt idx="317">
                  <c:v>58.153061233998926</c:v>
                </c:pt>
                <c:pt idx="318">
                  <c:v>58.153061233998926</c:v>
                </c:pt>
                <c:pt idx="319">
                  <c:v>58.153061233998926</c:v>
                </c:pt>
                <c:pt idx="320">
                  <c:v>58.153061233998926</c:v>
                </c:pt>
                <c:pt idx="321">
                  <c:v>58.153061233998926</c:v>
                </c:pt>
                <c:pt idx="322">
                  <c:v>58.153061233998926</c:v>
                </c:pt>
                <c:pt idx="323">
                  <c:v>58.153061233998926</c:v>
                </c:pt>
                <c:pt idx="324">
                  <c:v>58.153061233998926</c:v>
                </c:pt>
                <c:pt idx="325">
                  <c:v>58.153061233998926</c:v>
                </c:pt>
                <c:pt idx="326">
                  <c:v>58.153061233998926</c:v>
                </c:pt>
                <c:pt idx="327">
                  <c:v>58.153061233998926</c:v>
                </c:pt>
                <c:pt idx="328">
                  <c:v>58.153061233998926</c:v>
                </c:pt>
                <c:pt idx="329">
                  <c:v>58.153061233998926</c:v>
                </c:pt>
                <c:pt idx="330">
                  <c:v>58.153061233998926</c:v>
                </c:pt>
                <c:pt idx="331">
                  <c:v>58.153061233998926</c:v>
                </c:pt>
                <c:pt idx="332">
                  <c:v>58.153061233998926</c:v>
                </c:pt>
                <c:pt idx="333">
                  <c:v>58.153061233998926</c:v>
                </c:pt>
                <c:pt idx="334">
                  <c:v>58.153061233998926</c:v>
                </c:pt>
                <c:pt idx="335">
                  <c:v>58.153061233998926</c:v>
                </c:pt>
                <c:pt idx="336">
                  <c:v>58.153061233998926</c:v>
                </c:pt>
                <c:pt idx="337">
                  <c:v>58.153061233998926</c:v>
                </c:pt>
                <c:pt idx="338">
                  <c:v>58.153061233998926</c:v>
                </c:pt>
                <c:pt idx="339">
                  <c:v>58.153061233998926</c:v>
                </c:pt>
                <c:pt idx="340">
                  <c:v>58.153061233998926</c:v>
                </c:pt>
                <c:pt idx="341">
                  <c:v>58.153061233998926</c:v>
                </c:pt>
                <c:pt idx="342">
                  <c:v>58.153061233998926</c:v>
                </c:pt>
                <c:pt idx="343">
                  <c:v>58.153061233998926</c:v>
                </c:pt>
                <c:pt idx="344">
                  <c:v>58.153061233998926</c:v>
                </c:pt>
                <c:pt idx="345">
                  <c:v>58.153061233998926</c:v>
                </c:pt>
                <c:pt idx="346">
                  <c:v>58.153061233998926</c:v>
                </c:pt>
                <c:pt idx="347">
                  <c:v>58.153061233998926</c:v>
                </c:pt>
                <c:pt idx="348">
                  <c:v>58.153061233998926</c:v>
                </c:pt>
                <c:pt idx="349">
                  <c:v>58.153061233998926</c:v>
                </c:pt>
                <c:pt idx="350">
                  <c:v>58.153061233998926</c:v>
                </c:pt>
                <c:pt idx="351">
                  <c:v>58.153061233998926</c:v>
                </c:pt>
                <c:pt idx="352">
                  <c:v>58.153061233998926</c:v>
                </c:pt>
                <c:pt idx="353">
                  <c:v>58.153061233998926</c:v>
                </c:pt>
                <c:pt idx="354">
                  <c:v>58.153061233998926</c:v>
                </c:pt>
                <c:pt idx="355">
                  <c:v>58.153061233998926</c:v>
                </c:pt>
                <c:pt idx="356">
                  <c:v>58.153061233998926</c:v>
                </c:pt>
                <c:pt idx="357">
                  <c:v>58.153061233998926</c:v>
                </c:pt>
                <c:pt idx="358">
                  <c:v>58.153061233998926</c:v>
                </c:pt>
                <c:pt idx="359">
                  <c:v>58.153061233998926</c:v>
                </c:pt>
                <c:pt idx="360">
                  <c:v>58.153061233998926</c:v>
                </c:pt>
                <c:pt idx="361">
                  <c:v>58.153061233998926</c:v>
                </c:pt>
                <c:pt idx="362">
                  <c:v>58.153061233998926</c:v>
                </c:pt>
                <c:pt idx="363">
                  <c:v>58.153061233998926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9-47EF-A541-1D57A6FFF2D5}"/>
            </c:ext>
          </c:extLst>
        </c:ser>
        <c:ser>
          <c:idx val="2"/>
          <c:order val="2"/>
          <c:tx>
            <c:v>Capacité au champs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BH_Mois!$A$2:$A$366</c:f>
              <c:numCache>
                <c:formatCode>m/d/yyyy</c:formatCode>
                <c:ptCount val="365"/>
                <c:pt idx="0">
                  <c:v>42215</c:v>
                </c:pt>
                <c:pt idx="1">
                  <c:v>42216</c:v>
                </c:pt>
                <c:pt idx="2">
                  <c:v>42217</c:v>
                </c:pt>
                <c:pt idx="3">
                  <c:v>42218</c:v>
                </c:pt>
                <c:pt idx="4">
                  <c:v>42219</c:v>
                </c:pt>
                <c:pt idx="5">
                  <c:v>42220</c:v>
                </c:pt>
                <c:pt idx="6">
                  <c:v>42221</c:v>
                </c:pt>
                <c:pt idx="7">
                  <c:v>42222</c:v>
                </c:pt>
                <c:pt idx="8">
                  <c:v>42223</c:v>
                </c:pt>
                <c:pt idx="9">
                  <c:v>42224</c:v>
                </c:pt>
                <c:pt idx="10">
                  <c:v>42225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42229</c:v>
                </c:pt>
                <c:pt idx="16">
                  <c:v>42229</c:v>
                </c:pt>
                <c:pt idx="17">
                  <c:v>42229</c:v>
                </c:pt>
                <c:pt idx="18">
                  <c:v>42229</c:v>
                </c:pt>
                <c:pt idx="19">
                  <c:v>42229</c:v>
                </c:pt>
                <c:pt idx="20">
                  <c:v>42229</c:v>
                </c:pt>
                <c:pt idx="21">
                  <c:v>42229</c:v>
                </c:pt>
                <c:pt idx="22">
                  <c:v>42229</c:v>
                </c:pt>
                <c:pt idx="23">
                  <c:v>42229</c:v>
                </c:pt>
                <c:pt idx="24">
                  <c:v>42229</c:v>
                </c:pt>
                <c:pt idx="25">
                  <c:v>42229</c:v>
                </c:pt>
                <c:pt idx="26">
                  <c:v>42229</c:v>
                </c:pt>
                <c:pt idx="27">
                  <c:v>42229</c:v>
                </c:pt>
                <c:pt idx="28">
                  <c:v>42229</c:v>
                </c:pt>
                <c:pt idx="29">
                  <c:v>42229</c:v>
                </c:pt>
                <c:pt idx="30">
                  <c:v>42229</c:v>
                </c:pt>
                <c:pt idx="31">
                  <c:v>42229</c:v>
                </c:pt>
                <c:pt idx="32">
                  <c:v>42229</c:v>
                </c:pt>
                <c:pt idx="33">
                  <c:v>42229</c:v>
                </c:pt>
                <c:pt idx="34">
                  <c:v>42229</c:v>
                </c:pt>
                <c:pt idx="35">
                  <c:v>42229</c:v>
                </c:pt>
                <c:pt idx="36">
                  <c:v>42229</c:v>
                </c:pt>
                <c:pt idx="37">
                  <c:v>42229</c:v>
                </c:pt>
                <c:pt idx="38">
                  <c:v>42229</c:v>
                </c:pt>
                <c:pt idx="39">
                  <c:v>42229</c:v>
                </c:pt>
                <c:pt idx="40">
                  <c:v>42229</c:v>
                </c:pt>
                <c:pt idx="41">
                  <c:v>42229</c:v>
                </c:pt>
                <c:pt idx="42">
                  <c:v>42229</c:v>
                </c:pt>
                <c:pt idx="43">
                  <c:v>42229</c:v>
                </c:pt>
                <c:pt idx="44">
                  <c:v>42229</c:v>
                </c:pt>
                <c:pt idx="45">
                  <c:v>42229</c:v>
                </c:pt>
                <c:pt idx="46">
                  <c:v>42229</c:v>
                </c:pt>
                <c:pt idx="47">
                  <c:v>42229</c:v>
                </c:pt>
                <c:pt idx="48">
                  <c:v>42229</c:v>
                </c:pt>
                <c:pt idx="49">
                  <c:v>42229</c:v>
                </c:pt>
                <c:pt idx="50">
                  <c:v>42229</c:v>
                </c:pt>
                <c:pt idx="51">
                  <c:v>42229</c:v>
                </c:pt>
                <c:pt idx="52">
                  <c:v>42229</c:v>
                </c:pt>
                <c:pt idx="53">
                  <c:v>42229</c:v>
                </c:pt>
                <c:pt idx="54">
                  <c:v>42229</c:v>
                </c:pt>
                <c:pt idx="55">
                  <c:v>42229</c:v>
                </c:pt>
                <c:pt idx="56">
                  <c:v>42229</c:v>
                </c:pt>
                <c:pt idx="57">
                  <c:v>42229</c:v>
                </c:pt>
                <c:pt idx="58">
                  <c:v>42229</c:v>
                </c:pt>
                <c:pt idx="59">
                  <c:v>42229</c:v>
                </c:pt>
                <c:pt idx="60">
                  <c:v>42229</c:v>
                </c:pt>
                <c:pt idx="61">
                  <c:v>42229</c:v>
                </c:pt>
                <c:pt idx="62">
                  <c:v>42229</c:v>
                </c:pt>
                <c:pt idx="63">
                  <c:v>42229</c:v>
                </c:pt>
                <c:pt idx="64">
                  <c:v>42229</c:v>
                </c:pt>
                <c:pt idx="65">
                  <c:v>42229</c:v>
                </c:pt>
                <c:pt idx="66">
                  <c:v>42229</c:v>
                </c:pt>
                <c:pt idx="67">
                  <c:v>42229</c:v>
                </c:pt>
                <c:pt idx="68">
                  <c:v>42229</c:v>
                </c:pt>
                <c:pt idx="69">
                  <c:v>42229</c:v>
                </c:pt>
                <c:pt idx="70">
                  <c:v>42229</c:v>
                </c:pt>
                <c:pt idx="71">
                  <c:v>42229</c:v>
                </c:pt>
                <c:pt idx="72">
                  <c:v>42229</c:v>
                </c:pt>
                <c:pt idx="73">
                  <c:v>42229</c:v>
                </c:pt>
                <c:pt idx="74">
                  <c:v>42229</c:v>
                </c:pt>
                <c:pt idx="75">
                  <c:v>42229</c:v>
                </c:pt>
                <c:pt idx="76">
                  <c:v>42229</c:v>
                </c:pt>
                <c:pt idx="77">
                  <c:v>42229</c:v>
                </c:pt>
                <c:pt idx="78">
                  <c:v>42229</c:v>
                </c:pt>
                <c:pt idx="79">
                  <c:v>42229</c:v>
                </c:pt>
                <c:pt idx="80">
                  <c:v>42229</c:v>
                </c:pt>
                <c:pt idx="81">
                  <c:v>42229</c:v>
                </c:pt>
                <c:pt idx="82">
                  <c:v>42229</c:v>
                </c:pt>
                <c:pt idx="83">
                  <c:v>42229</c:v>
                </c:pt>
                <c:pt idx="84">
                  <c:v>42229</c:v>
                </c:pt>
                <c:pt idx="85">
                  <c:v>42229</c:v>
                </c:pt>
                <c:pt idx="86">
                  <c:v>42229</c:v>
                </c:pt>
                <c:pt idx="87">
                  <c:v>42229</c:v>
                </c:pt>
                <c:pt idx="88">
                  <c:v>42229</c:v>
                </c:pt>
                <c:pt idx="89">
                  <c:v>42229</c:v>
                </c:pt>
                <c:pt idx="90">
                  <c:v>42229</c:v>
                </c:pt>
                <c:pt idx="91">
                  <c:v>42229</c:v>
                </c:pt>
                <c:pt idx="92">
                  <c:v>42229</c:v>
                </c:pt>
                <c:pt idx="93">
                  <c:v>42229</c:v>
                </c:pt>
                <c:pt idx="94">
                  <c:v>42229</c:v>
                </c:pt>
                <c:pt idx="95">
                  <c:v>42229</c:v>
                </c:pt>
                <c:pt idx="96">
                  <c:v>42229</c:v>
                </c:pt>
                <c:pt idx="97">
                  <c:v>42229</c:v>
                </c:pt>
                <c:pt idx="98">
                  <c:v>42229</c:v>
                </c:pt>
                <c:pt idx="99">
                  <c:v>42229</c:v>
                </c:pt>
                <c:pt idx="100">
                  <c:v>42229</c:v>
                </c:pt>
                <c:pt idx="101">
                  <c:v>42229</c:v>
                </c:pt>
                <c:pt idx="102">
                  <c:v>42229</c:v>
                </c:pt>
                <c:pt idx="103">
                  <c:v>42229</c:v>
                </c:pt>
                <c:pt idx="104">
                  <c:v>42229</c:v>
                </c:pt>
                <c:pt idx="105">
                  <c:v>42229</c:v>
                </c:pt>
                <c:pt idx="106">
                  <c:v>42229</c:v>
                </c:pt>
                <c:pt idx="107">
                  <c:v>42229</c:v>
                </c:pt>
                <c:pt idx="108">
                  <c:v>42229</c:v>
                </c:pt>
                <c:pt idx="109">
                  <c:v>42229</c:v>
                </c:pt>
                <c:pt idx="110">
                  <c:v>42229</c:v>
                </c:pt>
                <c:pt idx="111">
                  <c:v>42229</c:v>
                </c:pt>
                <c:pt idx="112">
                  <c:v>42229</c:v>
                </c:pt>
                <c:pt idx="113">
                  <c:v>42229</c:v>
                </c:pt>
                <c:pt idx="114">
                  <c:v>42229</c:v>
                </c:pt>
                <c:pt idx="115">
                  <c:v>42229</c:v>
                </c:pt>
                <c:pt idx="116">
                  <c:v>42229</c:v>
                </c:pt>
                <c:pt idx="117">
                  <c:v>42229</c:v>
                </c:pt>
                <c:pt idx="118">
                  <c:v>42229</c:v>
                </c:pt>
                <c:pt idx="119">
                  <c:v>42229</c:v>
                </c:pt>
                <c:pt idx="120">
                  <c:v>42229</c:v>
                </c:pt>
                <c:pt idx="121">
                  <c:v>42229</c:v>
                </c:pt>
                <c:pt idx="122">
                  <c:v>42229</c:v>
                </c:pt>
                <c:pt idx="123">
                  <c:v>42229</c:v>
                </c:pt>
                <c:pt idx="124">
                  <c:v>42229</c:v>
                </c:pt>
                <c:pt idx="125">
                  <c:v>42229</c:v>
                </c:pt>
                <c:pt idx="126">
                  <c:v>42229</c:v>
                </c:pt>
                <c:pt idx="127">
                  <c:v>42229</c:v>
                </c:pt>
                <c:pt idx="128">
                  <c:v>42229</c:v>
                </c:pt>
                <c:pt idx="129">
                  <c:v>42229</c:v>
                </c:pt>
                <c:pt idx="130">
                  <c:v>42229</c:v>
                </c:pt>
                <c:pt idx="131">
                  <c:v>42229</c:v>
                </c:pt>
                <c:pt idx="132">
                  <c:v>42229</c:v>
                </c:pt>
                <c:pt idx="133">
                  <c:v>42229</c:v>
                </c:pt>
                <c:pt idx="134">
                  <c:v>42229</c:v>
                </c:pt>
                <c:pt idx="135">
                  <c:v>42229</c:v>
                </c:pt>
                <c:pt idx="136">
                  <c:v>42229</c:v>
                </c:pt>
                <c:pt idx="137">
                  <c:v>42229</c:v>
                </c:pt>
                <c:pt idx="138">
                  <c:v>42229</c:v>
                </c:pt>
                <c:pt idx="139">
                  <c:v>42229</c:v>
                </c:pt>
                <c:pt idx="140">
                  <c:v>42229</c:v>
                </c:pt>
                <c:pt idx="141">
                  <c:v>42229</c:v>
                </c:pt>
                <c:pt idx="142">
                  <c:v>42229</c:v>
                </c:pt>
                <c:pt idx="143">
                  <c:v>42229</c:v>
                </c:pt>
                <c:pt idx="144">
                  <c:v>42229</c:v>
                </c:pt>
                <c:pt idx="145">
                  <c:v>42229</c:v>
                </c:pt>
                <c:pt idx="146">
                  <c:v>42229</c:v>
                </c:pt>
                <c:pt idx="147">
                  <c:v>42229</c:v>
                </c:pt>
                <c:pt idx="148">
                  <c:v>42229</c:v>
                </c:pt>
                <c:pt idx="149">
                  <c:v>42229</c:v>
                </c:pt>
                <c:pt idx="150">
                  <c:v>42229</c:v>
                </c:pt>
                <c:pt idx="151">
                  <c:v>42229</c:v>
                </c:pt>
                <c:pt idx="152">
                  <c:v>42229</c:v>
                </c:pt>
                <c:pt idx="153">
                  <c:v>42229</c:v>
                </c:pt>
                <c:pt idx="154">
                  <c:v>42229</c:v>
                </c:pt>
                <c:pt idx="155">
                  <c:v>42229</c:v>
                </c:pt>
                <c:pt idx="156">
                  <c:v>42229</c:v>
                </c:pt>
                <c:pt idx="157">
                  <c:v>42229</c:v>
                </c:pt>
                <c:pt idx="158">
                  <c:v>42229</c:v>
                </c:pt>
                <c:pt idx="159">
                  <c:v>42229</c:v>
                </c:pt>
                <c:pt idx="160">
                  <c:v>42229</c:v>
                </c:pt>
                <c:pt idx="161">
                  <c:v>42229</c:v>
                </c:pt>
                <c:pt idx="162">
                  <c:v>42229</c:v>
                </c:pt>
                <c:pt idx="163">
                  <c:v>42229</c:v>
                </c:pt>
                <c:pt idx="164">
                  <c:v>42229</c:v>
                </c:pt>
                <c:pt idx="165">
                  <c:v>42229</c:v>
                </c:pt>
                <c:pt idx="166">
                  <c:v>42229</c:v>
                </c:pt>
                <c:pt idx="167">
                  <c:v>42229</c:v>
                </c:pt>
                <c:pt idx="168">
                  <c:v>42229</c:v>
                </c:pt>
                <c:pt idx="169">
                  <c:v>42229</c:v>
                </c:pt>
                <c:pt idx="170">
                  <c:v>42229</c:v>
                </c:pt>
                <c:pt idx="171">
                  <c:v>42229</c:v>
                </c:pt>
                <c:pt idx="172">
                  <c:v>42229</c:v>
                </c:pt>
                <c:pt idx="173">
                  <c:v>42229</c:v>
                </c:pt>
                <c:pt idx="174">
                  <c:v>42229</c:v>
                </c:pt>
                <c:pt idx="175">
                  <c:v>42229</c:v>
                </c:pt>
                <c:pt idx="176">
                  <c:v>42229</c:v>
                </c:pt>
                <c:pt idx="177">
                  <c:v>42229</c:v>
                </c:pt>
                <c:pt idx="178">
                  <c:v>42229</c:v>
                </c:pt>
                <c:pt idx="179">
                  <c:v>42229</c:v>
                </c:pt>
                <c:pt idx="180">
                  <c:v>42229</c:v>
                </c:pt>
                <c:pt idx="181">
                  <c:v>42229</c:v>
                </c:pt>
                <c:pt idx="182">
                  <c:v>42229</c:v>
                </c:pt>
                <c:pt idx="183">
                  <c:v>42229</c:v>
                </c:pt>
                <c:pt idx="184">
                  <c:v>42229</c:v>
                </c:pt>
                <c:pt idx="185">
                  <c:v>42229</c:v>
                </c:pt>
                <c:pt idx="186">
                  <c:v>42229</c:v>
                </c:pt>
                <c:pt idx="187">
                  <c:v>42229</c:v>
                </c:pt>
                <c:pt idx="188">
                  <c:v>42229</c:v>
                </c:pt>
                <c:pt idx="189">
                  <c:v>42229</c:v>
                </c:pt>
                <c:pt idx="190">
                  <c:v>42229</c:v>
                </c:pt>
                <c:pt idx="191">
                  <c:v>42229</c:v>
                </c:pt>
                <c:pt idx="192">
                  <c:v>42229</c:v>
                </c:pt>
                <c:pt idx="193">
                  <c:v>42229</c:v>
                </c:pt>
                <c:pt idx="194">
                  <c:v>42229</c:v>
                </c:pt>
                <c:pt idx="195">
                  <c:v>42229</c:v>
                </c:pt>
                <c:pt idx="196">
                  <c:v>42229</c:v>
                </c:pt>
                <c:pt idx="197">
                  <c:v>42229</c:v>
                </c:pt>
                <c:pt idx="198">
                  <c:v>42229</c:v>
                </c:pt>
                <c:pt idx="199">
                  <c:v>42229</c:v>
                </c:pt>
                <c:pt idx="200">
                  <c:v>42229</c:v>
                </c:pt>
                <c:pt idx="201">
                  <c:v>42229</c:v>
                </c:pt>
                <c:pt idx="202">
                  <c:v>42229</c:v>
                </c:pt>
                <c:pt idx="203">
                  <c:v>42229</c:v>
                </c:pt>
                <c:pt idx="204">
                  <c:v>42229</c:v>
                </c:pt>
                <c:pt idx="205">
                  <c:v>42229</c:v>
                </c:pt>
                <c:pt idx="206">
                  <c:v>42229</c:v>
                </c:pt>
                <c:pt idx="207">
                  <c:v>42229</c:v>
                </c:pt>
                <c:pt idx="208">
                  <c:v>42229</c:v>
                </c:pt>
                <c:pt idx="209">
                  <c:v>42229</c:v>
                </c:pt>
                <c:pt idx="210">
                  <c:v>42229</c:v>
                </c:pt>
                <c:pt idx="211">
                  <c:v>42229</c:v>
                </c:pt>
                <c:pt idx="212">
                  <c:v>42229</c:v>
                </c:pt>
                <c:pt idx="213">
                  <c:v>42229</c:v>
                </c:pt>
                <c:pt idx="214">
                  <c:v>42229</c:v>
                </c:pt>
                <c:pt idx="215">
                  <c:v>42229</c:v>
                </c:pt>
                <c:pt idx="216">
                  <c:v>42229</c:v>
                </c:pt>
                <c:pt idx="217">
                  <c:v>42229</c:v>
                </c:pt>
                <c:pt idx="218">
                  <c:v>42229</c:v>
                </c:pt>
                <c:pt idx="219">
                  <c:v>42229</c:v>
                </c:pt>
                <c:pt idx="220">
                  <c:v>42229</c:v>
                </c:pt>
                <c:pt idx="221">
                  <c:v>42229</c:v>
                </c:pt>
                <c:pt idx="222">
                  <c:v>42229</c:v>
                </c:pt>
                <c:pt idx="223">
                  <c:v>42229</c:v>
                </c:pt>
                <c:pt idx="224">
                  <c:v>42229</c:v>
                </c:pt>
                <c:pt idx="225">
                  <c:v>42229</c:v>
                </c:pt>
                <c:pt idx="226">
                  <c:v>42229</c:v>
                </c:pt>
                <c:pt idx="227">
                  <c:v>42229</c:v>
                </c:pt>
                <c:pt idx="228">
                  <c:v>42229</c:v>
                </c:pt>
                <c:pt idx="229">
                  <c:v>42229</c:v>
                </c:pt>
                <c:pt idx="230">
                  <c:v>42229</c:v>
                </c:pt>
                <c:pt idx="231">
                  <c:v>42229</c:v>
                </c:pt>
                <c:pt idx="232">
                  <c:v>42229</c:v>
                </c:pt>
                <c:pt idx="233">
                  <c:v>42229</c:v>
                </c:pt>
                <c:pt idx="234">
                  <c:v>42229</c:v>
                </c:pt>
                <c:pt idx="235">
                  <c:v>42229</c:v>
                </c:pt>
                <c:pt idx="236">
                  <c:v>42229</c:v>
                </c:pt>
                <c:pt idx="237">
                  <c:v>42229</c:v>
                </c:pt>
                <c:pt idx="238">
                  <c:v>42229</c:v>
                </c:pt>
                <c:pt idx="239">
                  <c:v>42229</c:v>
                </c:pt>
                <c:pt idx="240">
                  <c:v>42229</c:v>
                </c:pt>
                <c:pt idx="241">
                  <c:v>42229</c:v>
                </c:pt>
                <c:pt idx="242">
                  <c:v>42229</c:v>
                </c:pt>
                <c:pt idx="243">
                  <c:v>42229</c:v>
                </c:pt>
                <c:pt idx="244">
                  <c:v>42229</c:v>
                </c:pt>
                <c:pt idx="245">
                  <c:v>42229</c:v>
                </c:pt>
                <c:pt idx="246">
                  <c:v>42229</c:v>
                </c:pt>
                <c:pt idx="247">
                  <c:v>42229</c:v>
                </c:pt>
                <c:pt idx="248">
                  <c:v>42229</c:v>
                </c:pt>
                <c:pt idx="249">
                  <c:v>42229</c:v>
                </c:pt>
                <c:pt idx="250">
                  <c:v>42229</c:v>
                </c:pt>
                <c:pt idx="251">
                  <c:v>42229</c:v>
                </c:pt>
                <c:pt idx="252">
                  <c:v>42229</c:v>
                </c:pt>
                <c:pt idx="253">
                  <c:v>42229</c:v>
                </c:pt>
                <c:pt idx="254">
                  <c:v>42229</c:v>
                </c:pt>
                <c:pt idx="255">
                  <c:v>42229</c:v>
                </c:pt>
                <c:pt idx="256">
                  <c:v>42229</c:v>
                </c:pt>
                <c:pt idx="257">
                  <c:v>42229</c:v>
                </c:pt>
                <c:pt idx="258">
                  <c:v>42229</c:v>
                </c:pt>
                <c:pt idx="259">
                  <c:v>42229</c:v>
                </c:pt>
                <c:pt idx="260">
                  <c:v>42229</c:v>
                </c:pt>
                <c:pt idx="261">
                  <c:v>42229</c:v>
                </c:pt>
                <c:pt idx="262">
                  <c:v>42229</c:v>
                </c:pt>
                <c:pt idx="263">
                  <c:v>42229</c:v>
                </c:pt>
                <c:pt idx="264">
                  <c:v>42229</c:v>
                </c:pt>
                <c:pt idx="265">
                  <c:v>42229</c:v>
                </c:pt>
                <c:pt idx="266">
                  <c:v>42229</c:v>
                </c:pt>
                <c:pt idx="267">
                  <c:v>42229</c:v>
                </c:pt>
                <c:pt idx="268">
                  <c:v>42229</c:v>
                </c:pt>
                <c:pt idx="269">
                  <c:v>42229</c:v>
                </c:pt>
                <c:pt idx="270">
                  <c:v>42229</c:v>
                </c:pt>
                <c:pt idx="271">
                  <c:v>42229</c:v>
                </c:pt>
                <c:pt idx="272">
                  <c:v>42229</c:v>
                </c:pt>
                <c:pt idx="273">
                  <c:v>42229</c:v>
                </c:pt>
                <c:pt idx="274">
                  <c:v>42229</c:v>
                </c:pt>
                <c:pt idx="275">
                  <c:v>42229</c:v>
                </c:pt>
                <c:pt idx="276">
                  <c:v>42229</c:v>
                </c:pt>
                <c:pt idx="277">
                  <c:v>42229</c:v>
                </c:pt>
                <c:pt idx="278">
                  <c:v>42229</c:v>
                </c:pt>
                <c:pt idx="279">
                  <c:v>42229</c:v>
                </c:pt>
                <c:pt idx="280">
                  <c:v>42229</c:v>
                </c:pt>
                <c:pt idx="281">
                  <c:v>42229</c:v>
                </c:pt>
                <c:pt idx="282">
                  <c:v>42229</c:v>
                </c:pt>
                <c:pt idx="283">
                  <c:v>42229</c:v>
                </c:pt>
                <c:pt idx="284">
                  <c:v>42229</c:v>
                </c:pt>
                <c:pt idx="285">
                  <c:v>42229</c:v>
                </c:pt>
                <c:pt idx="286">
                  <c:v>42229</c:v>
                </c:pt>
                <c:pt idx="287">
                  <c:v>42229</c:v>
                </c:pt>
                <c:pt idx="288">
                  <c:v>42229</c:v>
                </c:pt>
                <c:pt idx="289">
                  <c:v>42229</c:v>
                </c:pt>
                <c:pt idx="290">
                  <c:v>42229</c:v>
                </c:pt>
                <c:pt idx="291">
                  <c:v>42229</c:v>
                </c:pt>
                <c:pt idx="292">
                  <c:v>42229</c:v>
                </c:pt>
                <c:pt idx="293">
                  <c:v>42229</c:v>
                </c:pt>
                <c:pt idx="294">
                  <c:v>42229</c:v>
                </c:pt>
                <c:pt idx="295">
                  <c:v>42229</c:v>
                </c:pt>
                <c:pt idx="296">
                  <c:v>42229</c:v>
                </c:pt>
                <c:pt idx="297">
                  <c:v>42229</c:v>
                </c:pt>
                <c:pt idx="298">
                  <c:v>42229</c:v>
                </c:pt>
                <c:pt idx="299">
                  <c:v>42229</c:v>
                </c:pt>
                <c:pt idx="300">
                  <c:v>42229</c:v>
                </c:pt>
                <c:pt idx="301">
                  <c:v>42229</c:v>
                </c:pt>
                <c:pt idx="302">
                  <c:v>42229</c:v>
                </c:pt>
                <c:pt idx="303">
                  <c:v>42229</c:v>
                </c:pt>
                <c:pt idx="304">
                  <c:v>42229</c:v>
                </c:pt>
                <c:pt idx="305">
                  <c:v>42229</c:v>
                </c:pt>
                <c:pt idx="306">
                  <c:v>42229</c:v>
                </c:pt>
                <c:pt idx="307">
                  <c:v>42229</c:v>
                </c:pt>
                <c:pt idx="308">
                  <c:v>42229</c:v>
                </c:pt>
                <c:pt idx="309">
                  <c:v>42229</c:v>
                </c:pt>
                <c:pt idx="310">
                  <c:v>42229</c:v>
                </c:pt>
                <c:pt idx="311">
                  <c:v>42229</c:v>
                </c:pt>
                <c:pt idx="312">
                  <c:v>42229</c:v>
                </c:pt>
                <c:pt idx="313">
                  <c:v>42229</c:v>
                </c:pt>
                <c:pt idx="314">
                  <c:v>42229</c:v>
                </c:pt>
                <c:pt idx="315">
                  <c:v>42229</c:v>
                </c:pt>
                <c:pt idx="316">
                  <c:v>42229</c:v>
                </c:pt>
                <c:pt idx="317">
                  <c:v>42229</c:v>
                </c:pt>
                <c:pt idx="318">
                  <c:v>42229</c:v>
                </c:pt>
                <c:pt idx="319">
                  <c:v>42229</c:v>
                </c:pt>
                <c:pt idx="320">
                  <c:v>42229</c:v>
                </c:pt>
                <c:pt idx="321">
                  <c:v>42229</c:v>
                </c:pt>
                <c:pt idx="322">
                  <c:v>42229</c:v>
                </c:pt>
                <c:pt idx="323">
                  <c:v>42229</c:v>
                </c:pt>
                <c:pt idx="324">
                  <c:v>42229</c:v>
                </c:pt>
                <c:pt idx="325">
                  <c:v>42229</c:v>
                </c:pt>
                <c:pt idx="326">
                  <c:v>42229</c:v>
                </c:pt>
                <c:pt idx="327">
                  <c:v>42229</c:v>
                </c:pt>
                <c:pt idx="328">
                  <c:v>42229</c:v>
                </c:pt>
                <c:pt idx="329">
                  <c:v>42229</c:v>
                </c:pt>
                <c:pt idx="330">
                  <c:v>42229</c:v>
                </c:pt>
                <c:pt idx="331">
                  <c:v>42229</c:v>
                </c:pt>
                <c:pt idx="332">
                  <c:v>42229</c:v>
                </c:pt>
                <c:pt idx="333">
                  <c:v>42229</c:v>
                </c:pt>
                <c:pt idx="334">
                  <c:v>42229</c:v>
                </c:pt>
                <c:pt idx="335">
                  <c:v>42229</c:v>
                </c:pt>
                <c:pt idx="336">
                  <c:v>42229</c:v>
                </c:pt>
                <c:pt idx="337">
                  <c:v>42229</c:v>
                </c:pt>
                <c:pt idx="338">
                  <c:v>42229</c:v>
                </c:pt>
                <c:pt idx="339">
                  <c:v>42229</c:v>
                </c:pt>
                <c:pt idx="340">
                  <c:v>42229</c:v>
                </c:pt>
                <c:pt idx="341">
                  <c:v>42229</c:v>
                </c:pt>
                <c:pt idx="342">
                  <c:v>42229</c:v>
                </c:pt>
                <c:pt idx="343">
                  <c:v>42229</c:v>
                </c:pt>
                <c:pt idx="344">
                  <c:v>42229</c:v>
                </c:pt>
                <c:pt idx="345">
                  <c:v>42229</c:v>
                </c:pt>
                <c:pt idx="346">
                  <c:v>42229</c:v>
                </c:pt>
                <c:pt idx="347">
                  <c:v>42229</c:v>
                </c:pt>
                <c:pt idx="348">
                  <c:v>42229</c:v>
                </c:pt>
                <c:pt idx="349">
                  <c:v>42229</c:v>
                </c:pt>
                <c:pt idx="350">
                  <c:v>42229</c:v>
                </c:pt>
                <c:pt idx="351">
                  <c:v>42229</c:v>
                </c:pt>
                <c:pt idx="352">
                  <c:v>42229</c:v>
                </c:pt>
                <c:pt idx="353">
                  <c:v>42229</c:v>
                </c:pt>
                <c:pt idx="354">
                  <c:v>42229</c:v>
                </c:pt>
                <c:pt idx="355">
                  <c:v>42229</c:v>
                </c:pt>
                <c:pt idx="356">
                  <c:v>42229</c:v>
                </c:pt>
                <c:pt idx="357">
                  <c:v>42229</c:v>
                </c:pt>
                <c:pt idx="358">
                  <c:v>42229</c:v>
                </c:pt>
                <c:pt idx="359">
                  <c:v>42229</c:v>
                </c:pt>
                <c:pt idx="360">
                  <c:v>42229</c:v>
                </c:pt>
                <c:pt idx="361">
                  <c:v>42229</c:v>
                </c:pt>
                <c:pt idx="362">
                  <c:v>42229</c:v>
                </c:pt>
                <c:pt idx="363">
                  <c:v>42229</c:v>
                </c:pt>
                <c:pt idx="364">
                  <c:v>42229</c:v>
                </c:pt>
              </c:numCache>
            </c:numRef>
          </c:cat>
          <c:val>
            <c:numRef>
              <c:f>BH_Mois!$B$2:$B$361</c:f>
              <c:numCache>
                <c:formatCode>General</c:formatCode>
                <c:ptCount val="360"/>
                <c:pt idx="0">
                  <c:v>68.40100000000001</c:v>
                </c:pt>
                <c:pt idx="1">
                  <c:v>68.40100000000001</c:v>
                </c:pt>
                <c:pt idx="2">
                  <c:v>68.40100000000001</c:v>
                </c:pt>
                <c:pt idx="3">
                  <c:v>68.40100000000001</c:v>
                </c:pt>
                <c:pt idx="4">
                  <c:v>68.40100000000001</c:v>
                </c:pt>
                <c:pt idx="5">
                  <c:v>68.40100000000001</c:v>
                </c:pt>
                <c:pt idx="6">
                  <c:v>68.40100000000001</c:v>
                </c:pt>
                <c:pt idx="7">
                  <c:v>68.40100000000001</c:v>
                </c:pt>
                <c:pt idx="8">
                  <c:v>68.40100000000001</c:v>
                </c:pt>
                <c:pt idx="9">
                  <c:v>68.40100000000001</c:v>
                </c:pt>
                <c:pt idx="10">
                  <c:v>68.40100000000001</c:v>
                </c:pt>
                <c:pt idx="11">
                  <c:v>68.40100000000001</c:v>
                </c:pt>
                <c:pt idx="12">
                  <c:v>68.40100000000001</c:v>
                </c:pt>
                <c:pt idx="13">
                  <c:v>68.40100000000001</c:v>
                </c:pt>
                <c:pt idx="14">
                  <c:v>68.40100000000001</c:v>
                </c:pt>
                <c:pt idx="15">
                  <c:v>68.40100000000001</c:v>
                </c:pt>
                <c:pt idx="16">
                  <c:v>68.40100000000001</c:v>
                </c:pt>
                <c:pt idx="17">
                  <c:v>68.40100000000001</c:v>
                </c:pt>
                <c:pt idx="18">
                  <c:v>68.40100000000001</c:v>
                </c:pt>
                <c:pt idx="19">
                  <c:v>68.40100000000001</c:v>
                </c:pt>
                <c:pt idx="20">
                  <c:v>68.40100000000001</c:v>
                </c:pt>
                <c:pt idx="21">
                  <c:v>68.40100000000001</c:v>
                </c:pt>
                <c:pt idx="22">
                  <c:v>68.40100000000001</c:v>
                </c:pt>
                <c:pt idx="23">
                  <c:v>68.40100000000001</c:v>
                </c:pt>
                <c:pt idx="24">
                  <c:v>68.40100000000001</c:v>
                </c:pt>
                <c:pt idx="25">
                  <c:v>68.40100000000001</c:v>
                </c:pt>
                <c:pt idx="26">
                  <c:v>68.40100000000001</c:v>
                </c:pt>
                <c:pt idx="27">
                  <c:v>68.40100000000001</c:v>
                </c:pt>
                <c:pt idx="28">
                  <c:v>68.40100000000001</c:v>
                </c:pt>
                <c:pt idx="29">
                  <c:v>68.40100000000001</c:v>
                </c:pt>
                <c:pt idx="30">
                  <c:v>68.40100000000001</c:v>
                </c:pt>
                <c:pt idx="31">
                  <c:v>68.40100000000001</c:v>
                </c:pt>
                <c:pt idx="32">
                  <c:v>68.40100000000001</c:v>
                </c:pt>
                <c:pt idx="33">
                  <c:v>68.40100000000001</c:v>
                </c:pt>
                <c:pt idx="34">
                  <c:v>68.40100000000001</c:v>
                </c:pt>
                <c:pt idx="35">
                  <c:v>68.40100000000001</c:v>
                </c:pt>
                <c:pt idx="36">
                  <c:v>68.40100000000001</c:v>
                </c:pt>
                <c:pt idx="37">
                  <c:v>68.40100000000001</c:v>
                </c:pt>
                <c:pt idx="38">
                  <c:v>68.40100000000001</c:v>
                </c:pt>
                <c:pt idx="39">
                  <c:v>68.40100000000001</c:v>
                </c:pt>
                <c:pt idx="40">
                  <c:v>68.40100000000001</c:v>
                </c:pt>
                <c:pt idx="41">
                  <c:v>68.40100000000001</c:v>
                </c:pt>
                <c:pt idx="42">
                  <c:v>68.40100000000001</c:v>
                </c:pt>
                <c:pt idx="43">
                  <c:v>68.40100000000001</c:v>
                </c:pt>
                <c:pt idx="44">
                  <c:v>68.40100000000001</c:v>
                </c:pt>
                <c:pt idx="45">
                  <c:v>68.40100000000001</c:v>
                </c:pt>
                <c:pt idx="46">
                  <c:v>68.40100000000001</c:v>
                </c:pt>
                <c:pt idx="47">
                  <c:v>68.40100000000001</c:v>
                </c:pt>
                <c:pt idx="48">
                  <c:v>68.40100000000001</c:v>
                </c:pt>
                <c:pt idx="49">
                  <c:v>68.40100000000001</c:v>
                </c:pt>
                <c:pt idx="50">
                  <c:v>68.40100000000001</c:v>
                </c:pt>
                <c:pt idx="51">
                  <c:v>68.40100000000001</c:v>
                </c:pt>
                <c:pt idx="52">
                  <c:v>68.40100000000001</c:v>
                </c:pt>
                <c:pt idx="53">
                  <c:v>68.40100000000001</c:v>
                </c:pt>
                <c:pt idx="54">
                  <c:v>68.40100000000001</c:v>
                </c:pt>
                <c:pt idx="55">
                  <c:v>68.40100000000001</c:v>
                </c:pt>
                <c:pt idx="56">
                  <c:v>68.40100000000001</c:v>
                </c:pt>
                <c:pt idx="57">
                  <c:v>68.40100000000001</c:v>
                </c:pt>
                <c:pt idx="58">
                  <c:v>68.40100000000001</c:v>
                </c:pt>
                <c:pt idx="59">
                  <c:v>68.40100000000001</c:v>
                </c:pt>
                <c:pt idx="60">
                  <c:v>68.40100000000001</c:v>
                </c:pt>
                <c:pt idx="61">
                  <c:v>68.40100000000001</c:v>
                </c:pt>
                <c:pt idx="62">
                  <c:v>68.40100000000001</c:v>
                </c:pt>
                <c:pt idx="63">
                  <c:v>68.40100000000001</c:v>
                </c:pt>
                <c:pt idx="64">
                  <c:v>68.40100000000001</c:v>
                </c:pt>
                <c:pt idx="65">
                  <c:v>68.40100000000001</c:v>
                </c:pt>
                <c:pt idx="66">
                  <c:v>68.40100000000001</c:v>
                </c:pt>
                <c:pt idx="67">
                  <c:v>68.40100000000001</c:v>
                </c:pt>
                <c:pt idx="68">
                  <c:v>68.40100000000001</c:v>
                </c:pt>
                <c:pt idx="69">
                  <c:v>68.40100000000001</c:v>
                </c:pt>
                <c:pt idx="70">
                  <c:v>68.40100000000001</c:v>
                </c:pt>
                <c:pt idx="71">
                  <c:v>68.40100000000001</c:v>
                </c:pt>
                <c:pt idx="72">
                  <c:v>68.40100000000001</c:v>
                </c:pt>
                <c:pt idx="73">
                  <c:v>68.40100000000001</c:v>
                </c:pt>
                <c:pt idx="74">
                  <c:v>68.40100000000001</c:v>
                </c:pt>
                <c:pt idx="75">
                  <c:v>68.40100000000001</c:v>
                </c:pt>
                <c:pt idx="76">
                  <c:v>68.40100000000001</c:v>
                </c:pt>
                <c:pt idx="77">
                  <c:v>68.40100000000001</c:v>
                </c:pt>
                <c:pt idx="78">
                  <c:v>68.40100000000001</c:v>
                </c:pt>
                <c:pt idx="79">
                  <c:v>68.40100000000001</c:v>
                </c:pt>
                <c:pt idx="80">
                  <c:v>68.40100000000001</c:v>
                </c:pt>
                <c:pt idx="81">
                  <c:v>68.40100000000001</c:v>
                </c:pt>
                <c:pt idx="82">
                  <c:v>68.40100000000001</c:v>
                </c:pt>
                <c:pt idx="83">
                  <c:v>68.40100000000001</c:v>
                </c:pt>
                <c:pt idx="84">
                  <c:v>68.40100000000001</c:v>
                </c:pt>
                <c:pt idx="85">
                  <c:v>68.40100000000001</c:v>
                </c:pt>
                <c:pt idx="86">
                  <c:v>68.40100000000001</c:v>
                </c:pt>
                <c:pt idx="87">
                  <c:v>68.40100000000001</c:v>
                </c:pt>
                <c:pt idx="88">
                  <c:v>68.40100000000001</c:v>
                </c:pt>
                <c:pt idx="89">
                  <c:v>68.40100000000001</c:v>
                </c:pt>
                <c:pt idx="90">
                  <c:v>68.40100000000001</c:v>
                </c:pt>
                <c:pt idx="91">
                  <c:v>68.40100000000001</c:v>
                </c:pt>
                <c:pt idx="92">
                  <c:v>68.40100000000001</c:v>
                </c:pt>
                <c:pt idx="93">
                  <c:v>68.40100000000001</c:v>
                </c:pt>
                <c:pt idx="94">
                  <c:v>68.40100000000001</c:v>
                </c:pt>
                <c:pt idx="95">
                  <c:v>68.40100000000001</c:v>
                </c:pt>
                <c:pt idx="96">
                  <c:v>68.40100000000001</c:v>
                </c:pt>
                <c:pt idx="97">
                  <c:v>68.40100000000001</c:v>
                </c:pt>
                <c:pt idx="98">
                  <c:v>68.40100000000001</c:v>
                </c:pt>
                <c:pt idx="99">
                  <c:v>68.40100000000001</c:v>
                </c:pt>
                <c:pt idx="100">
                  <c:v>68.40100000000001</c:v>
                </c:pt>
                <c:pt idx="101">
                  <c:v>68.40100000000001</c:v>
                </c:pt>
                <c:pt idx="102">
                  <c:v>68.40100000000001</c:v>
                </c:pt>
                <c:pt idx="103">
                  <c:v>68.40100000000001</c:v>
                </c:pt>
                <c:pt idx="104">
                  <c:v>68.40100000000001</c:v>
                </c:pt>
                <c:pt idx="105">
                  <c:v>68.40100000000001</c:v>
                </c:pt>
                <c:pt idx="106">
                  <c:v>68.40100000000001</c:v>
                </c:pt>
                <c:pt idx="107">
                  <c:v>68.40100000000001</c:v>
                </c:pt>
                <c:pt idx="108">
                  <c:v>68.40100000000001</c:v>
                </c:pt>
                <c:pt idx="109">
                  <c:v>68.40100000000001</c:v>
                </c:pt>
                <c:pt idx="110">
                  <c:v>68.40100000000001</c:v>
                </c:pt>
                <c:pt idx="111">
                  <c:v>68.40100000000001</c:v>
                </c:pt>
                <c:pt idx="112">
                  <c:v>68.40100000000001</c:v>
                </c:pt>
                <c:pt idx="113">
                  <c:v>68.40100000000001</c:v>
                </c:pt>
                <c:pt idx="114">
                  <c:v>68.40100000000001</c:v>
                </c:pt>
                <c:pt idx="115">
                  <c:v>68.40100000000001</c:v>
                </c:pt>
                <c:pt idx="116">
                  <c:v>68.40100000000001</c:v>
                </c:pt>
                <c:pt idx="117">
                  <c:v>68.40100000000001</c:v>
                </c:pt>
                <c:pt idx="118">
                  <c:v>68.40100000000001</c:v>
                </c:pt>
                <c:pt idx="119">
                  <c:v>68.40100000000001</c:v>
                </c:pt>
                <c:pt idx="120">
                  <c:v>68.40100000000001</c:v>
                </c:pt>
                <c:pt idx="121">
                  <c:v>68.40100000000001</c:v>
                </c:pt>
                <c:pt idx="122">
                  <c:v>68.40100000000001</c:v>
                </c:pt>
                <c:pt idx="123">
                  <c:v>68.40100000000001</c:v>
                </c:pt>
                <c:pt idx="124">
                  <c:v>68.40100000000001</c:v>
                </c:pt>
                <c:pt idx="125">
                  <c:v>68.40100000000001</c:v>
                </c:pt>
                <c:pt idx="126">
                  <c:v>68.40100000000001</c:v>
                </c:pt>
                <c:pt idx="127">
                  <c:v>68.40100000000001</c:v>
                </c:pt>
                <c:pt idx="128">
                  <c:v>68.40100000000001</c:v>
                </c:pt>
                <c:pt idx="129">
                  <c:v>68.40100000000001</c:v>
                </c:pt>
                <c:pt idx="130">
                  <c:v>68.40100000000001</c:v>
                </c:pt>
                <c:pt idx="131">
                  <c:v>68.40100000000001</c:v>
                </c:pt>
                <c:pt idx="132">
                  <c:v>68.40100000000001</c:v>
                </c:pt>
                <c:pt idx="133">
                  <c:v>68.40100000000001</c:v>
                </c:pt>
                <c:pt idx="134">
                  <c:v>68.40100000000001</c:v>
                </c:pt>
                <c:pt idx="135">
                  <c:v>68.40100000000001</c:v>
                </c:pt>
                <c:pt idx="136">
                  <c:v>68.40100000000001</c:v>
                </c:pt>
                <c:pt idx="137">
                  <c:v>68.40100000000001</c:v>
                </c:pt>
                <c:pt idx="138">
                  <c:v>68.40100000000001</c:v>
                </c:pt>
                <c:pt idx="139">
                  <c:v>68.40100000000001</c:v>
                </c:pt>
                <c:pt idx="140">
                  <c:v>68.40100000000001</c:v>
                </c:pt>
                <c:pt idx="141">
                  <c:v>68.40100000000001</c:v>
                </c:pt>
                <c:pt idx="142">
                  <c:v>68.40100000000001</c:v>
                </c:pt>
                <c:pt idx="143">
                  <c:v>68.40100000000001</c:v>
                </c:pt>
                <c:pt idx="144">
                  <c:v>68.40100000000001</c:v>
                </c:pt>
                <c:pt idx="145">
                  <c:v>68.40100000000001</c:v>
                </c:pt>
                <c:pt idx="146">
                  <c:v>68.40100000000001</c:v>
                </c:pt>
                <c:pt idx="147">
                  <c:v>68.40100000000001</c:v>
                </c:pt>
                <c:pt idx="148">
                  <c:v>68.40100000000001</c:v>
                </c:pt>
                <c:pt idx="149">
                  <c:v>68.40100000000001</c:v>
                </c:pt>
                <c:pt idx="150">
                  <c:v>68.40100000000001</c:v>
                </c:pt>
                <c:pt idx="151">
                  <c:v>68.40100000000001</c:v>
                </c:pt>
                <c:pt idx="152">
                  <c:v>68.40100000000001</c:v>
                </c:pt>
                <c:pt idx="153">
                  <c:v>68.40100000000001</c:v>
                </c:pt>
                <c:pt idx="154">
                  <c:v>68.40100000000001</c:v>
                </c:pt>
                <c:pt idx="155">
                  <c:v>68.40100000000001</c:v>
                </c:pt>
                <c:pt idx="156">
                  <c:v>68.40100000000001</c:v>
                </c:pt>
                <c:pt idx="157">
                  <c:v>68.40100000000001</c:v>
                </c:pt>
                <c:pt idx="158">
                  <c:v>68.40100000000001</c:v>
                </c:pt>
                <c:pt idx="159">
                  <c:v>68.40100000000001</c:v>
                </c:pt>
                <c:pt idx="160">
                  <c:v>68.40100000000001</c:v>
                </c:pt>
                <c:pt idx="161">
                  <c:v>68.40100000000001</c:v>
                </c:pt>
                <c:pt idx="162">
                  <c:v>68.40100000000001</c:v>
                </c:pt>
                <c:pt idx="163">
                  <c:v>68.40100000000001</c:v>
                </c:pt>
                <c:pt idx="164">
                  <c:v>68.40100000000001</c:v>
                </c:pt>
                <c:pt idx="165">
                  <c:v>68.40100000000001</c:v>
                </c:pt>
                <c:pt idx="166">
                  <c:v>68.40100000000001</c:v>
                </c:pt>
                <c:pt idx="167">
                  <c:v>68.40100000000001</c:v>
                </c:pt>
                <c:pt idx="168">
                  <c:v>68.40100000000001</c:v>
                </c:pt>
                <c:pt idx="169">
                  <c:v>68.40100000000001</c:v>
                </c:pt>
                <c:pt idx="170">
                  <c:v>68.40100000000001</c:v>
                </c:pt>
                <c:pt idx="171">
                  <c:v>68.40100000000001</c:v>
                </c:pt>
                <c:pt idx="172">
                  <c:v>68.40100000000001</c:v>
                </c:pt>
                <c:pt idx="173">
                  <c:v>68.40100000000001</c:v>
                </c:pt>
                <c:pt idx="174">
                  <c:v>68.40100000000001</c:v>
                </c:pt>
                <c:pt idx="175">
                  <c:v>68.40100000000001</c:v>
                </c:pt>
                <c:pt idx="176">
                  <c:v>68.40100000000001</c:v>
                </c:pt>
                <c:pt idx="177">
                  <c:v>68.40100000000001</c:v>
                </c:pt>
                <c:pt idx="178">
                  <c:v>68.40100000000001</c:v>
                </c:pt>
                <c:pt idx="179">
                  <c:v>68.40100000000001</c:v>
                </c:pt>
                <c:pt idx="180">
                  <c:v>68.40100000000001</c:v>
                </c:pt>
                <c:pt idx="181">
                  <c:v>68.40100000000001</c:v>
                </c:pt>
                <c:pt idx="182">
                  <c:v>68.40100000000001</c:v>
                </c:pt>
                <c:pt idx="183">
                  <c:v>68.40100000000001</c:v>
                </c:pt>
                <c:pt idx="184">
                  <c:v>68.40100000000001</c:v>
                </c:pt>
                <c:pt idx="185">
                  <c:v>68.40100000000001</c:v>
                </c:pt>
                <c:pt idx="186">
                  <c:v>68.40100000000001</c:v>
                </c:pt>
                <c:pt idx="187">
                  <c:v>68.40100000000001</c:v>
                </c:pt>
                <c:pt idx="188">
                  <c:v>68.40100000000001</c:v>
                </c:pt>
                <c:pt idx="189">
                  <c:v>68.40100000000001</c:v>
                </c:pt>
                <c:pt idx="190">
                  <c:v>68.40100000000001</c:v>
                </c:pt>
                <c:pt idx="191">
                  <c:v>68.40100000000001</c:v>
                </c:pt>
                <c:pt idx="192">
                  <c:v>68.40100000000001</c:v>
                </c:pt>
                <c:pt idx="193">
                  <c:v>68.40100000000001</c:v>
                </c:pt>
                <c:pt idx="194">
                  <c:v>68.40100000000001</c:v>
                </c:pt>
                <c:pt idx="195">
                  <c:v>68.40100000000001</c:v>
                </c:pt>
                <c:pt idx="196">
                  <c:v>68.40100000000001</c:v>
                </c:pt>
                <c:pt idx="197">
                  <c:v>68.40100000000001</c:v>
                </c:pt>
                <c:pt idx="198">
                  <c:v>68.40100000000001</c:v>
                </c:pt>
                <c:pt idx="199">
                  <c:v>68.40100000000001</c:v>
                </c:pt>
                <c:pt idx="200">
                  <c:v>68.40100000000001</c:v>
                </c:pt>
                <c:pt idx="201">
                  <c:v>68.40100000000001</c:v>
                </c:pt>
                <c:pt idx="202">
                  <c:v>68.40100000000001</c:v>
                </c:pt>
                <c:pt idx="203">
                  <c:v>68.40100000000001</c:v>
                </c:pt>
                <c:pt idx="204">
                  <c:v>68.40100000000001</c:v>
                </c:pt>
                <c:pt idx="205">
                  <c:v>68.40100000000001</c:v>
                </c:pt>
                <c:pt idx="206">
                  <c:v>68.40100000000001</c:v>
                </c:pt>
                <c:pt idx="207">
                  <c:v>68.40100000000001</c:v>
                </c:pt>
                <c:pt idx="208">
                  <c:v>68.40100000000001</c:v>
                </c:pt>
                <c:pt idx="209">
                  <c:v>68.40100000000001</c:v>
                </c:pt>
                <c:pt idx="210">
                  <c:v>68.40100000000001</c:v>
                </c:pt>
                <c:pt idx="211">
                  <c:v>68.40100000000001</c:v>
                </c:pt>
                <c:pt idx="212">
                  <c:v>68.40100000000001</c:v>
                </c:pt>
                <c:pt idx="213">
                  <c:v>68.40100000000001</c:v>
                </c:pt>
                <c:pt idx="214">
                  <c:v>68.40100000000001</c:v>
                </c:pt>
                <c:pt idx="215">
                  <c:v>68.40100000000001</c:v>
                </c:pt>
                <c:pt idx="216">
                  <c:v>68.40100000000001</c:v>
                </c:pt>
                <c:pt idx="217">
                  <c:v>68.40100000000001</c:v>
                </c:pt>
                <c:pt idx="218">
                  <c:v>68.40100000000001</c:v>
                </c:pt>
                <c:pt idx="219">
                  <c:v>68.40100000000001</c:v>
                </c:pt>
                <c:pt idx="220">
                  <c:v>68.40100000000001</c:v>
                </c:pt>
                <c:pt idx="221">
                  <c:v>68.40100000000001</c:v>
                </c:pt>
                <c:pt idx="222">
                  <c:v>68.40100000000001</c:v>
                </c:pt>
                <c:pt idx="223">
                  <c:v>68.40100000000001</c:v>
                </c:pt>
                <c:pt idx="224">
                  <c:v>68.40100000000001</c:v>
                </c:pt>
                <c:pt idx="225">
                  <c:v>68.40100000000001</c:v>
                </c:pt>
                <c:pt idx="226">
                  <c:v>68.40100000000001</c:v>
                </c:pt>
                <c:pt idx="227">
                  <c:v>68.40100000000001</c:v>
                </c:pt>
                <c:pt idx="228">
                  <c:v>68.40100000000001</c:v>
                </c:pt>
                <c:pt idx="229">
                  <c:v>68.40100000000001</c:v>
                </c:pt>
                <c:pt idx="230">
                  <c:v>68.40100000000001</c:v>
                </c:pt>
                <c:pt idx="231">
                  <c:v>68.40100000000001</c:v>
                </c:pt>
                <c:pt idx="232">
                  <c:v>68.40100000000001</c:v>
                </c:pt>
                <c:pt idx="233">
                  <c:v>68.40100000000001</c:v>
                </c:pt>
                <c:pt idx="234">
                  <c:v>68.40100000000001</c:v>
                </c:pt>
                <c:pt idx="235">
                  <c:v>68.40100000000001</c:v>
                </c:pt>
                <c:pt idx="236">
                  <c:v>68.40100000000001</c:v>
                </c:pt>
                <c:pt idx="237">
                  <c:v>68.40100000000001</c:v>
                </c:pt>
                <c:pt idx="238">
                  <c:v>68.40100000000001</c:v>
                </c:pt>
                <c:pt idx="239">
                  <c:v>68.40100000000001</c:v>
                </c:pt>
                <c:pt idx="240">
                  <c:v>68.40100000000001</c:v>
                </c:pt>
                <c:pt idx="241">
                  <c:v>68.40100000000001</c:v>
                </c:pt>
                <c:pt idx="242">
                  <c:v>68.40100000000001</c:v>
                </c:pt>
                <c:pt idx="243">
                  <c:v>68.40100000000001</c:v>
                </c:pt>
                <c:pt idx="244">
                  <c:v>68.40100000000001</c:v>
                </c:pt>
                <c:pt idx="245">
                  <c:v>68.40100000000001</c:v>
                </c:pt>
                <c:pt idx="246">
                  <c:v>68.40100000000001</c:v>
                </c:pt>
                <c:pt idx="247">
                  <c:v>68.40100000000001</c:v>
                </c:pt>
                <c:pt idx="248">
                  <c:v>68.40100000000001</c:v>
                </c:pt>
                <c:pt idx="249">
                  <c:v>68.40100000000001</c:v>
                </c:pt>
                <c:pt idx="250">
                  <c:v>68.40100000000001</c:v>
                </c:pt>
                <c:pt idx="251">
                  <c:v>68.40100000000001</c:v>
                </c:pt>
                <c:pt idx="252">
                  <c:v>68.40100000000001</c:v>
                </c:pt>
                <c:pt idx="253">
                  <c:v>68.40100000000001</c:v>
                </c:pt>
                <c:pt idx="254">
                  <c:v>68.40100000000001</c:v>
                </c:pt>
                <c:pt idx="255">
                  <c:v>68.40100000000001</c:v>
                </c:pt>
                <c:pt idx="256">
                  <c:v>68.40100000000001</c:v>
                </c:pt>
                <c:pt idx="257">
                  <c:v>68.40100000000001</c:v>
                </c:pt>
                <c:pt idx="258">
                  <c:v>68.40100000000001</c:v>
                </c:pt>
                <c:pt idx="259">
                  <c:v>68.40100000000001</c:v>
                </c:pt>
                <c:pt idx="260">
                  <c:v>68.40100000000001</c:v>
                </c:pt>
                <c:pt idx="261">
                  <c:v>68.40100000000001</c:v>
                </c:pt>
                <c:pt idx="262">
                  <c:v>68.40100000000001</c:v>
                </c:pt>
                <c:pt idx="263">
                  <c:v>68.40100000000001</c:v>
                </c:pt>
                <c:pt idx="264">
                  <c:v>68.40100000000001</c:v>
                </c:pt>
                <c:pt idx="265">
                  <c:v>68.40100000000001</c:v>
                </c:pt>
                <c:pt idx="266">
                  <c:v>68.40100000000001</c:v>
                </c:pt>
                <c:pt idx="267">
                  <c:v>68.40100000000001</c:v>
                </c:pt>
                <c:pt idx="268">
                  <c:v>68.40100000000001</c:v>
                </c:pt>
                <c:pt idx="269">
                  <c:v>68.40100000000001</c:v>
                </c:pt>
                <c:pt idx="270">
                  <c:v>68.40100000000001</c:v>
                </c:pt>
                <c:pt idx="271">
                  <c:v>68.40100000000001</c:v>
                </c:pt>
                <c:pt idx="272">
                  <c:v>68.40100000000001</c:v>
                </c:pt>
                <c:pt idx="273">
                  <c:v>68.40100000000001</c:v>
                </c:pt>
                <c:pt idx="274">
                  <c:v>68.40100000000001</c:v>
                </c:pt>
                <c:pt idx="275">
                  <c:v>68.40100000000001</c:v>
                </c:pt>
                <c:pt idx="276">
                  <c:v>68.40100000000001</c:v>
                </c:pt>
                <c:pt idx="277">
                  <c:v>68.40100000000001</c:v>
                </c:pt>
                <c:pt idx="278">
                  <c:v>68.40100000000001</c:v>
                </c:pt>
                <c:pt idx="279">
                  <c:v>68.40100000000001</c:v>
                </c:pt>
                <c:pt idx="280">
                  <c:v>68.40100000000001</c:v>
                </c:pt>
                <c:pt idx="281">
                  <c:v>68.40100000000001</c:v>
                </c:pt>
                <c:pt idx="282">
                  <c:v>68.40100000000001</c:v>
                </c:pt>
                <c:pt idx="283">
                  <c:v>68.40100000000001</c:v>
                </c:pt>
                <c:pt idx="284">
                  <c:v>68.40100000000001</c:v>
                </c:pt>
                <c:pt idx="285">
                  <c:v>68.40100000000001</c:v>
                </c:pt>
                <c:pt idx="286">
                  <c:v>68.40100000000001</c:v>
                </c:pt>
                <c:pt idx="287">
                  <c:v>68.40100000000001</c:v>
                </c:pt>
                <c:pt idx="288">
                  <c:v>68.40100000000001</c:v>
                </c:pt>
                <c:pt idx="289">
                  <c:v>68.40100000000001</c:v>
                </c:pt>
                <c:pt idx="290">
                  <c:v>68.40100000000001</c:v>
                </c:pt>
                <c:pt idx="291">
                  <c:v>68.40100000000001</c:v>
                </c:pt>
                <c:pt idx="292">
                  <c:v>68.40100000000001</c:v>
                </c:pt>
                <c:pt idx="293">
                  <c:v>68.40100000000001</c:v>
                </c:pt>
                <c:pt idx="294">
                  <c:v>68.40100000000001</c:v>
                </c:pt>
                <c:pt idx="295">
                  <c:v>68.40100000000001</c:v>
                </c:pt>
                <c:pt idx="296">
                  <c:v>68.40100000000001</c:v>
                </c:pt>
                <c:pt idx="297">
                  <c:v>68.40100000000001</c:v>
                </c:pt>
                <c:pt idx="298">
                  <c:v>68.40100000000001</c:v>
                </c:pt>
                <c:pt idx="299">
                  <c:v>68.40100000000001</c:v>
                </c:pt>
                <c:pt idx="300">
                  <c:v>68.40100000000001</c:v>
                </c:pt>
                <c:pt idx="301">
                  <c:v>68.40100000000001</c:v>
                </c:pt>
                <c:pt idx="302">
                  <c:v>68.40100000000001</c:v>
                </c:pt>
                <c:pt idx="303">
                  <c:v>68.40100000000001</c:v>
                </c:pt>
                <c:pt idx="304">
                  <c:v>68.40100000000001</c:v>
                </c:pt>
                <c:pt idx="305">
                  <c:v>68.40100000000001</c:v>
                </c:pt>
                <c:pt idx="306">
                  <c:v>68.40100000000001</c:v>
                </c:pt>
                <c:pt idx="307">
                  <c:v>68.40100000000001</c:v>
                </c:pt>
                <c:pt idx="308">
                  <c:v>68.40100000000001</c:v>
                </c:pt>
                <c:pt idx="309">
                  <c:v>68.40100000000001</c:v>
                </c:pt>
                <c:pt idx="310">
                  <c:v>68.40100000000001</c:v>
                </c:pt>
                <c:pt idx="311">
                  <c:v>68.40100000000001</c:v>
                </c:pt>
                <c:pt idx="312">
                  <c:v>68.40100000000001</c:v>
                </c:pt>
                <c:pt idx="313">
                  <c:v>68.40100000000001</c:v>
                </c:pt>
                <c:pt idx="314">
                  <c:v>68.40100000000001</c:v>
                </c:pt>
                <c:pt idx="315">
                  <c:v>68.40100000000001</c:v>
                </c:pt>
                <c:pt idx="316">
                  <c:v>68.40100000000001</c:v>
                </c:pt>
                <c:pt idx="317">
                  <c:v>68.40100000000001</c:v>
                </c:pt>
                <c:pt idx="318">
                  <c:v>68.40100000000001</c:v>
                </c:pt>
                <c:pt idx="319">
                  <c:v>68.40100000000001</c:v>
                </c:pt>
                <c:pt idx="320">
                  <c:v>68.40100000000001</c:v>
                </c:pt>
                <c:pt idx="321">
                  <c:v>68.40100000000001</c:v>
                </c:pt>
                <c:pt idx="322">
                  <c:v>68.40100000000001</c:v>
                </c:pt>
                <c:pt idx="323">
                  <c:v>68.40100000000001</c:v>
                </c:pt>
                <c:pt idx="324">
                  <c:v>68.40100000000001</c:v>
                </c:pt>
                <c:pt idx="325">
                  <c:v>68.40100000000001</c:v>
                </c:pt>
                <c:pt idx="326">
                  <c:v>68.40100000000001</c:v>
                </c:pt>
                <c:pt idx="327">
                  <c:v>68.40100000000001</c:v>
                </c:pt>
                <c:pt idx="328">
                  <c:v>68.40100000000001</c:v>
                </c:pt>
                <c:pt idx="329">
                  <c:v>68.40100000000001</c:v>
                </c:pt>
                <c:pt idx="330">
                  <c:v>68.40100000000001</c:v>
                </c:pt>
                <c:pt idx="331">
                  <c:v>68.40100000000001</c:v>
                </c:pt>
                <c:pt idx="332">
                  <c:v>68.40100000000001</c:v>
                </c:pt>
                <c:pt idx="333">
                  <c:v>68.40100000000001</c:v>
                </c:pt>
                <c:pt idx="334">
                  <c:v>68.40100000000001</c:v>
                </c:pt>
                <c:pt idx="335">
                  <c:v>68.40100000000001</c:v>
                </c:pt>
                <c:pt idx="336">
                  <c:v>68.40100000000001</c:v>
                </c:pt>
                <c:pt idx="337">
                  <c:v>68.40100000000001</c:v>
                </c:pt>
                <c:pt idx="338">
                  <c:v>68.40100000000001</c:v>
                </c:pt>
                <c:pt idx="339">
                  <c:v>68.40100000000001</c:v>
                </c:pt>
                <c:pt idx="340">
                  <c:v>68.40100000000001</c:v>
                </c:pt>
                <c:pt idx="341">
                  <c:v>68.40100000000001</c:v>
                </c:pt>
                <c:pt idx="342">
                  <c:v>68.40100000000001</c:v>
                </c:pt>
                <c:pt idx="343">
                  <c:v>68.40100000000001</c:v>
                </c:pt>
                <c:pt idx="344">
                  <c:v>68.40100000000001</c:v>
                </c:pt>
                <c:pt idx="345">
                  <c:v>68.40100000000001</c:v>
                </c:pt>
                <c:pt idx="346">
                  <c:v>68.40100000000001</c:v>
                </c:pt>
                <c:pt idx="347">
                  <c:v>68.40100000000001</c:v>
                </c:pt>
                <c:pt idx="348">
                  <c:v>68.40100000000001</c:v>
                </c:pt>
                <c:pt idx="349">
                  <c:v>68.40100000000001</c:v>
                </c:pt>
                <c:pt idx="350">
                  <c:v>68.40100000000001</c:v>
                </c:pt>
                <c:pt idx="351">
                  <c:v>68.40100000000001</c:v>
                </c:pt>
                <c:pt idx="352">
                  <c:v>68.40100000000001</c:v>
                </c:pt>
                <c:pt idx="353">
                  <c:v>68.40100000000001</c:v>
                </c:pt>
                <c:pt idx="354">
                  <c:v>68.40100000000001</c:v>
                </c:pt>
                <c:pt idx="355">
                  <c:v>68.40100000000001</c:v>
                </c:pt>
                <c:pt idx="356">
                  <c:v>68.40100000000001</c:v>
                </c:pt>
                <c:pt idx="357">
                  <c:v>68.40100000000001</c:v>
                </c:pt>
                <c:pt idx="358">
                  <c:v>68.40100000000001</c:v>
                </c:pt>
                <c:pt idx="359">
                  <c:v>68.40100000000001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9-47EF-A541-1D57A6FFF2D5}"/>
            </c:ext>
          </c:extLst>
        </c:ser>
        <c:ser>
          <c:idx val="3"/>
          <c:order val="3"/>
          <c:tx>
            <c:v>RDU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BH_Mois!$A$2:$A$366</c:f>
              <c:numCache>
                <c:formatCode>m/d/yyyy</c:formatCode>
                <c:ptCount val="365"/>
                <c:pt idx="0">
                  <c:v>42215</c:v>
                </c:pt>
                <c:pt idx="1">
                  <c:v>42216</c:v>
                </c:pt>
                <c:pt idx="2">
                  <c:v>42217</c:v>
                </c:pt>
                <c:pt idx="3">
                  <c:v>42218</c:v>
                </c:pt>
                <c:pt idx="4">
                  <c:v>42219</c:v>
                </c:pt>
                <c:pt idx="5">
                  <c:v>42220</c:v>
                </c:pt>
                <c:pt idx="6">
                  <c:v>42221</c:v>
                </c:pt>
                <c:pt idx="7">
                  <c:v>42222</c:v>
                </c:pt>
                <c:pt idx="8">
                  <c:v>42223</c:v>
                </c:pt>
                <c:pt idx="9">
                  <c:v>42224</c:v>
                </c:pt>
                <c:pt idx="10">
                  <c:v>42225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42229</c:v>
                </c:pt>
                <c:pt idx="16">
                  <c:v>42229</c:v>
                </c:pt>
                <c:pt idx="17">
                  <c:v>42229</c:v>
                </c:pt>
                <c:pt idx="18">
                  <c:v>42229</c:v>
                </c:pt>
                <c:pt idx="19">
                  <c:v>42229</c:v>
                </c:pt>
                <c:pt idx="20">
                  <c:v>42229</c:v>
                </c:pt>
                <c:pt idx="21">
                  <c:v>42229</c:v>
                </c:pt>
                <c:pt idx="22">
                  <c:v>42229</c:v>
                </c:pt>
                <c:pt idx="23">
                  <c:v>42229</c:v>
                </c:pt>
                <c:pt idx="24">
                  <c:v>42229</c:v>
                </c:pt>
                <c:pt idx="25">
                  <c:v>42229</c:v>
                </c:pt>
                <c:pt idx="26">
                  <c:v>42229</c:v>
                </c:pt>
                <c:pt idx="27">
                  <c:v>42229</c:v>
                </c:pt>
                <c:pt idx="28">
                  <c:v>42229</c:v>
                </c:pt>
                <c:pt idx="29">
                  <c:v>42229</c:v>
                </c:pt>
                <c:pt idx="30">
                  <c:v>42229</c:v>
                </c:pt>
                <c:pt idx="31">
                  <c:v>42229</c:v>
                </c:pt>
                <c:pt idx="32">
                  <c:v>42229</c:v>
                </c:pt>
                <c:pt idx="33">
                  <c:v>42229</c:v>
                </c:pt>
                <c:pt idx="34">
                  <c:v>42229</c:v>
                </c:pt>
                <c:pt idx="35">
                  <c:v>42229</c:v>
                </c:pt>
                <c:pt idx="36">
                  <c:v>42229</c:v>
                </c:pt>
                <c:pt idx="37">
                  <c:v>42229</c:v>
                </c:pt>
                <c:pt idx="38">
                  <c:v>42229</c:v>
                </c:pt>
                <c:pt idx="39">
                  <c:v>42229</c:v>
                </c:pt>
                <c:pt idx="40">
                  <c:v>42229</c:v>
                </c:pt>
                <c:pt idx="41">
                  <c:v>42229</c:v>
                </c:pt>
                <c:pt idx="42">
                  <c:v>42229</c:v>
                </c:pt>
                <c:pt idx="43">
                  <c:v>42229</c:v>
                </c:pt>
                <c:pt idx="44">
                  <c:v>42229</c:v>
                </c:pt>
                <c:pt idx="45">
                  <c:v>42229</c:v>
                </c:pt>
                <c:pt idx="46">
                  <c:v>42229</c:v>
                </c:pt>
                <c:pt idx="47">
                  <c:v>42229</c:v>
                </c:pt>
                <c:pt idx="48">
                  <c:v>42229</c:v>
                </c:pt>
                <c:pt idx="49">
                  <c:v>42229</c:v>
                </c:pt>
                <c:pt idx="50">
                  <c:v>42229</c:v>
                </c:pt>
                <c:pt idx="51">
                  <c:v>42229</c:v>
                </c:pt>
                <c:pt idx="52">
                  <c:v>42229</c:v>
                </c:pt>
                <c:pt idx="53">
                  <c:v>42229</c:v>
                </c:pt>
                <c:pt idx="54">
                  <c:v>42229</c:v>
                </c:pt>
                <c:pt idx="55">
                  <c:v>42229</c:v>
                </c:pt>
                <c:pt idx="56">
                  <c:v>42229</c:v>
                </c:pt>
                <c:pt idx="57">
                  <c:v>42229</c:v>
                </c:pt>
                <c:pt idx="58">
                  <c:v>42229</c:v>
                </c:pt>
                <c:pt idx="59">
                  <c:v>42229</c:v>
                </c:pt>
                <c:pt idx="60">
                  <c:v>42229</c:v>
                </c:pt>
                <c:pt idx="61">
                  <c:v>42229</c:v>
                </c:pt>
                <c:pt idx="62">
                  <c:v>42229</c:v>
                </c:pt>
                <c:pt idx="63">
                  <c:v>42229</c:v>
                </c:pt>
                <c:pt idx="64">
                  <c:v>42229</c:v>
                </c:pt>
                <c:pt idx="65">
                  <c:v>42229</c:v>
                </c:pt>
                <c:pt idx="66">
                  <c:v>42229</c:v>
                </c:pt>
                <c:pt idx="67">
                  <c:v>42229</c:v>
                </c:pt>
                <c:pt idx="68">
                  <c:v>42229</c:v>
                </c:pt>
                <c:pt idx="69">
                  <c:v>42229</c:v>
                </c:pt>
                <c:pt idx="70">
                  <c:v>42229</c:v>
                </c:pt>
                <c:pt idx="71">
                  <c:v>42229</c:v>
                </c:pt>
                <c:pt idx="72">
                  <c:v>42229</c:v>
                </c:pt>
                <c:pt idx="73">
                  <c:v>42229</c:v>
                </c:pt>
                <c:pt idx="74">
                  <c:v>42229</c:v>
                </c:pt>
                <c:pt idx="75">
                  <c:v>42229</c:v>
                </c:pt>
                <c:pt idx="76">
                  <c:v>42229</c:v>
                </c:pt>
                <c:pt idx="77">
                  <c:v>42229</c:v>
                </c:pt>
                <c:pt idx="78">
                  <c:v>42229</c:v>
                </c:pt>
                <c:pt idx="79">
                  <c:v>42229</c:v>
                </c:pt>
                <c:pt idx="80">
                  <c:v>42229</c:v>
                </c:pt>
                <c:pt idx="81">
                  <c:v>42229</c:v>
                </c:pt>
                <c:pt idx="82">
                  <c:v>42229</c:v>
                </c:pt>
                <c:pt idx="83">
                  <c:v>42229</c:v>
                </c:pt>
                <c:pt idx="84">
                  <c:v>42229</c:v>
                </c:pt>
                <c:pt idx="85">
                  <c:v>42229</c:v>
                </c:pt>
                <c:pt idx="86">
                  <c:v>42229</c:v>
                </c:pt>
                <c:pt idx="87">
                  <c:v>42229</c:v>
                </c:pt>
                <c:pt idx="88">
                  <c:v>42229</c:v>
                </c:pt>
                <c:pt idx="89">
                  <c:v>42229</c:v>
                </c:pt>
                <c:pt idx="90">
                  <c:v>42229</c:v>
                </c:pt>
                <c:pt idx="91">
                  <c:v>42229</c:v>
                </c:pt>
                <c:pt idx="92">
                  <c:v>42229</c:v>
                </c:pt>
                <c:pt idx="93">
                  <c:v>42229</c:v>
                </c:pt>
                <c:pt idx="94">
                  <c:v>42229</c:v>
                </c:pt>
                <c:pt idx="95">
                  <c:v>42229</c:v>
                </c:pt>
                <c:pt idx="96">
                  <c:v>42229</c:v>
                </c:pt>
                <c:pt idx="97">
                  <c:v>42229</c:v>
                </c:pt>
                <c:pt idx="98">
                  <c:v>42229</c:v>
                </c:pt>
                <c:pt idx="99">
                  <c:v>42229</c:v>
                </c:pt>
                <c:pt idx="100">
                  <c:v>42229</c:v>
                </c:pt>
                <c:pt idx="101">
                  <c:v>42229</c:v>
                </c:pt>
                <c:pt idx="102">
                  <c:v>42229</c:v>
                </c:pt>
                <c:pt idx="103">
                  <c:v>42229</c:v>
                </c:pt>
                <c:pt idx="104">
                  <c:v>42229</c:v>
                </c:pt>
                <c:pt idx="105">
                  <c:v>42229</c:v>
                </c:pt>
                <c:pt idx="106">
                  <c:v>42229</c:v>
                </c:pt>
                <c:pt idx="107">
                  <c:v>42229</c:v>
                </c:pt>
                <c:pt idx="108">
                  <c:v>42229</c:v>
                </c:pt>
                <c:pt idx="109">
                  <c:v>42229</c:v>
                </c:pt>
                <c:pt idx="110">
                  <c:v>42229</c:v>
                </c:pt>
                <c:pt idx="111">
                  <c:v>42229</c:v>
                </c:pt>
                <c:pt idx="112">
                  <c:v>42229</c:v>
                </c:pt>
                <c:pt idx="113">
                  <c:v>42229</c:v>
                </c:pt>
                <c:pt idx="114">
                  <c:v>42229</c:v>
                </c:pt>
                <c:pt idx="115">
                  <c:v>42229</c:v>
                </c:pt>
                <c:pt idx="116">
                  <c:v>42229</c:v>
                </c:pt>
                <c:pt idx="117">
                  <c:v>42229</c:v>
                </c:pt>
                <c:pt idx="118">
                  <c:v>42229</c:v>
                </c:pt>
                <c:pt idx="119">
                  <c:v>42229</c:v>
                </c:pt>
                <c:pt idx="120">
                  <c:v>42229</c:v>
                </c:pt>
                <c:pt idx="121">
                  <c:v>42229</c:v>
                </c:pt>
                <c:pt idx="122">
                  <c:v>42229</c:v>
                </c:pt>
                <c:pt idx="123">
                  <c:v>42229</c:v>
                </c:pt>
                <c:pt idx="124">
                  <c:v>42229</c:v>
                </c:pt>
                <c:pt idx="125">
                  <c:v>42229</c:v>
                </c:pt>
                <c:pt idx="126">
                  <c:v>42229</c:v>
                </c:pt>
                <c:pt idx="127">
                  <c:v>42229</c:v>
                </c:pt>
                <c:pt idx="128">
                  <c:v>42229</c:v>
                </c:pt>
                <c:pt idx="129">
                  <c:v>42229</c:v>
                </c:pt>
                <c:pt idx="130">
                  <c:v>42229</c:v>
                </c:pt>
                <c:pt idx="131">
                  <c:v>42229</c:v>
                </c:pt>
                <c:pt idx="132">
                  <c:v>42229</c:v>
                </c:pt>
                <c:pt idx="133">
                  <c:v>42229</c:v>
                </c:pt>
                <c:pt idx="134">
                  <c:v>42229</c:v>
                </c:pt>
                <c:pt idx="135">
                  <c:v>42229</c:v>
                </c:pt>
                <c:pt idx="136">
                  <c:v>42229</c:v>
                </c:pt>
                <c:pt idx="137">
                  <c:v>42229</c:v>
                </c:pt>
                <c:pt idx="138">
                  <c:v>42229</c:v>
                </c:pt>
                <c:pt idx="139">
                  <c:v>42229</c:v>
                </c:pt>
                <c:pt idx="140">
                  <c:v>42229</c:v>
                </c:pt>
                <c:pt idx="141">
                  <c:v>42229</c:v>
                </c:pt>
                <c:pt idx="142">
                  <c:v>42229</c:v>
                </c:pt>
                <c:pt idx="143">
                  <c:v>42229</c:v>
                </c:pt>
                <c:pt idx="144">
                  <c:v>42229</c:v>
                </c:pt>
                <c:pt idx="145">
                  <c:v>42229</c:v>
                </c:pt>
                <c:pt idx="146">
                  <c:v>42229</c:v>
                </c:pt>
                <c:pt idx="147">
                  <c:v>42229</c:v>
                </c:pt>
                <c:pt idx="148">
                  <c:v>42229</c:v>
                </c:pt>
                <c:pt idx="149">
                  <c:v>42229</c:v>
                </c:pt>
                <c:pt idx="150">
                  <c:v>42229</c:v>
                </c:pt>
                <c:pt idx="151">
                  <c:v>42229</c:v>
                </c:pt>
                <c:pt idx="152">
                  <c:v>42229</c:v>
                </c:pt>
                <c:pt idx="153">
                  <c:v>42229</c:v>
                </c:pt>
                <c:pt idx="154">
                  <c:v>42229</c:v>
                </c:pt>
                <c:pt idx="155">
                  <c:v>42229</c:v>
                </c:pt>
                <c:pt idx="156">
                  <c:v>42229</c:v>
                </c:pt>
                <c:pt idx="157">
                  <c:v>42229</c:v>
                </c:pt>
                <c:pt idx="158">
                  <c:v>42229</c:v>
                </c:pt>
                <c:pt idx="159">
                  <c:v>42229</c:v>
                </c:pt>
                <c:pt idx="160">
                  <c:v>42229</c:v>
                </c:pt>
                <c:pt idx="161">
                  <c:v>42229</c:v>
                </c:pt>
                <c:pt idx="162">
                  <c:v>42229</c:v>
                </c:pt>
                <c:pt idx="163">
                  <c:v>42229</c:v>
                </c:pt>
                <c:pt idx="164">
                  <c:v>42229</c:v>
                </c:pt>
                <c:pt idx="165">
                  <c:v>42229</c:v>
                </c:pt>
                <c:pt idx="166">
                  <c:v>42229</c:v>
                </c:pt>
                <c:pt idx="167">
                  <c:v>42229</c:v>
                </c:pt>
                <c:pt idx="168">
                  <c:v>42229</c:v>
                </c:pt>
                <c:pt idx="169">
                  <c:v>42229</c:v>
                </c:pt>
                <c:pt idx="170">
                  <c:v>42229</c:v>
                </c:pt>
                <c:pt idx="171">
                  <c:v>42229</c:v>
                </c:pt>
                <c:pt idx="172">
                  <c:v>42229</c:v>
                </c:pt>
                <c:pt idx="173">
                  <c:v>42229</c:v>
                </c:pt>
                <c:pt idx="174">
                  <c:v>42229</c:v>
                </c:pt>
                <c:pt idx="175">
                  <c:v>42229</c:v>
                </c:pt>
                <c:pt idx="176">
                  <c:v>42229</c:v>
                </c:pt>
                <c:pt idx="177">
                  <c:v>42229</c:v>
                </c:pt>
                <c:pt idx="178">
                  <c:v>42229</c:v>
                </c:pt>
                <c:pt idx="179">
                  <c:v>42229</c:v>
                </c:pt>
                <c:pt idx="180">
                  <c:v>42229</c:v>
                </c:pt>
                <c:pt idx="181">
                  <c:v>42229</c:v>
                </c:pt>
                <c:pt idx="182">
                  <c:v>42229</c:v>
                </c:pt>
                <c:pt idx="183">
                  <c:v>42229</c:v>
                </c:pt>
                <c:pt idx="184">
                  <c:v>42229</c:v>
                </c:pt>
                <c:pt idx="185">
                  <c:v>42229</c:v>
                </c:pt>
                <c:pt idx="186">
                  <c:v>42229</c:v>
                </c:pt>
                <c:pt idx="187">
                  <c:v>42229</c:v>
                </c:pt>
                <c:pt idx="188">
                  <c:v>42229</c:v>
                </c:pt>
                <c:pt idx="189">
                  <c:v>42229</c:v>
                </c:pt>
                <c:pt idx="190">
                  <c:v>42229</c:v>
                </c:pt>
                <c:pt idx="191">
                  <c:v>42229</c:v>
                </c:pt>
                <c:pt idx="192">
                  <c:v>42229</c:v>
                </c:pt>
                <c:pt idx="193">
                  <c:v>42229</c:v>
                </c:pt>
                <c:pt idx="194">
                  <c:v>42229</c:v>
                </c:pt>
                <c:pt idx="195">
                  <c:v>42229</c:v>
                </c:pt>
                <c:pt idx="196">
                  <c:v>42229</c:v>
                </c:pt>
                <c:pt idx="197">
                  <c:v>42229</c:v>
                </c:pt>
                <c:pt idx="198">
                  <c:v>42229</c:v>
                </c:pt>
                <c:pt idx="199">
                  <c:v>42229</c:v>
                </c:pt>
                <c:pt idx="200">
                  <c:v>42229</c:v>
                </c:pt>
                <c:pt idx="201">
                  <c:v>42229</c:v>
                </c:pt>
                <c:pt idx="202">
                  <c:v>42229</c:v>
                </c:pt>
                <c:pt idx="203">
                  <c:v>42229</c:v>
                </c:pt>
                <c:pt idx="204">
                  <c:v>42229</c:v>
                </c:pt>
                <c:pt idx="205">
                  <c:v>42229</c:v>
                </c:pt>
                <c:pt idx="206">
                  <c:v>42229</c:v>
                </c:pt>
                <c:pt idx="207">
                  <c:v>42229</c:v>
                </c:pt>
                <c:pt idx="208">
                  <c:v>42229</c:v>
                </c:pt>
                <c:pt idx="209">
                  <c:v>42229</c:v>
                </c:pt>
                <c:pt idx="210">
                  <c:v>42229</c:v>
                </c:pt>
                <c:pt idx="211">
                  <c:v>42229</c:v>
                </c:pt>
                <c:pt idx="212">
                  <c:v>42229</c:v>
                </c:pt>
                <c:pt idx="213">
                  <c:v>42229</c:v>
                </c:pt>
                <c:pt idx="214">
                  <c:v>42229</c:v>
                </c:pt>
                <c:pt idx="215">
                  <c:v>42229</c:v>
                </c:pt>
                <c:pt idx="216">
                  <c:v>42229</c:v>
                </c:pt>
                <c:pt idx="217">
                  <c:v>42229</c:v>
                </c:pt>
                <c:pt idx="218">
                  <c:v>42229</c:v>
                </c:pt>
                <c:pt idx="219">
                  <c:v>42229</c:v>
                </c:pt>
                <c:pt idx="220">
                  <c:v>42229</c:v>
                </c:pt>
                <c:pt idx="221">
                  <c:v>42229</c:v>
                </c:pt>
                <c:pt idx="222">
                  <c:v>42229</c:v>
                </c:pt>
                <c:pt idx="223">
                  <c:v>42229</c:v>
                </c:pt>
                <c:pt idx="224">
                  <c:v>42229</c:v>
                </c:pt>
                <c:pt idx="225">
                  <c:v>42229</c:v>
                </c:pt>
                <c:pt idx="226">
                  <c:v>42229</c:v>
                </c:pt>
                <c:pt idx="227">
                  <c:v>42229</c:v>
                </c:pt>
                <c:pt idx="228">
                  <c:v>42229</c:v>
                </c:pt>
                <c:pt idx="229">
                  <c:v>42229</c:v>
                </c:pt>
                <c:pt idx="230">
                  <c:v>42229</c:v>
                </c:pt>
                <c:pt idx="231">
                  <c:v>42229</c:v>
                </c:pt>
                <c:pt idx="232">
                  <c:v>42229</c:v>
                </c:pt>
                <c:pt idx="233">
                  <c:v>42229</c:v>
                </c:pt>
                <c:pt idx="234">
                  <c:v>42229</c:v>
                </c:pt>
                <c:pt idx="235">
                  <c:v>42229</c:v>
                </c:pt>
                <c:pt idx="236">
                  <c:v>42229</c:v>
                </c:pt>
                <c:pt idx="237">
                  <c:v>42229</c:v>
                </c:pt>
                <c:pt idx="238">
                  <c:v>42229</c:v>
                </c:pt>
                <c:pt idx="239">
                  <c:v>42229</c:v>
                </c:pt>
                <c:pt idx="240">
                  <c:v>42229</c:v>
                </c:pt>
                <c:pt idx="241">
                  <c:v>42229</c:v>
                </c:pt>
                <c:pt idx="242">
                  <c:v>42229</c:v>
                </c:pt>
                <c:pt idx="243">
                  <c:v>42229</c:v>
                </c:pt>
                <c:pt idx="244">
                  <c:v>42229</c:v>
                </c:pt>
                <c:pt idx="245">
                  <c:v>42229</c:v>
                </c:pt>
                <c:pt idx="246">
                  <c:v>42229</c:v>
                </c:pt>
                <c:pt idx="247">
                  <c:v>42229</c:v>
                </c:pt>
                <c:pt idx="248">
                  <c:v>42229</c:v>
                </c:pt>
                <c:pt idx="249">
                  <c:v>42229</c:v>
                </c:pt>
                <c:pt idx="250">
                  <c:v>42229</c:v>
                </c:pt>
                <c:pt idx="251">
                  <c:v>42229</c:v>
                </c:pt>
                <c:pt idx="252">
                  <c:v>42229</c:v>
                </c:pt>
                <c:pt idx="253">
                  <c:v>42229</c:v>
                </c:pt>
                <c:pt idx="254">
                  <c:v>42229</c:v>
                </c:pt>
                <c:pt idx="255">
                  <c:v>42229</c:v>
                </c:pt>
                <c:pt idx="256">
                  <c:v>42229</c:v>
                </c:pt>
                <c:pt idx="257">
                  <c:v>42229</c:v>
                </c:pt>
                <c:pt idx="258">
                  <c:v>42229</c:v>
                </c:pt>
                <c:pt idx="259">
                  <c:v>42229</c:v>
                </c:pt>
                <c:pt idx="260">
                  <c:v>42229</c:v>
                </c:pt>
                <c:pt idx="261">
                  <c:v>42229</c:v>
                </c:pt>
                <c:pt idx="262">
                  <c:v>42229</c:v>
                </c:pt>
                <c:pt idx="263">
                  <c:v>42229</c:v>
                </c:pt>
                <c:pt idx="264">
                  <c:v>42229</c:v>
                </c:pt>
                <c:pt idx="265">
                  <c:v>42229</c:v>
                </c:pt>
                <c:pt idx="266">
                  <c:v>42229</c:v>
                </c:pt>
                <c:pt idx="267">
                  <c:v>42229</c:v>
                </c:pt>
                <c:pt idx="268">
                  <c:v>42229</c:v>
                </c:pt>
                <c:pt idx="269">
                  <c:v>42229</c:v>
                </c:pt>
                <c:pt idx="270">
                  <c:v>42229</c:v>
                </c:pt>
                <c:pt idx="271">
                  <c:v>42229</c:v>
                </c:pt>
                <c:pt idx="272">
                  <c:v>42229</c:v>
                </c:pt>
                <c:pt idx="273">
                  <c:v>42229</c:v>
                </c:pt>
                <c:pt idx="274">
                  <c:v>42229</c:v>
                </c:pt>
                <c:pt idx="275">
                  <c:v>42229</c:v>
                </c:pt>
                <c:pt idx="276">
                  <c:v>42229</c:v>
                </c:pt>
                <c:pt idx="277">
                  <c:v>42229</c:v>
                </c:pt>
                <c:pt idx="278">
                  <c:v>42229</c:v>
                </c:pt>
                <c:pt idx="279">
                  <c:v>42229</c:v>
                </c:pt>
                <c:pt idx="280">
                  <c:v>42229</c:v>
                </c:pt>
                <c:pt idx="281">
                  <c:v>42229</c:v>
                </c:pt>
                <c:pt idx="282">
                  <c:v>42229</c:v>
                </c:pt>
                <c:pt idx="283">
                  <c:v>42229</c:v>
                </c:pt>
                <c:pt idx="284">
                  <c:v>42229</c:v>
                </c:pt>
                <c:pt idx="285">
                  <c:v>42229</c:v>
                </c:pt>
                <c:pt idx="286">
                  <c:v>42229</c:v>
                </c:pt>
                <c:pt idx="287">
                  <c:v>42229</c:v>
                </c:pt>
                <c:pt idx="288">
                  <c:v>42229</c:v>
                </c:pt>
                <c:pt idx="289">
                  <c:v>42229</c:v>
                </c:pt>
                <c:pt idx="290">
                  <c:v>42229</c:v>
                </c:pt>
                <c:pt idx="291">
                  <c:v>42229</c:v>
                </c:pt>
                <c:pt idx="292">
                  <c:v>42229</c:v>
                </c:pt>
                <c:pt idx="293">
                  <c:v>42229</c:v>
                </c:pt>
                <c:pt idx="294">
                  <c:v>42229</c:v>
                </c:pt>
                <c:pt idx="295">
                  <c:v>42229</c:v>
                </c:pt>
                <c:pt idx="296">
                  <c:v>42229</c:v>
                </c:pt>
                <c:pt idx="297">
                  <c:v>42229</c:v>
                </c:pt>
                <c:pt idx="298">
                  <c:v>42229</c:v>
                </c:pt>
                <c:pt idx="299">
                  <c:v>42229</c:v>
                </c:pt>
                <c:pt idx="300">
                  <c:v>42229</c:v>
                </c:pt>
                <c:pt idx="301">
                  <c:v>42229</c:v>
                </c:pt>
                <c:pt idx="302">
                  <c:v>42229</c:v>
                </c:pt>
                <c:pt idx="303">
                  <c:v>42229</c:v>
                </c:pt>
                <c:pt idx="304">
                  <c:v>42229</c:v>
                </c:pt>
                <c:pt idx="305">
                  <c:v>42229</c:v>
                </c:pt>
                <c:pt idx="306">
                  <c:v>42229</c:v>
                </c:pt>
                <c:pt idx="307">
                  <c:v>42229</c:v>
                </c:pt>
                <c:pt idx="308">
                  <c:v>42229</c:v>
                </c:pt>
                <c:pt idx="309">
                  <c:v>42229</c:v>
                </c:pt>
                <c:pt idx="310">
                  <c:v>42229</c:v>
                </c:pt>
                <c:pt idx="311">
                  <c:v>42229</c:v>
                </c:pt>
                <c:pt idx="312">
                  <c:v>42229</c:v>
                </c:pt>
                <c:pt idx="313">
                  <c:v>42229</c:v>
                </c:pt>
                <c:pt idx="314">
                  <c:v>42229</c:v>
                </c:pt>
                <c:pt idx="315">
                  <c:v>42229</c:v>
                </c:pt>
                <c:pt idx="316">
                  <c:v>42229</c:v>
                </c:pt>
                <c:pt idx="317">
                  <c:v>42229</c:v>
                </c:pt>
                <c:pt idx="318">
                  <c:v>42229</c:v>
                </c:pt>
                <c:pt idx="319">
                  <c:v>42229</c:v>
                </c:pt>
                <c:pt idx="320">
                  <c:v>42229</c:v>
                </c:pt>
                <c:pt idx="321">
                  <c:v>42229</c:v>
                </c:pt>
                <c:pt idx="322">
                  <c:v>42229</c:v>
                </c:pt>
                <c:pt idx="323">
                  <c:v>42229</c:v>
                </c:pt>
                <c:pt idx="324">
                  <c:v>42229</c:v>
                </c:pt>
                <c:pt idx="325">
                  <c:v>42229</c:v>
                </c:pt>
                <c:pt idx="326">
                  <c:v>42229</c:v>
                </c:pt>
                <c:pt idx="327">
                  <c:v>42229</c:v>
                </c:pt>
                <c:pt idx="328">
                  <c:v>42229</c:v>
                </c:pt>
                <c:pt idx="329">
                  <c:v>42229</c:v>
                </c:pt>
                <c:pt idx="330">
                  <c:v>42229</c:v>
                </c:pt>
                <c:pt idx="331">
                  <c:v>42229</c:v>
                </c:pt>
                <c:pt idx="332">
                  <c:v>42229</c:v>
                </c:pt>
                <c:pt idx="333">
                  <c:v>42229</c:v>
                </c:pt>
                <c:pt idx="334">
                  <c:v>42229</c:v>
                </c:pt>
                <c:pt idx="335">
                  <c:v>42229</c:v>
                </c:pt>
                <c:pt idx="336">
                  <c:v>42229</c:v>
                </c:pt>
                <c:pt idx="337">
                  <c:v>42229</c:v>
                </c:pt>
                <c:pt idx="338">
                  <c:v>42229</c:v>
                </c:pt>
                <c:pt idx="339">
                  <c:v>42229</c:v>
                </c:pt>
                <c:pt idx="340">
                  <c:v>42229</c:v>
                </c:pt>
                <c:pt idx="341">
                  <c:v>42229</c:v>
                </c:pt>
                <c:pt idx="342">
                  <c:v>42229</c:v>
                </c:pt>
                <c:pt idx="343">
                  <c:v>42229</c:v>
                </c:pt>
                <c:pt idx="344">
                  <c:v>42229</c:v>
                </c:pt>
                <c:pt idx="345">
                  <c:v>42229</c:v>
                </c:pt>
                <c:pt idx="346">
                  <c:v>42229</c:v>
                </c:pt>
                <c:pt idx="347">
                  <c:v>42229</c:v>
                </c:pt>
                <c:pt idx="348">
                  <c:v>42229</c:v>
                </c:pt>
                <c:pt idx="349">
                  <c:v>42229</c:v>
                </c:pt>
                <c:pt idx="350">
                  <c:v>42229</c:v>
                </c:pt>
                <c:pt idx="351">
                  <c:v>42229</c:v>
                </c:pt>
                <c:pt idx="352">
                  <c:v>42229</c:v>
                </c:pt>
                <c:pt idx="353">
                  <c:v>42229</c:v>
                </c:pt>
                <c:pt idx="354">
                  <c:v>42229</c:v>
                </c:pt>
                <c:pt idx="355">
                  <c:v>42229</c:v>
                </c:pt>
                <c:pt idx="356">
                  <c:v>42229</c:v>
                </c:pt>
                <c:pt idx="357">
                  <c:v>42229</c:v>
                </c:pt>
                <c:pt idx="358">
                  <c:v>42229</c:v>
                </c:pt>
                <c:pt idx="359">
                  <c:v>42229</c:v>
                </c:pt>
                <c:pt idx="360">
                  <c:v>42229</c:v>
                </c:pt>
                <c:pt idx="361">
                  <c:v>42229</c:v>
                </c:pt>
                <c:pt idx="362">
                  <c:v>42229</c:v>
                </c:pt>
                <c:pt idx="363">
                  <c:v>42229</c:v>
                </c:pt>
                <c:pt idx="364">
                  <c:v>42229</c:v>
                </c:pt>
              </c:numCache>
            </c:numRef>
          </c:cat>
          <c:val>
            <c:numRef>
              <c:f>BH_Mois!$C$2:$C$361</c:f>
              <c:numCache>
                <c:formatCode>General</c:formatCode>
                <c:ptCount val="360"/>
                <c:pt idx="0">
                  <c:v>22.800333333333334</c:v>
                </c:pt>
                <c:pt idx="1">
                  <c:v>22.800333333333334</c:v>
                </c:pt>
                <c:pt idx="2">
                  <c:v>22.800333333333334</c:v>
                </c:pt>
                <c:pt idx="3">
                  <c:v>22.800333333333334</c:v>
                </c:pt>
                <c:pt idx="4">
                  <c:v>22.800333333333334</c:v>
                </c:pt>
                <c:pt idx="5">
                  <c:v>22.800333333333334</c:v>
                </c:pt>
                <c:pt idx="6">
                  <c:v>22.800333333333334</c:v>
                </c:pt>
                <c:pt idx="7">
                  <c:v>22.800333333333334</c:v>
                </c:pt>
                <c:pt idx="8">
                  <c:v>22.800333333333334</c:v>
                </c:pt>
                <c:pt idx="9">
                  <c:v>22.800333333333334</c:v>
                </c:pt>
                <c:pt idx="10">
                  <c:v>22.800333333333334</c:v>
                </c:pt>
                <c:pt idx="11">
                  <c:v>22.800333333333334</c:v>
                </c:pt>
                <c:pt idx="12">
                  <c:v>22.800333333333334</c:v>
                </c:pt>
                <c:pt idx="13">
                  <c:v>22.800333333333334</c:v>
                </c:pt>
                <c:pt idx="14">
                  <c:v>22.800333333333334</c:v>
                </c:pt>
                <c:pt idx="15">
                  <c:v>22.800333333333334</c:v>
                </c:pt>
                <c:pt idx="16">
                  <c:v>22.800333333333334</c:v>
                </c:pt>
                <c:pt idx="17">
                  <c:v>22.800333333333334</c:v>
                </c:pt>
                <c:pt idx="18">
                  <c:v>22.800333333333334</c:v>
                </c:pt>
                <c:pt idx="19">
                  <c:v>22.800333333333334</c:v>
                </c:pt>
                <c:pt idx="20">
                  <c:v>22.800333333333334</c:v>
                </c:pt>
                <c:pt idx="21">
                  <c:v>22.800333333333334</c:v>
                </c:pt>
                <c:pt idx="22">
                  <c:v>22.800333333333334</c:v>
                </c:pt>
                <c:pt idx="23">
                  <c:v>22.800333333333334</c:v>
                </c:pt>
                <c:pt idx="24">
                  <c:v>22.800333333333334</c:v>
                </c:pt>
                <c:pt idx="25">
                  <c:v>22.800333333333334</c:v>
                </c:pt>
                <c:pt idx="26">
                  <c:v>22.800333333333334</c:v>
                </c:pt>
                <c:pt idx="27">
                  <c:v>22.800333333333334</c:v>
                </c:pt>
                <c:pt idx="28">
                  <c:v>22.800333333333334</c:v>
                </c:pt>
                <c:pt idx="29">
                  <c:v>22.800333333333334</c:v>
                </c:pt>
                <c:pt idx="30">
                  <c:v>22.800333333333334</c:v>
                </c:pt>
                <c:pt idx="31">
                  <c:v>22.800333333333334</c:v>
                </c:pt>
                <c:pt idx="32">
                  <c:v>22.800333333333334</c:v>
                </c:pt>
                <c:pt idx="33">
                  <c:v>22.800333333333334</c:v>
                </c:pt>
                <c:pt idx="34">
                  <c:v>22.800333333333334</c:v>
                </c:pt>
                <c:pt idx="35">
                  <c:v>22.800333333333334</c:v>
                </c:pt>
                <c:pt idx="36">
                  <c:v>22.800333333333334</c:v>
                </c:pt>
                <c:pt idx="37">
                  <c:v>22.800333333333334</c:v>
                </c:pt>
                <c:pt idx="38">
                  <c:v>22.800333333333334</c:v>
                </c:pt>
                <c:pt idx="39">
                  <c:v>22.800333333333334</c:v>
                </c:pt>
                <c:pt idx="40">
                  <c:v>22.800333333333334</c:v>
                </c:pt>
                <c:pt idx="41">
                  <c:v>22.800333333333334</c:v>
                </c:pt>
                <c:pt idx="42">
                  <c:v>22.800333333333334</c:v>
                </c:pt>
                <c:pt idx="43">
                  <c:v>22.800333333333334</c:v>
                </c:pt>
                <c:pt idx="44">
                  <c:v>22.800333333333334</c:v>
                </c:pt>
                <c:pt idx="45">
                  <c:v>22.800333333333334</c:v>
                </c:pt>
                <c:pt idx="46">
                  <c:v>22.800333333333334</c:v>
                </c:pt>
                <c:pt idx="47">
                  <c:v>22.800333333333334</c:v>
                </c:pt>
                <c:pt idx="48">
                  <c:v>22.800333333333334</c:v>
                </c:pt>
                <c:pt idx="49">
                  <c:v>22.800333333333334</c:v>
                </c:pt>
                <c:pt idx="50">
                  <c:v>22.800333333333334</c:v>
                </c:pt>
                <c:pt idx="51">
                  <c:v>22.800333333333334</c:v>
                </c:pt>
                <c:pt idx="52">
                  <c:v>22.800333333333334</c:v>
                </c:pt>
                <c:pt idx="53">
                  <c:v>22.800333333333334</c:v>
                </c:pt>
                <c:pt idx="54">
                  <c:v>22.800333333333334</c:v>
                </c:pt>
                <c:pt idx="55">
                  <c:v>22.800333333333334</c:v>
                </c:pt>
                <c:pt idx="56">
                  <c:v>22.800333333333334</c:v>
                </c:pt>
                <c:pt idx="57">
                  <c:v>22.800333333333334</c:v>
                </c:pt>
                <c:pt idx="58">
                  <c:v>22.800333333333334</c:v>
                </c:pt>
                <c:pt idx="59">
                  <c:v>22.800333333333334</c:v>
                </c:pt>
                <c:pt idx="60">
                  <c:v>22.800333333333334</c:v>
                </c:pt>
                <c:pt idx="61">
                  <c:v>22.800333333333334</c:v>
                </c:pt>
                <c:pt idx="62">
                  <c:v>22.800333333333334</c:v>
                </c:pt>
                <c:pt idx="63">
                  <c:v>22.800333333333334</c:v>
                </c:pt>
                <c:pt idx="64">
                  <c:v>22.800333333333334</c:v>
                </c:pt>
                <c:pt idx="65">
                  <c:v>22.800333333333334</c:v>
                </c:pt>
                <c:pt idx="66">
                  <c:v>22.800333333333334</c:v>
                </c:pt>
                <c:pt idx="67">
                  <c:v>22.800333333333334</c:v>
                </c:pt>
                <c:pt idx="68">
                  <c:v>22.800333333333334</c:v>
                </c:pt>
                <c:pt idx="69">
                  <c:v>22.800333333333334</c:v>
                </c:pt>
                <c:pt idx="70">
                  <c:v>22.800333333333334</c:v>
                </c:pt>
                <c:pt idx="71">
                  <c:v>22.800333333333334</c:v>
                </c:pt>
                <c:pt idx="72">
                  <c:v>22.800333333333334</c:v>
                </c:pt>
                <c:pt idx="73">
                  <c:v>22.800333333333334</c:v>
                </c:pt>
                <c:pt idx="74">
                  <c:v>22.800333333333334</c:v>
                </c:pt>
                <c:pt idx="75">
                  <c:v>22.800333333333334</c:v>
                </c:pt>
                <c:pt idx="76">
                  <c:v>22.800333333333334</c:v>
                </c:pt>
                <c:pt idx="77">
                  <c:v>22.800333333333334</c:v>
                </c:pt>
                <c:pt idx="78">
                  <c:v>22.800333333333334</c:v>
                </c:pt>
                <c:pt idx="79">
                  <c:v>22.800333333333334</c:v>
                </c:pt>
                <c:pt idx="80">
                  <c:v>22.800333333333334</c:v>
                </c:pt>
                <c:pt idx="81">
                  <c:v>22.800333333333334</c:v>
                </c:pt>
                <c:pt idx="82">
                  <c:v>22.800333333333334</c:v>
                </c:pt>
                <c:pt idx="83">
                  <c:v>22.800333333333334</c:v>
                </c:pt>
                <c:pt idx="84">
                  <c:v>22.800333333333334</c:v>
                </c:pt>
                <c:pt idx="85">
                  <c:v>22.800333333333334</c:v>
                </c:pt>
                <c:pt idx="86">
                  <c:v>22.800333333333334</c:v>
                </c:pt>
                <c:pt idx="87">
                  <c:v>22.800333333333334</c:v>
                </c:pt>
                <c:pt idx="88">
                  <c:v>22.800333333333334</c:v>
                </c:pt>
                <c:pt idx="89">
                  <c:v>22.800333333333334</c:v>
                </c:pt>
                <c:pt idx="90">
                  <c:v>22.800333333333334</c:v>
                </c:pt>
                <c:pt idx="91">
                  <c:v>22.800333333333334</c:v>
                </c:pt>
                <c:pt idx="92">
                  <c:v>22.800333333333334</c:v>
                </c:pt>
                <c:pt idx="93">
                  <c:v>22.800333333333334</c:v>
                </c:pt>
                <c:pt idx="94">
                  <c:v>22.800333333333334</c:v>
                </c:pt>
                <c:pt idx="95">
                  <c:v>22.800333333333334</c:v>
                </c:pt>
                <c:pt idx="96">
                  <c:v>22.800333333333334</c:v>
                </c:pt>
                <c:pt idx="97">
                  <c:v>22.800333333333334</c:v>
                </c:pt>
                <c:pt idx="98">
                  <c:v>22.800333333333334</c:v>
                </c:pt>
                <c:pt idx="99">
                  <c:v>22.800333333333334</c:v>
                </c:pt>
                <c:pt idx="100">
                  <c:v>22.800333333333334</c:v>
                </c:pt>
                <c:pt idx="101">
                  <c:v>22.800333333333334</c:v>
                </c:pt>
                <c:pt idx="102">
                  <c:v>22.800333333333334</c:v>
                </c:pt>
                <c:pt idx="103">
                  <c:v>22.800333333333334</c:v>
                </c:pt>
                <c:pt idx="104">
                  <c:v>22.800333333333334</c:v>
                </c:pt>
                <c:pt idx="105">
                  <c:v>22.800333333333334</c:v>
                </c:pt>
                <c:pt idx="106">
                  <c:v>22.800333333333334</c:v>
                </c:pt>
                <c:pt idx="107">
                  <c:v>22.800333333333334</c:v>
                </c:pt>
                <c:pt idx="108">
                  <c:v>22.800333333333334</c:v>
                </c:pt>
                <c:pt idx="109">
                  <c:v>22.800333333333334</c:v>
                </c:pt>
                <c:pt idx="110">
                  <c:v>22.800333333333334</c:v>
                </c:pt>
                <c:pt idx="111">
                  <c:v>22.800333333333334</c:v>
                </c:pt>
                <c:pt idx="112">
                  <c:v>22.800333333333334</c:v>
                </c:pt>
                <c:pt idx="113">
                  <c:v>22.800333333333334</c:v>
                </c:pt>
                <c:pt idx="114">
                  <c:v>22.800333333333334</c:v>
                </c:pt>
                <c:pt idx="115">
                  <c:v>22.800333333333334</c:v>
                </c:pt>
                <c:pt idx="116">
                  <c:v>22.800333333333334</c:v>
                </c:pt>
                <c:pt idx="117">
                  <c:v>22.800333333333334</c:v>
                </c:pt>
                <c:pt idx="118">
                  <c:v>22.800333333333334</c:v>
                </c:pt>
                <c:pt idx="119">
                  <c:v>22.800333333333334</c:v>
                </c:pt>
                <c:pt idx="120">
                  <c:v>22.800333333333334</c:v>
                </c:pt>
                <c:pt idx="121">
                  <c:v>22.800333333333334</c:v>
                </c:pt>
                <c:pt idx="122">
                  <c:v>22.800333333333334</c:v>
                </c:pt>
                <c:pt idx="123">
                  <c:v>22.800333333333334</c:v>
                </c:pt>
                <c:pt idx="124">
                  <c:v>22.800333333333334</c:v>
                </c:pt>
                <c:pt idx="125">
                  <c:v>22.800333333333334</c:v>
                </c:pt>
                <c:pt idx="126">
                  <c:v>22.800333333333334</c:v>
                </c:pt>
                <c:pt idx="127">
                  <c:v>22.800333333333334</c:v>
                </c:pt>
                <c:pt idx="128">
                  <c:v>22.800333333333334</c:v>
                </c:pt>
                <c:pt idx="129">
                  <c:v>22.800333333333334</c:v>
                </c:pt>
                <c:pt idx="130">
                  <c:v>22.800333333333334</c:v>
                </c:pt>
                <c:pt idx="131">
                  <c:v>22.800333333333334</c:v>
                </c:pt>
                <c:pt idx="132">
                  <c:v>22.800333333333334</c:v>
                </c:pt>
                <c:pt idx="133">
                  <c:v>22.800333333333334</c:v>
                </c:pt>
                <c:pt idx="134">
                  <c:v>22.800333333333334</c:v>
                </c:pt>
                <c:pt idx="135">
                  <c:v>22.800333333333334</c:v>
                </c:pt>
                <c:pt idx="136">
                  <c:v>22.800333333333334</c:v>
                </c:pt>
                <c:pt idx="137">
                  <c:v>22.800333333333334</c:v>
                </c:pt>
                <c:pt idx="138">
                  <c:v>22.800333333333334</c:v>
                </c:pt>
                <c:pt idx="139">
                  <c:v>22.800333333333334</c:v>
                </c:pt>
                <c:pt idx="140">
                  <c:v>22.800333333333334</c:v>
                </c:pt>
                <c:pt idx="141">
                  <c:v>22.800333333333334</c:v>
                </c:pt>
                <c:pt idx="142">
                  <c:v>22.800333333333334</c:v>
                </c:pt>
                <c:pt idx="143">
                  <c:v>22.800333333333334</c:v>
                </c:pt>
                <c:pt idx="144">
                  <c:v>22.800333333333334</c:v>
                </c:pt>
                <c:pt idx="145">
                  <c:v>22.800333333333334</c:v>
                </c:pt>
                <c:pt idx="146">
                  <c:v>22.800333333333334</c:v>
                </c:pt>
                <c:pt idx="147">
                  <c:v>22.800333333333334</c:v>
                </c:pt>
                <c:pt idx="148">
                  <c:v>22.800333333333334</c:v>
                </c:pt>
                <c:pt idx="149">
                  <c:v>22.800333333333334</c:v>
                </c:pt>
                <c:pt idx="150">
                  <c:v>22.800333333333334</c:v>
                </c:pt>
                <c:pt idx="151">
                  <c:v>22.800333333333334</c:v>
                </c:pt>
                <c:pt idx="152">
                  <c:v>22.800333333333334</c:v>
                </c:pt>
                <c:pt idx="153">
                  <c:v>22.800333333333334</c:v>
                </c:pt>
                <c:pt idx="154">
                  <c:v>22.800333333333334</c:v>
                </c:pt>
                <c:pt idx="155">
                  <c:v>22.800333333333334</c:v>
                </c:pt>
                <c:pt idx="156">
                  <c:v>22.800333333333334</c:v>
                </c:pt>
                <c:pt idx="157">
                  <c:v>22.800333333333334</c:v>
                </c:pt>
                <c:pt idx="158">
                  <c:v>22.800333333333334</c:v>
                </c:pt>
                <c:pt idx="159">
                  <c:v>22.800333333333334</c:v>
                </c:pt>
                <c:pt idx="160">
                  <c:v>22.800333333333334</c:v>
                </c:pt>
                <c:pt idx="161">
                  <c:v>22.800333333333334</c:v>
                </c:pt>
                <c:pt idx="162">
                  <c:v>22.800333333333334</c:v>
                </c:pt>
                <c:pt idx="163">
                  <c:v>22.800333333333334</c:v>
                </c:pt>
                <c:pt idx="164">
                  <c:v>22.800333333333334</c:v>
                </c:pt>
                <c:pt idx="165">
                  <c:v>22.800333333333334</c:v>
                </c:pt>
                <c:pt idx="166">
                  <c:v>22.800333333333334</c:v>
                </c:pt>
                <c:pt idx="167">
                  <c:v>22.800333333333334</c:v>
                </c:pt>
                <c:pt idx="168">
                  <c:v>22.800333333333334</c:v>
                </c:pt>
                <c:pt idx="169">
                  <c:v>22.800333333333334</c:v>
                </c:pt>
                <c:pt idx="170">
                  <c:v>22.800333333333334</c:v>
                </c:pt>
                <c:pt idx="171">
                  <c:v>22.800333333333334</c:v>
                </c:pt>
                <c:pt idx="172">
                  <c:v>22.800333333333334</c:v>
                </c:pt>
                <c:pt idx="173">
                  <c:v>22.800333333333334</c:v>
                </c:pt>
                <c:pt idx="174">
                  <c:v>22.800333333333334</c:v>
                </c:pt>
                <c:pt idx="175">
                  <c:v>22.800333333333334</c:v>
                </c:pt>
                <c:pt idx="176">
                  <c:v>22.800333333333334</c:v>
                </c:pt>
                <c:pt idx="177">
                  <c:v>22.800333333333334</c:v>
                </c:pt>
                <c:pt idx="178">
                  <c:v>22.800333333333334</c:v>
                </c:pt>
                <c:pt idx="179">
                  <c:v>22.800333333333334</c:v>
                </c:pt>
                <c:pt idx="180">
                  <c:v>22.800333333333334</c:v>
                </c:pt>
                <c:pt idx="181">
                  <c:v>22.800333333333334</c:v>
                </c:pt>
                <c:pt idx="182">
                  <c:v>22.800333333333334</c:v>
                </c:pt>
                <c:pt idx="183">
                  <c:v>22.800333333333334</c:v>
                </c:pt>
                <c:pt idx="184">
                  <c:v>22.800333333333334</c:v>
                </c:pt>
                <c:pt idx="185">
                  <c:v>22.800333333333334</c:v>
                </c:pt>
                <c:pt idx="186">
                  <c:v>22.800333333333334</c:v>
                </c:pt>
                <c:pt idx="187">
                  <c:v>22.800333333333334</c:v>
                </c:pt>
                <c:pt idx="188">
                  <c:v>22.800333333333334</c:v>
                </c:pt>
                <c:pt idx="189">
                  <c:v>22.800333333333334</c:v>
                </c:pt>
                <c:pt idx="190">
                  <c:v>22.800333333333334</c:v>
                </c:pt>
                <c:pt idx="191">
                  <c:v>22.800333333333334</c:v>
                </c:pt>
                <c:pt idx="192">
                  <c:v>22.800333333333334</c:v>
                </c:pt>
                <c:pt idx="193">
                  <c:v>22.800333333333334</c:v>
                </c:pt>
                <c:pt idx="194">
                  <c:v>22.800333333333334</c:v>
                </c:pt>
                <c:pt idx="195">
                  <c:v>22.800333333333334</c:v>
                </c:pt>
                <c:pt idx="196">
                  <c:v>22.800333333333334</c:v>
                </c:pt>
                <c:pt idx="197">
                  <c:v>22.800333333333334</c:v>
                </c:pt>
                <c:pt idx="198">
                  <c:v>22.800333333333334</c:v>
                </c:pt>
                <c:pt idx="199">
                  <c:v>22.800333333333334</c:v>
                </c:pt>
                <c:pt idx="200">
                  <c:v>22.800333333333334</c:v>
                </c:pt>
                <c:pt idx="201">
                  <c:v>22.800333333333334</c:v>
                </c:pt>
                <c:pt idx="202">
                  <c:v>22.800333333333334</c:v>
                </c:pt>
                <c:pt idx="203">
                  <c:v>22.800333333333334</c:v>
                </c:pt>
                <c:pt idx="204">
                  <c:v>22.800333333333334</c:v>
                </c:pt>
                <c:pt idx="205">
                  <c:v>22.800333333333334</c:v>
                </c:pt>
                <c:pt idx="206">
                  <c:v>22.800333333333334</c:v>
                </c:pt>
                <c:pt idx="207">
                  <c:v>22.800333333333334</c:v>
                </c:pt>
                <c:pt idx="208">
                  <c:v>22.800333333333334</c:v>
                </c:pt>
                <c:pt idx="209">
                  <c:v>22.800333333333334</c:v>
                </c:pt>
                <c:pt idx="210">
                  <c:v>22.800333333333334</c:v>
                </c:pt>
                <c:pt idx="211">
                  <c:v>22.800333333333334</c:v>
                </c:pt>
                <c:pt idx="212">
                  <c:v>22.800333333333334</c:v>
                </c:pt>
                <c:pt idx="213">
                  <c:v>22.800333333333334</c:v>
                </c:pt>
                <c:pt idx="214">
                  <c:v>22.800333333333334</c:v>
                </c:pt>
                <c:pt idx="215">
                  <c:v>22.800333333333334</c:v>
                </c:pt>
                <c:pt idx="216">
                  <c:v>22.800333333333334</c:v>
                </c:pt>
                <c:pt idx="217">
                  <c:v>22.800333333333334</c:v>
                </c:pt>
                <c:pt idx="218">
                  <c:v>22.800333333333334</c:v>
                </c:pt>
                <c:pt idx="219">
                  <c:v>22.800333333333334</c:v>
                </c:pt>
                <c:pt idx="220">
                  <c:v>22.800333333333334</c:v>
                </c:pt>
                <c:pt idx="221">
                  <c:v>22.800333333333334</c:v>
                </c:pt>
                <c:pt idx="222">
                  <c:v>22.800333333333334</c:v>
                </c:pt>
                <c:pt idx="223">
                  <c:v>22.800333333333334</c:v>
                </c:pt>
                <c:pt idx="224">
                  <c:v>22.800333333333334</c:v>
                </c:pt>
                <c:pt idx="225">
                  <c:v>22.800333333333334</c:v>
                </c:pt>
                <c:pt idx="226">
                  <c:v>22.800333333333334</c:v>
                </c:pt>
                <c:pt idx="227">
                  <c:v>22.800333333333334</c:v>
                </c:pt>
                <c:pt idx="228">
                  <c:v>22.800333333333334</c:v>
                </c:pt>
                <c:pt idx="229">
                  <c:v>22.800333333333334</c:v>
                </c:pt>
                <c:pt idx="230">
                  <c:v>22.800333333333334</c:v>
                </c:pt>
                <c:pt idx="231">
                  <c:v>22.800333333333334</c:v>
                </c:pt>
                <c:pt idx="232">
                  <c:v>22.800333333333334</c:v>
                </c:pt>
                <c:pt idx="233">
                  <c:v>22.800333333333334</c:v>
                </c:pt>
                <c:pt idx="234">
                  <c:v>22.800333333333334</c:v>
                </c:pt>
                <c:pt idx="235">
                  <c:v>22.800333333333334</c:v>
                </c:pt>
                <c:pt idx="236">
                  <c:v>22.800333333333334</c:v>
                </c:pt>
                <c:pt idx="237">
                  <c:v>22.800333333333334</c:v>
                </c:pt>
                <c:pt idx="238">
                  <c:v>22.800333333333334</c:v>
                </c:pt>
                <c:pt idx="239">
                  <c:v>22.800333333333334</c:v>
                </c:pt>
                <c:pt idx="240">
                  <c:v>22.800333333333334</c:v>
                </c:pt>
                <c:pt idx="241">
                  <c:v>22.800333333333334</c:v>
                </c:pt>
                <c:pt idx="242">
                  <c:v>22.800333333333334</c:v>
                </c:pt>
                <c:pt idx="243">
                  <c:v>22.800333333333334</c:v>
                </c:pt>
                <c:pt idx="244">
                  <c:v>22.800333333333334</c:v>
                </c:pt>
                <c:pt idx="245">
                  <c:v>22.800333333333334</c:v>
                </c:pt>
                <c:pt idx="246">
                  <c:v>22.800333333333334</c:v>
                </c:pt>
                <c:pt idx="247">
                  <c:v>22.800333333333334</c:v>
                </c:pt>
                <c:pt idx="248">
                  <c:v>22.800333333333334</c:v>
                </c:pt>
                <c:pt idx="249">
                  <c:v>22.800333333333334</c:v>
                </c:pt>
                <c:pt idx="250">
                  <c:v>22.800333333333334</c:v>
                </c:pt>
                <c:pt idx="251">
                  <c:v>22.800333333333334</c:v>
                </c:pt>
                <c:pt idx="252">
                  <c:v>22.800333333333334</c:v>
                </c:pt>
                <c:pt idx="253">
                  <c:v>22.800333333333334</c:v>
                </c:pt>
                <c:pt idx="254">
                  <c:v>22.800333333333334</c:v>
                </c:pt>
                <c:pt idx="255">
                  <c:v>22.800333333333334</c:v>
                </c:pt>
                <c:pt idx="256">
                  <c:v>22.800333333333334</c:v>
                </c:pt>
                <c:pt idx="257">
                  <c:v>22.800333333333334</c:v>
                </c:pt>
                <c:pt idx="258">
                  <c:v>22.800333333333334</c:v>
                </c:pt>
                <c:pt idx="259">
                  <c:v>22.800333333333334</c:v>
                </c:pt>
                <c:pt idx="260">
                  <c:v>22.800333333333334</c:v>
                </c:pt>
                <c:pt idx="261">
                  <c:v>22.800333333333334</c:v>
                </c:pt>
                <c:pt idx="262">
                  <c:v>22.800333333333334</c:v>
                </c:pt>
                <c:pt idx="263">
                  <c:v>22.800333333333334</c:v>
                </c:pt>
                <c:pt idx="264">
                  <c:v>22.800333333333334</c:v>
                </c:pt>
                <c:pt idx="265">
                  <c:v>22.800333333333334</c:v>
                </c:pt>
                <c:pt idx="266">
                  <c:v>22.800333333333334</c:v>
                </c:pt>
                <c:pt idx="267">
                  <c:v>22.800333333333334</c:v>
                </c:pt>
                <c:pt idx="268">
                  <c:v>22.800333333333334</c:v>
                </c:pt>
                <c:pt idx="269">
                  <c:v>22.800333333333334</c:v>
                </c:pt>
                <c:pt idx="270">
                  <c:v>22.800333333333334</c:v>
                </c:pt>
                <c:pt idx="271">
                  <c:v>22.800333333333334</c:v>
                </c:pt>
                <c:pt idx="272">
                  <c:v>22.800333333333334</c:v>
                </c:pt>
                <c:pt idx="273">
                  <c:v>22.800333333333334</c:v>
                </c:pt>
                <c:pt idx="274">
                  <c:v>22.800333333333334</c:v>
                </c:pt>
                <c:pt idx="275">
                  <c:v>22.800333333333334</c:v>
                </c:pt>
                <c:pt idx="276">
                  <c:v>22.800333333333334</c:v>
                </c:pt>
                <c:pt idx="277">
                  <c:v>22.800333333333334</c:v>
                </c:pt>
                <c:pt idx="278">
                  <c:v>22.800333333333334</c:v>
                </c:pt>
                <c:pt idx="279">
                  <c:v>22.800333333333334</c:v>
                </c:pt>
                <c:pt idx="280">
                  <c:v>22.800333333333334</c:v>
                </c:pt>
                <c:pt idx="281">
                  <c:v>22.800333333333334</c:v>
                </c:pt>
                <c:pt idx="282">
                  <c:v>22.800333333333334</c:v>
                </c:pt>
                <c:pt idx="283">
                  <c:v>22.800333333333334</c:v>
                </c:pt>
                <c:pt idx="284">
                  <c:v>22.800333333333334</c:v>
                </c:pt>
                <c:pt idx="285">
                  <c:v>22.800333333333334</c:v>
                </c:pt>
                <c:pt idx="286">
                  <c:v>22.800333333333334</c:v>
                </c:pt>
                <c:pt idx="287">
                  <c:v>22.800333333333334</c:v>
                </c:pt>
                <c:pt idx="288">
                  <c:v>22.800333333333334</c:v>
                </c:pt>
                <c:pt idx="289">
                  <c:v>22.800333333333334</c:v>
                </c:pt>
                <c:pt idx="290">
                  <c:v>22.800333333333334</c:v>
                </c:pt>
                <c:pt idx="291">
                  <c:v>22.800333333333334</c:v>
                </c:pt>
                <c:pt idx="292">
                  <c:v>22.800333333333334</c:v>
                </c:pt>
                <c:pt idx="293">
                  <c:v>22.800333333333334</c:v>
                </c:pt>
                <c:pt idx="294">
                  <c:v>22.800333333333334</c:v>
                </c:pt>
                <c:pt idx="295">
                  <c:v>22.800333333333334</c:v>
                </c:pt>
                <c:pt idx="296">
                  <c:v>22.800333333333334</c:v>
                </c:pt>
                <c:pt idx="297">
                  <c:v>22.800333333333334</c:v>
                </c:pt>
                <c:pt idx="298">
                  <c:v>22.800333333333334</c:v>
                </c:pt>
                <c:pt idx="299">
                  <c:v>22.800333333333334</c:v>
                </c:pt>
                <c:pt idx="300">
                  <c:v>22.800333333333334</c:v>
                </c:pt>
                <c:pt idx="301">
                  <c:v>22.800333333333334</c:v>
                </c:pt>
                <c:pt idx="302">
                  <c:v>22.800333333333334</c:v>
                </c:pt>
                <c:pt idx="303">
                  <c:v>22.800333333333334</c:v>
                </c:pt>
                <c:pt idx="304">
                  <c:v>22.800333333333334</c:v>
                </c:pt>
                <c:pt idx="305">
                  <c:v>22.800333333333334</c:v>
                </c:pt>
                <c:pt idx="306">
                  <c:v>22.800333333333334</c:v>
                </c:pt>
                <c:pt idx="307">
                  <c:v>22.800333333333334</c:v>
                </c:pt>
                <c:pt idx="308">
                  <c:v>22.800333333333334</c:v>
                </c:pt>
                <c:pt idx="309">
                  <c:v>22.800333333333334</c:v>
                </c:pt>
                <c:pt idx="310">
                  <c:v>22.800333333333334</c:v>
                </c:pt>
                <c:pt idx="311">
                  <c:v>22.800333333333334</c:v>
                </c:pt>
                <c:pt idx="312">
                  <c:v>22.800333333333334</c:v>
                </c:pt>
                <c:pt idx="313">
                  <c:v>22.800333333333334</c:v>
                </c:pt>
                <c:pt idx="314">
                  <c:v>22.800333333333334</c:v>
                </c:pt>
                <c:pt idx="315">
                  <c:v>22.800333333333334</c:v>
                </c:pt>
                <c:pt idx="316">
                  <c:v>22.800333333333334</c:v>
                </c:pt>
                <c:pt idx="317">
                  <c:v>22.800333333333334</c:v>
                </c:pt>
                <c:pt idx="318">
                  <c:v>22.800333333333334</c:v>
                </c:pt>
                <c:pt idx="319">
                  <c:v>22.800333333333334</c:v>
                </c:pt>
                <c:pt idx="320">
                  <c:v>22.800333333333334</c:v>
                </c:pt>
                <c:pt idx="321">
                  <c:v>22.800333333333334</c:v>
                </c:pt>
                <c:pt idx="322">
                  <c:v>22.800333333333334</c:v>
                </c:pt>
                <c:pt idx="323">
                  <c:v>22.800333333333334</c:v>
                </c:pt>
                <c:pt idx="324">
                  <c:v>22.800333333333334</c:v>
                </c:pt>
                <c:pt idx="325">
                  <c:v>22.800333333333334</c:v>
                </c:pt>
                <c:pt idx="326">
                  <c:v>22.800333333333334</c:v>
                </c:pt>
                <c:pt idx="327">
                  <c:v>22.800333333333334</c:v>
                </c:pt>
                <c:pt idx="328">
                  <c:v>22.800333333333334</c:v>
                </c:pt>
                <c:pt idx="329">
                  <c:v>22.800333333333334</c:v>
                </c:pt>
                <c:pt idx="330">
                  <c:v>22.800333333333334</c:v>
                </c:pt>
                <c:pt idx="331">
                  <c:v>22.800333333333334</c:v>
                </c:pt>
                <c:pt idx="332">
                  <c:v>22.800333333333334</c:v>
                </c:pt>
                <c:pt idx="333">
                  <c:v>22.800333333333334</c:v>
                </c:pt>
                <c:pt idx="334">
                  <c:v>22.800333333333334</c:v>
                </c:pt>
                <c:pt idx="335">
                  <c:v>22.800333333333334</c:v>
                </c:pt>
                <c:pt idx="336">
                  <c:v>22.800333333333334</c:v>
                </c:pt>
                <c:pt idx="337">
                  <c:v>22.800333333333334</c:v>
                </c:pt>
                <c:pt idx="338">
                  <c:v>22.800333333333334</c:v>
                </c:pt>
                <c:pt idx="339">
                  <c:v>22.800333333333334</c:v>
                </c:pt>
                <c:pt idx="340">
                  <c:v>22.800333333333334</c:v>
                </c:pt>
                <c:pt idx="341">
                  <c:v>22.800333333333334</c:v>
                </c:pt>
                <c:pt idx="342">
                  <c:v>22.800333333333334</c:v>
                </c:pt>
                <c:pt idx="343">
                  <c:v>22.800333333333334</c:v>
                </c:pt>
                <c:pt idx="344">
                  <c:v>22.800333333333334</c:v>
                </c:pt>
                <c:pt idx="345">
                  <c:v>22.800333333333334</c:v>
                </c:pt>
                <c:pt idx="346">
                  <c:v>22.800333333333334</c:v>
                </c:pt>
                <c:pt idx="347">
                  <c:v>22.800333333333334</c:v>
                </c:pt>
                <c:pt idx="348">
                  <c:v>22.800333333333334</c:v>
                </c:pt>
                <c:pt idx="349">
                  <c:v>22.800333333333334</c:v>
                </c:pt>
                <c:pt idx="350">
                  <c:v>22.800333333333334</c:v>
                </c:pt>
                <c:pt idx="351">
                  <c:v>22.800333333333334</c:v>
                </c:pt>
                <c:pt idx="352">
                  <c:v>22.800333333333334</c:v>
                </c:pt>
                <c:pt idx="353">
                  <c:v>22.800333333333334</c:v>
                </c:pt>
                <c:pt idx="354">
                  <c:v>22.800333333333334</c:v>
                </c:pt>
                <c:pt idx="355">
                  <c:v>22.800333333333334</c:v>
                </c:pt>
                <c:pt idx="356">
                  <c:v>22.800333333333334</c:v>
                </c:pt>
                <c:pt idx="357">
                  <c:v>22.800333333333334</c:v>
                </c:pt>
                <c:pt idx="358">
                  <c:v>22.800333333333334</c:v>
                </c:pt>
                <c:pt idx="359">
                  <c:v>22.800333333333334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19-47EF-A541-1D57A6FFF2D5}"/>
            </c:ext>
          </c:extLst>
        </c:ser>
        <c:ser>
          <c:idx val="4"/>
          <c:order val="4"/>
          <c:tx>
            <c:strRef>
              <c:f>Bilan_hydrique!$L$1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BH_Mois!$A$2:$A$366</c:f>
              <c:numCache>
                <c:formatCode>m/d/yyyy</c:formatCode>
                <c:ptCount val="365"/>
                <c:pt idx="0">
                  <c:v>42215</c:v>
                </c:pt>
                <c:pt idx="1">
                  <c:v>42216</c:v>
                </c:pt>
                <c:pt idx="2">
                  <c:v>42217</c:v>
                </c:pt>
                <c:pt idx="3">
                  <c:v>42218</c:v>
                </c:pt>
                <c:pt idx="4">
                  <c:v>42219</c:v>
                </c:pt>
                <c:pt idx="5">
                  <c:v>42220</c:v>
                </c:pt>
                <c:pt idx="6">
                  <c:v>42221</c:v>
                </c:pt>
                <c:pt idx="7">
                  <c:v>42222</c:v>
                </c:pt>
                <c:pt idx="8">
                  <c:v>42223</c:v>
                </c:pt>
                <c:pt idx="9">
                  <c:v>42224</c:v>
                </c:pt>
                <c:pt idx="10">
                  <c:v>42225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42229</c:v>
                </c:pt>
                <c:pt idx="16">
                  <c:v>42229</c:v>
                </c:pt>
                <c:pt idx="17">
                  <c:v>42229</c:v>
                </c:pt>
                <c:pt idx="18">
                  <c:v>42229</c:v>
                </c:pt>
                <c:pt idx="19">
                  <c:v>42229</c:v>
                </c:pt>
                <c:pt idx="20">
                  <c:v>42229</c:v>
                </c:pt>
                <c:pt idx="21">
                  <c:v>42229</c:v>
                </c:pt>
                <c:pt idx="22">
                  <c:v>42229</c:v>
                </c:pt>
                <c:pt idx="23">
                  <c:v>42229</c:v>
                </c:pt>
                <c:pt idx="24">
                  <c:v>42229</c:v>
                </c:pt>
                <c:pt idx="25">
                  <c:v>42229</c:v>
                </c:pt>
                <c:pt idx="26">
                  <c:v>42229</c:v>
                </c:pt>
                <c:pt idx="27">
                  <c:v>42229</c:v>
                </c:pt>
                <c:pt idx="28">
                  <c:v>42229</c:v>
                </c:pt>
                <c:pt idx="29">
                  <c:v>42229</c:v>
                </c:pt>
                <c:pt idx="30">
                  <c:v>42229</c:v>
                </c:pt>
                <c:pt idx="31">
                  <c:v>42229</c:v>
                </c:pt>
                <c:pt idx="32">
                  <c:v>42229</c:v>
                </c:pt>
                <c:pt idx="33">
                  <c:v>42229</c:v>
                </c:pt>
                <c:pt idx="34">
                  <c:v>42229</c:v>
                </c:pt>
                <c:pt idx="35">
                  <c:v>42229</c:v>
                </c:pt>
                <c:pt idx="36">
                  <c:v>42229</c:v>
                </c:pt>
                <c:pt idx="37">
                  <c:v>42229</c:v>
                </c:pt>
                <c:pt idx="38">
                  <c:v>42229</c:v>
                </c:pt>
                <c:pt idx="39">
                  <c:v>42229</c:v>
                </c:pt>
                <c:pt idx="40">
                  <c:v>42229</c:v>
                </c:pt>
                <c:pt idx="41">
                  <c:v>42229</c:v>
                </c:pt>
                <c:pt idx="42">
                  <c:v>42229</c:v>
                </c:pt>
                <c:pt idx="43">
                  <c:v>42229</c:v>
                </c:pt>
                <c:pt idx="44">
                  <c:v>42229</c:v>
                </c:pt>
                <c:pt idx="45">
                  <c:v>42229</c:v>
                </c:pt>
                <c:pt idx="46">
                  <c:v>42229</c:v>
                </c:pt>
                <c:pt idx="47">
                  <c:v>42229</c:v>
                </c:pt>
                <c:pt idx="48">
                  <c:v>42229</c:v>
                </c:pt>
                <c:pt idx="49">
                  <c:v>42229</c:v>
                </c:pt>
                <c:pt idx="50">
                  <c:v>42229</c:v>
                </c:pt>
                <c:pt idx="51">
                  <c:v>42229</c:v>
                </c:pt>
                <c:pt idx="52">
                  <c:v>42229</c:v>
                </c:pt>
                <c:pt idx="53">
                  <c:v>42229</c:v>
                </c:pt>
                <c:pt idx="54">
                  <c:v>42229</c:v>
                </c:pt>
                <c:pt idx="55">
                  <c:v>42229</c:v>
                </c:pt>
                <c:pt idx="56">
                  <c:v>42229</c:v>
                </c:pt>
                <c:pt idx="57">
                  <c:v>42229</c:v>
                </c:pt>
                <c:pt idx="58">
                  <c:v>42229</c:v>
                </c:pt>
                <c:pt idx="59">
                  <c:v>42229</c:v>
                </c:pt>
                <c:pt idx="60">
                  <c:v>42229</c:v>
                </c:pt>
                <c:pt idx="61">
                  <c:v>42229</c:v>
                </c:pt>
                <c:pt idx="62">
                  <c:v>42229</c:v>
                </c:pt>
                <c:pt idx="63">
                  <c:v>42229</c:v>
                </c:pt>
                <c:pt idx="64">
                  <c:v>42229</c:v>
                </c:pt>
                <c:pt idx="65">
                  <c:v>42229</c:v>
                </c:pt>
                <c:pt idx="66">
                  <c:v>42229</c:v>
                </c:pt>
                <c:pt idx="67">
                  <c:v>42229</c:v>
                </c:pt>
                <c:pt idx="68">
                  <c:v>42229</c:v>
                </c:pt>
                <c:pt idx="69">
                  <c:v>42229</c:v>
                </c:pt>
                <c:pt idx="70">
                  <c:v>42229</c:v>
                </c:pt>
                <c:pt idx="71">
                  <c:v>42229</c:v>
                </c:pt>
                <c:pt idx="72">
                  <c:v>42229</c:v>
                </c:pt>
                <c:pt idx="73">
                  <c:v>42229</c:v>
                </c:pt>
                <c:pt idx="74">
                  <c:v>42229</c:v>
                </c:pt>
                <c:pt idx="75">
                  <c:v>42229</c:v>
                </c:pt>
                <c:pt idx="76">
                  <c:v>42229</c:v>
                </c:pt>
                <c:pt idx="77">
                  <c:v>42229</c:v>
                </c:pt>
                <c:pt idx="78">
                  <c:v>42229</c:v>
                </c:pt>
                <c:pt idx="79">
                  <c:v>42229</c:v>
                </c:pt>
                <c:pt idx="80">
                  <c:v>42229</c:v>
                </c:pt>
                <c:pt idx="81">
                  <c:v>42229</c:v>
                </c:pt>
                <c:pt idx="82">
                  <c:v>42229</c:v>
                </c:pt>
                <c:pt idx="83">
                  <c:v>42229</c:v>
                </c:pt>
                <c:pt idx="84">
                  <c:v>42229</c:v>
                </c:pt>
                <c:pt idx="85">
                  <c:v>42229</c:v>
                </c:pt>
                <c:pt idx="86">
                  <c:v>42229</c:v>
                </c:pt>
                <c:pt idx="87">
                  <c:v>42229</c:v>
                </c:pt>
                <c:pt idx="88">
                  <c:v>42229</c:v>
                </c:pt>
                <c:pt idx="89">
                  <c:v>42229</c:v>
                </c:pt>
                <c:pt idx="90">
                  <c:v>42229</c:v>
                </c:pt>
                <c:pt idx="91">
                  <c:v>42229</c:v>
                </c:pt>
                <c:pt idx="92">
                  <c:v>42229</c:v>
                </c:pt>
                <c:pt idx="93">
                  <c:v>42229</c:v>
                </c:pt>
                <c:pt idx="94">
                  <c:v>42229</c:v>
                </c:pt>
                <c:pt idx="95">
                  <c:v>42229</c:v>
                </c:pt>
                <c:pt idx="96">
                  <c:v>42229</c:v>
                </c:pt>
                <c:pt idx="97">
                  <c:v>42229</c:v>
                </c:pt>
                <c:pt idx="98">
                  <c:v>42229</c:v>
                </c:pt>
                <c:pt idx="99">
                  <c:v>42229</c:v>
                </c:pt>
                <c:pt idx="100">
                  <c:v>42229</c:v>
                </c:pt>
                <c:pt idx="101">
                  <c:v>42229</c:v>
                </c:pt>
                <c:pt idx="102">
                  <c:v>42229</c:v>
                </c:pt>
                <c:pt idx="103">
                  <c:v>42229</c:v>
                </c:pt>
                <c:pt idx="104">
                  <c:v>42229</c:v>
                </c:pt>
                <c:pt idx="105">
                  <c:v>42229</c:v>
                </c:pt>
                <c:pt idx="106">
                  <c:v>42229</c:v>
                </c:pt>
                <c:pt idx="107">
                  <c:v>42229</c:v>
                </c:pt>
                <c:pt idx="108">
                  <c:v>42229</c:v>
                </c:pt>
                <c:pt idx="109">
                  <c:v>42229</c:v>
                </c:pt>
                <c:pt idx="110">
                  <c:v>42229</c:v>
                </c:pt>
                <c:pt idx="111">
                  <c:v>42229</c:v>
                </c:pt>
                <c:pt idx="112">
                  <c:v>42229</c:v>
                </c:pt>
                <c:pt idx="113">
                  <c:v>42229</c:v>
                </c:pt>
                <c:pt idx="114">
                  <c:v>42229</c:v>
                </c:pt>
                <c:pt idx="115">
                  <c:v>42229</c:v>
                </c:pt>
                <c:pt idx="116">
                  <c:v>42229</c:v>
                </c:pt>
                <c:pt idx="117">
                  <c:v>42229</c:v>
                </c:pt>
                <c:pt idx="118">
                  <c:v>42229</c:v>
                </c:pt>
                <c:pt idx="119">
                  <c:v>42229</c:v>
                </c:pt>
                <c:pt idx="120">
                  <c:v>42229</c:v>
                </c:pt>
                <c:pt idx="121">
                  <c:v>42229</c:v>
                </c:pt>
                <c:pt idx="122">
                  <c:v>42229</c:v>
                </c:pt>
                <c:pt idx="123">
                  <c:v>42229</c:v>
                </c:pt>
                <c:pt idx="124">
                  <c:v>42229</c:v>
                </c:pt>
                <c:pt idx="125">
                  <c:v>42229</c:v>
                </c:pt>
                <c:pt idx="126">
                  <c:v>42229</c:v>
                </c:pt>
                <c:pt idx="127">
                  <c:v>42229</c:v>
                </c:pt>
                <c:pt idx="128">
                  <c:v>42229</c:v>
                </c:pt>
                <c:pt idx="129">
                  <c:v>42229</c:v>
                </c:pt>
                <c:pt idx="130">
                  <c:v>42229</c:v>
                </c:pt>
                <c:pt idx="131">
                  <c:v>42229</c:v>
                </c:pt>
                <c:pt idx="132">
                  <c:v>42229</c:v>
                </c:pt>
                <c:pt idx="133">
                  <c:v>42229</c:v>
                </c:pt>
                <c:pt idx="134">
                  <c:v>42229</c:v>
                </c:pt>
                <c:pt idx="135">
                  <c:v>42229</c:v>
                </c:pt>
                <c:pt idx="136">
                  <c:v>42229</c:v>
                </c:pt>
                <c:pt idx="137">
                  <c:v>42229</c:v>
                </c:pt>
                <c:pt idx="138">
                  <c:v>42229</c:v>
                </c:pt>
                <c:pt idx="139">
                  <c:v>42229</c:v>
                </c:pt>
                <c:pt idx="140">
                  <c:v>42229</c:v>
                </c:pt>
                <c:pt idx="141">
                  <c:v>42229</c:v>
                </c:pt>
                <c:pt idx="142">
                  <c:v>42229</c:v>
                </c:pt>
                <c:pt idx="143">
                  <c:v>42229</c:v>
                </c:pt>
                <c:pt idx="144">
                  <c:v>42229</c:v>
                </c:pt>
                <c:pt idx="145">
                  <c:v>42229</c:v>
                </c:pt>
                <c:pt idx="146">
                  <c:v>42229</c:v>
                </c:pt>
                <c:pt idx="147">
                  <c:v>42229</c:v>
                </c:pt>
                <c:pt idx="148">
                  <c:v>42229</c:v>
                </c:pt>
                <c:pt idx="149">
                  <c:v>42229</c:v>
                </c:pt>
                <c:pt idx="150">
                  <c:v>42229</c:v>
                </c:pt>
                <c:pt idx="151">
                  <c:v>42229</c:v>
                </c:pt>
                <c:pt idx="152">
                  <c:v>42229</c:v>
                </c:pt>
                <c:pt idx="153">
                  <c:v>42229</c:v>
                </c:pt>
                <c:pt idx="154">
                  <c:v>42229</c:v>
                </c:pt>
                <c:pt idx="155">
                  <c:v>42229</c:v>
                </c:pt>
                <c:pt idx="156">
                  <c:v>42229</c:v>
                </c:pt>
                <c:pt idx="157">
                  <c:v>42229</c:v>
                </c:pt>
                <c:pt idx="158">
                  <c:v>42229</c:v>
                </c:pt>
                <c:pt idx="159">
                  <c:v>42229</c:v>
                </c:pt>
                <c:pt idx="160">
                  <c:v>42229</c:v>
                </c:pt>
                <c:pt idx="161">
                  <c:v>42229</c:v>
                </c:pt>
                <c:pt idx="162">
                  <c:v>42229</c:v>
                </c:pt>
                <c:pt idx="163">
                  <c:v>42229</c:v>
                </c:pt>
                <c:pt idx="164">
                  <c:v>42229</c:v>
                </c:pt>
                <c:pt idx="165">
                  <c:v>42229</c:v>
                </c:pt>
                <c:pt idx="166">
                  <c:v>42229</c:v>
                </c:pt>
                <c:pt idx="167">
                  <c:v>42229</c:v>
                </c:pt>
                <c:pt idx="168">
                  <c:v>42229</c:v>
                </c:pt>
                <c:pt idx="169">
                  <c:v>42229</c:v>
                </c:pt>
                <c:pt idx="170">
                  <c:v>42229</c:v>
                </c:pt>
                <c:pt idx="171">
                  <c:v>42229</c:v>
                </c:pt>
                <c:pt idx="172">
                  <c:v>42229</c:v>
                </c:pt>
                <c:pt idx="173">
                  <c:v>42229</c:v>
                </c:pt>
                <c:pt idx="174">
                  <c:v>42229</c:v>
                </c:pt>
                <c:pt idx="175">
                  <c:v>42229</c:v>
                </c:pt>
                <c:pt idx="176">
                  <c:v>42229</c:v>
                </c:pt>
                <c:pt idx="177">
                  <c:v>42229</c:v>
                </c:pt>
                <c:pt idx="178">
                  <c:v>42229</c:v>
                </c:pt>
                <c:pt idx="179">
                  <c:v>42229</c:v>
                </c:pt>
                <c:pt idx="180">
                  <c:v>42229</c:v>
                </c:pt>
                <c:pt idx="181">
                  <c:v>42229</c:v>
                </c:pt>
                <c:pt idx="182">
                  <c:v>42229</c:v>
                </c:pt>
                <c:pt idx="183">
                  <c:v>42229</c:v>
                </c:pt>
                <c:pt idx="184">
                  <c:v>42229</c:v>
                </c:pt>
                <c:pt idx="185">
                  <c:v>42229</c:v>
                </c:pt>
                <c:pt idx="186">
                  <c:v>42229</c:v>
                </c:pt>
                <c:pt idx="187">
                  <c:v>42229</c:v>
                </c:pt>
                <c:pt idx="188">
                  <c:v>42229</c:v>
                </c:pt>
                <c:pt idx="189">
                  <c:v>42229</c:v>
                </c:pt>
                <c:pt idx="190">
                  <c:v>42229</c:v>
                </c:pt>
                <c:pt idx="191">
                  <c:v>42229</c:v>
                </c:pt>
                <c:pt idx="192">
                  <c:v>42229</c:v>
                </c:pt>
                <c:pt idx="193">
                  <c:v>42229</c:v>
                </c:pt>
                <c:pt idx="194">
                  <c:v>42229</c:v>
                </c:pt>
                <c:pt idx="195">
                  <c:v>42229</c:v>
                </c:pt>
                <c:pt idx="196">
                  <c:v>42229</c:v>
                </c:pt>
                <c:pt idx="197">
                  <c:v>42229</c:v>
                </c:pt>
                <c:pt idx="198">
                  <c:v>42229</c:v>
                </c:pt>
                <c:pt idx="199">
                  <c:v>42229</c:v>
                </c:pt>
                <c:pt idx="200">
                  <c:v>42229</c:v>
                </c:pt>
                <c:pt idx="201">
                  <c:v>42229</c:v>
                </c:pt>
                <c:pt idx="202">
                  <c:v>42229</c:v>
                </c:pt>
                <c:pt idx="203">
                  <c:v>42229</c:v>
                </c:pt>
                <c:pt idx="204">
                  <c:v>42229</c:v>
                </c:pt>
                <c:pt idx="205">
                  <c:v>42229</c:v>
                </c:pt>
                <c:pt idx="206">
                  <c:v>42229</c:v>
                </c:pt>
                <c:pt idx="207">
                  <c:v>42229</c:v>
                </c:pt>
                <c:pt idx="208">
                  <c:v>42229</c:v>
                </c:pt>
                <c:pt idx="209">
                  <c:v>42229</c:v>
                </c:pt>
                <c:pt idx="210">
                  <c:v>42229</c:v>
                </c:pt>
                <c:pt idx="211">
                  <c:v>42229</c:v>
                </c:pt>
                <c:pt idx="212">
                  <c:v>42229</c:v>
                </c:pt>
                <c:pt idx="213">
                  <c:v>42229</c:v>
                </c:pt>
                <c:pt idx="214">
                  <c:v>42229</c:v>
                </c:pt>
                <c:pt idx="215">
                  <c:v>42229</c:v>
                </c:pt>
                <c:pt idx="216">
                  <c:v>42229</c:v>
                </c:pt>
                <c:pt idx="217">
                  <c:v>42229</c:v>
                </c:pt>
                <c:pt idx="218">
                  <c:v>42229</c:v>
                </c:pt>
                <c:pt idx="219">
                  <c:v>42229</c:v>
                </c:pt>
                <c:pt idx="220">
                  <c:v>42229</c:v>
                </c:pt>
                <c:pt idx="221">
                  <c:v>42229</c:v>
                </c:pt>
                <c:pt idx="222">
                  <c:v>42229</c:v>
                </c:pt>
                <c:pt idx="223">
                  <c:v>42229</c:v>
                </c:pt>
                <c:pt idx="224">
                  <c:v>42229</c:v>
                </c:pt>
                <c:pt idx="225">
                  <c:v>42229</c:v>
                </c:pt>
                <c:pt idx="226">
                  <c:v>42229</c:v>
                </c:pt>
                <c:pt idx="227">
                  <c:v>42229</c:v>
                </c:pt>
                <c:pt idx="228">
                  <c:v>42229</c:v>
                </c:pt>
                <c:pt idx="229">
                  <c:v>42229</c:v>
                </c:pt>
                <c:pt idx="230">
                  <c:v>42229</c:v>
                </c:pt>
                <c:pt idx="231">
                  <c:v>42229</c:v>
                </c:pt>
                <c:pt idx="232">
                  <c:v>42229</c:v>
                </c:pt>
                <c:pt idx="233">
                  <c:v>42229</c:v>
                </c:pt>
                <c:pt idx="234">
                  <c:v>42229</c:v>
                </c:pt>
                <c:pt idx="235">
                  <c:v>42229</c:v>
                </c:pt>
                <c:pt idx="236">
                  <c:v>42229</c:v>
                </c:pt>
                <c:pt idx="237">
                  <c:v>42229</c:v>
                </c:pt>
                <c:pt idx="238">
                  <c:v>42229</c:v>
                </c:pt>
                <c:pt idx="239">
                  <c:v>42229</c:v>
                </c:pt>
                <c:pt idx="240">
                  <c:v>42229</c:v>
                </c:pt>
                <c:pt idx="241">
                  <c:v>42229</c:v>
                </c:pt>
                <c:pt idx="242">
                  <c:v>42229</c:v>
                </c:pt>
                <c:pt idx="243">
                  <c:v>42229</c:v>
                </c:pt>
                <c:pt idx="244">
                  <c:v>42229</c:v>
                </c:pt>
                <c:pt idx="245">
                  <c:v>42229</c:v>
                </c:pt>
                <c:pt idx="246">
                  <c:v>42229</c:v>
                </c:pt>
                <c:pt idx="247">
                  <c:v>42229</c:v>
                </c:pt>
                <c:pt idx="248">
                  <c:v>42229</c:v>
                </c:pt>
                <c:pt idx="249">
                  <c:v>42229</c:v>
                </c:pt>
                <c:pt idx="250">
                  <c:v>42229</c:v>
                </c:pt>
                <c:pt idx="251">
                  <c:v>42229</c:v>
                </c:pt>
                <c:pt idx="252">
                  <c:v>42229</c:v>
                </c:pt>
                <c:pt idx="253">
                  <c:v>42229</c:v>
                </c:pt>
                <c:pt idx="254">
                  <c:v>42229</c:v>
                </c:pt>
                <c:pt idx="255">
                  <c:v>42229</c:v>
                </c:pt>
                <c:pt idx="256">
                  <c:v>42229</c:v>
                </c:pt>
                <c:pt idx="257">
                  <c:v>42229</c:v>
                </c:pt>
                <c:pt idx="258">
                  <c:v>42229</c:v>
                </c:pt>
                <c:pt idx="259">
                  <c:v>42229</c:v>
                </c:pt>
                <c:pt idx="260">
                  <c:v>42229</c:v>
                </c:pt>
                <c:pt idx="261">
                  <c:v>42229</c:v>
                </c:pt>
                <c:pt idx="262">
                  <c:v>42229</c:v>
                </c:pt>
                <c:pt idx="263">
                  <c:v>42229</c:v>
                </c:pt>
                <c:pt idx="264">
                  <c:v>42229</c:v>
                </c:pt>
                <c:pt idx="265">
                  <c:v>42229</c:v>
                </c:pt>
                <c:pt idx="266">
                  <c:v>42229</c:v>
                </c:pt>
                <c:pt idx="267">
                  <c:v>42229</c:v>
                </c:pt>
                <c:pt idx="268">
                  <c:v>42229</c:v>
                </c:pt>
                <c:pt idx="269">
                  <c:v>42229</c:v>
                </c:pt>
                <c:pt idx="270">
                  <c:v>42229</c:v>
                </c:pt>
                <c:pt idx="271">
                  <c:v>42229</c:v>
                </c:pt>
                <c:pt idx="272">
                  <c:v>42229</c:v>
                </c:pt>
                <c:pt idx="273">
                  <c:v>42229</c:v>
                </c:pt>
                <c:pt idx="274">
                  <c:v>42229</c:v>
                </c:pt>
                <c:pt idx="275">
                  <c:v>42229</c:v>
                </c:pt>
                <c:pt idx="276">
                  <c:v>42229</c:v>
                </c:pt>
                <c:pt idx="277">
                  <c:v>42229</c:v>
                </c:pt>
                <c:pt idx="278">
                  <c:v>42229</c:v>
                </c:pt>
                <c:pt idx="279">
                  <c:v>42229</c:v>
                </c:pt>
                <c:pt idx="280">
                  <c:v>42229</c:v>
                </c:pt>
                <c:pt idx="281">
                  <c:v>42229</c:v>
                </c:pt>
                <c:pt idx="282">
                  <c:v>42229</c:v>
                </c:pt>
                <c:pt idx="283">
                  <c:v>42229</c:v>
                </c:pt>
                <c:pt idx="284">
                  <c:v>42229</c:v>
                </c:pt>
                <c:pt idx="285">
                  <c:v>42229</c:v>
                </c:pt>
                <c:pt idx="286">
                  <c:v>42229</c:v>
                </c:pt>
                <c:pt idx="287">
                  <c:v>42229</c:v>
                </c:pt>
                <c:pt idx="288">
                  <c:v>42229</c:v>
                </c:pt>
                <c:pt idx="289">
                  <c:v>42229</c:v>
                </c:pt>
                <c:pt idx="290">
                  <c:v>42229</c:v>
                </c:pt>
                <c:pt idx="291">
                  <c:v>42229</c:v>
                </c:pt>
                <c:pt idx="292">
                  <c:v>42229</c:v>
                </c:pt>
                <c:pt idx="293">
                  <c:v>42229</c:v>
                </c:pt>
                <c:pt idx="294">
                  <c:v>42229</c:v>
                </c:pt>
                <c:pt idx="295">
                  <c:v>42229</c:v>
                </c:pt>
                <c:pt idx="296">
                  <c:v>42229</c:v>
                </c:pt>
                <c:pt idx="297">
                  <c:v>42229</c:v>
                </c:pt>
                <c:pt idx="298">
                  <c:v>42229</c:v>
                </c:pt>
                <c:pt idx="299">
                  <c:v>42229</c:v>
                </c:pt>
                <c:pt idx="300">
                  <c:v>42229</c:v>
                </c:pt>
                <c:pt idx="301">
                  <c:v>42229</c:v>
                </c:pt>
                <c:pt idx="302">
                  <c:v>42229</c:v>
                </c:pt>
                <c:pt idx="303">
                  <c:v>42229</c:v>
                </c:pt>
                <c:pt idx="304">
                  <c:v>42229</c:v>
                </c:pt>
                <c:pt idx="305">
                  <c:v>42229</c:v>
                </c:pt>
                <c:pt idx="306">
                  <c:v>42229</c:v>
                </c:pt>
                <c:pt idx="307">
                  <c:v>42229</c:v>
                </c:pt>
                <c:pt idx="308">
                  <c:v>42229</c:v>
                </c:pt>
                <c:pt idx="309">
                  <c:v>42229</c:v>
                </c:pt>
                <c:pt idx="310">
                  <c:v>42229</c:v>
                </c:pt>
                <c:pt idx="311">
                  <c:v>42229</c:v>
                </c:pt>
                <c:pt idx="312">
                  <c:v>42229</c:v>
                </c:pt>
                <c:pt idx="313">
                  <c:v>42229</c:v>
                </c:pt>
                <c:pt idx="314">
                  <c:v>42229</c:v>
                </c:pt>
                <c:pt idx="315">
                  <c:v>42229</c:v>
                </c:pt>
                <c:pt idx="316">
                  <c:v>42229</c:v>
                </c:pt>
                <c:pt idx="317">
                  <c:v>42229</c:v>
                </c:pt>
                <c:pt idx="318">
                  <c:v>42229</c:v>
                </c:pt>
                <c:pt idx="319">
                  <c:v>42229</c:v>
                </c:pt>
                <c:pt idx="320">
                  <c:v>42229</c:v>
                </c:pt>
                <c:pt idx="321">
                  <c:v>42229</c:v>
                </c:pt>
                <c:pt idx="322">
                  <c:v>42229</c:v>
                </c:pt>
                <c:pt idx="323">
                  <c:v>42229</c:v>
                </c:pt>
                <c:pt idx="324">
                  <c:v>42229</c:v>
                </c:pt>
                <c:pt idx="325">
                  <c:v>42229</c:v>
                </c:pt>
                <c:pt idx="326">
                  <c:v>42229</c:v>
                </c:pt>
                <c:pt idx="327">
                  <c:v>42229</c:v>
                </c:pt>
                <c:pt idx="328">
                  <c:v>42229</c:v>
                </c:pt>
                <c:pt idx="329">
                  <c:v>42229</c:v>
                </c:pt>
                <c:pt idx="330">
                  <c:v>42229</c:v>
                </c:pt>
                <c:pt idx="331">
                  <c:v>42229</c:v>
                </c:pt>
                <c:pt idx="332">
                  <c:v>42229</c:v>
                </c:pt>
                <c:pt idx="333">
                  <c:v>42229</c:v>
                </c:pt>
                <c:pt idx="334">
                  <c:v>42229</c:v>
                </c:pt>
                <c:pt idx="335">
                  <c:v>42229</c:v>
                </c:pt>
                <c:pt idx="336">
                  <c:v>42229</c:v>
                </c:pt>
                <c:pt idx="337">
                  <c:v>42229</c:v>
                </c:pt>
                <c:pt idx="338">
                  <c:v>42229</c:v>
                </c:pt>
                <c:pt idx="339">
                  <c:v>42229</c:v>
                </c:pt>
                <c:pt idx="340">
                  <c:v>42229</c:v>
                </c:pt>
                <c:pt idx="341">
                  <c:v>42229</c:v>
                </c:pt>
                <c:pt idx="342">
                  <c:v>42229</c:v>
                </c:pt>
                <c:pt idx="343">
                  <c:v>42229</c:v>
                </c:pt>
                <c:pt idx="344">
                  <c:v>42229</c:v>
                </c:pt>
                <c:pt idx="345">
                  <c:v>42229</c:v>
                </c:pt>
                <c:pt idx="346">
                  <c:v>42229</c:v>
                </c:pt>
                <c:pt idx="347">
                  <c:v>42229</c:v>
                </c:pt>
                <c:pt idx="348">
                  <c:v>42229</c:v>
                </c:pt>
                <c:pt idx="349">
                  <c:v>42229</c:v>
                </c:pt>
                <c:pt idx="350">
                  <c:v>42229</c:v>
                </c:pt>
                <c:pt idx="351">
                  <c:v>42229</c:v>
                </c:pt>
                <c:pt idx="352">
                  <c:v>42229</c:v>
                </c:pt>
                <c:pt idx="353">
                  <c:v>42229</c:v>
                </c:pt>
                <c:pt idx="354">
                  <c:v>42229</c:v>
                </c:pt>
                <c:pt idx="355">
                  <c:v>42229</c:v>
                </c:pt>
                <c:pt idx="356">
                  <c:v>42229</c:v>
                </c:pt>
                <c:pt idx="357">
                  <c:v>42229</c:v>
                </c:pt>
                <c:pt idx="358">
                  <c:v>42229</c:v>
                </c:pt>
                <c:pt idx="359">
                  <c:v>42229</c:v>
                </c:pt>
                <c:pt idx="360">
                  <c:v>42229</c:v>
                </c:pt>
                <c:pt idx="361">
                  <c:v>42229</c:v>
                </c:pt>
                <c:pt idx="362">
                  <c:v>42229</c:v>
                </c:pt>
                <c:pt idx="363">
                  <c:v>42229</c:v>
                </c:pt>
                <c:pt idx="364">
                  <c:v>42229</c:v>
                </c:pt>
              </c:numCache>
            </c:numRef>
          </c:cat>
          <c:val>
            <c:numRef>
              <c:f>BH_Mois!$E$2:$E$366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15.200222222222223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19-47EF-A541-1D57A6FFF2D5}"/>
            </c:ext>
          </c:extLst>
        </c:ser>
        <c:ser>
          <c:idx val="5"/>
          <c:order val="5"/>
          <c:tx>
            <c:strRef>
              <c:f>Bilan_hydrique!$Q$1</c:f>
              <c:strCache>
                <c:ptCount val="1"/>
                <c:pt idx="0">
                  <c:v>irrigation_PV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BH_Mois!$A$2:$A$366</c:f>
              <c:numCache>
                <c:formatCode>m/d/yyyy</c:formatCode>
                <c:ptCount val="365"/>
                <c:pt idx="0">
                  <c:v>42215</c:v>
                </c:pt>
                <c:pt idx="1">
                  <c:v>42216</c:v>
                </c:pt>
                <c:pt idx="2">
                  <c:v>42217</c:v>
                </c:pt>
                <c:pt idx="3">
                  <c:v>42218</c:v>
                </c:pt>
                <c:pt idx="4">
                  <c:v>42219</c:v>
                </c:pt>
                <c:pt idx="5">
                  <c:v>42220</c:v>
                </c:pt>
                <c:pt idx="6">
                  <c:v>42221</c:v>
                </c:pt>
                <c:pt idx="7">
                  <c:v>42222</c:v>
                </c:pt>
                <c:pt idx="8">
                  <c:v>42223</c:v>
                </c:pt>
                <c:pt idx="9">
                  <c:v>42224</c:v>
                </c:pt>
                <c:pt idx="10">
                  <c:v>42225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42229</c:v>
                </c:pt>
                <c:pt idx="16">
                  <c:v>42229</c:v>
                </c:pt>
                <c:pt idx="17">
                  <c:v>42229</c:v>
                </c:pt>
                <c:pt idx="18">
                  <c:v>42229</c:v>
                </c:pt>
                <c:pt idx="19">
                  <c:v>42229</c:v>
                </c:pt>
                <c:pt idx="20">
                  <c:v>42229</c:v>
                </c:pt>
                <c:pt idx="21">
                  <c:v>42229</c:v>
                </c:pt>
                <c:pt idx="22">
                  <c:v>42229</c:v>
                </c:pt>
                <c:pt idx="23">
                  <c:v>42229</c:v>
                </c:pt>
                <c:pt idx="24">
                  <c:v>42229</c:v>
                </c:pt>
                <c:pt idx="25">
                  <c:v>42229</c:v>
                </c:pt>
                <c:pt idx="26">
                  <c:v>42229</c:v>
                </c:pt>
                <c:pt idx="27">
                  <c:v>42229</c:v>
                </c:pt>
                <c:pt idx="28">
                  <c:v>42229</c:v>
                </c:pt>
                <c:pt idx="29">
                  <c:v>42229</c:v>
                </c:pt>
                <c:pt idx="30">
                  <c:v>42229</c:v>
                </c:pt>
                <c:pt idx="31">
                  <c:v>42229</c:v>
                </c:pt>
                <c:pt idx="32">
                  <c:v>42229</c:v>
                </c:pt>
                <c:pt idx="33">
                  <c:v>42229</c:v>
                </c:pt>
                <c:pt idx="34">
                  <c:v>42229</c:v>
                </c:pt>
                <c:pt idx="35">
                  <c:v>42229</c:v>
                </c:pt>
                <c:pt idx="36">
                  <c:v>42229</c:v>
                </c:pt>
                <c:pt idx="37">
                  <c:v>42229</c:v>
                </c:pt>
                <c:pt idx="38">
                  <c:v>42229</c:v>
                </c:pt>
                <c:pt idx="39">
                  <c:v>42229</c:v>
                </c:pt>
                <c:pt idx="40">
                  <c:v>42229</c:v>
                </c:pt>
                <c:pt idx="41">
                  <c:v>42229</c:v>
                </c:pt>
                <c:pt idx="42">
                  <c:v>42229</c:v>
                </c:pt>
                <c:pt idx="43">
                  <c:v>42229</c:v>
                </c:pt>
                <c:pt idx="44">
                  <c:v>42229</c:v>
                </c:pt>
                <c:pt idx="45">
                  <c:v>42229</c:v>
                </c:pt>
                <c:pt idx="46">
                  <c:v>42229</c:v>
                </c:pt>
                <c:pt idx="47">
                  <c:v>42229</c:v>
                </c:pt>
                <c:pt idx="48">
                  <c:v>42229</c:v>
                </c:pt>
                <c:pt idx="49">
                  <c:v>42229</c:v>
                </c:pt>
                <c:pt idx="50">
                  <c:v>42229</c:v>
                </c:pt>
                <c:pt idx="51">
                  <c:v>42229</c:v>
                </c:pt>
                <c:pt idx="52">
                  <c:v>42229</c:v>
                </c:pt>
                <c:pt idx="53">
                  <c:v>42229</c:v>
                </c:pt>
                <c:pt idx="54">
                  <c:v>42229</c:v>
                </c:pt>
                <c:pt idx="55">
                  <c:v>42229</c:v>
                </c:pt>
                <c:pt idx="56">
                  <c:v>42229</c:v>
                </c:pt>
                <c:pt idx="57">
                  <c:v>42229</c:v>
                </c:pt>
                <c:pt idx="58">
                  <c:v>42229</c:v>
                </c:pt>
                <c:pt idx="59">
                  <c:v>42229</c:v>
                </c:pt>
                <c:pt idx="60">
                  <c:v>42229</c:v>
                </c:pt>
                <c:pt idx="61">
                  <c:v>42229</c:v>
                </c:pt>
                <c:pt idx="62">
                  <c:v>42229</c:v>
                </c:pt>
                <c:pt idx="63">
                  <c:v>42229</c:v>
                </c:pt>
                <c:pt idx="64">
                  <c:v>42229</c:v>
                </c:pt>
                <c:pt idx="65">
                  <c:v>42229</c:v>
                </c:pt>
                <c:pt idx="66">
                  <c:v>42229</c:v>
                </c:pt>
                <c:pt idx="67">
                  <c:v>42229</c:v>
                </c:pt>
                <c:pt idx="68">
                  <c:v>42229</c:v>
                </c:pt>
                <c:pt idx="69">
                  <c:v>42229</c:v>
                </c:pt>
                <c:pt idx="70">
                  <c:v>42229</c:v>
                </c:pt>
                <c:pt idx="71">
                  <c:v>42229</c:v>
                </c:pt>
                <c:pt idx="72">
                  <c:v>42229</c:v>
                </c:pt>
                <c:pt idx="73">
                  <c:v>42229</c:v>
                </c:pt>
                <c:pt idx="74">
                  <c:v>42229</c:v>
                </c:pt>
                <c:pt idx="75">
                  <c:v>42229</c:v>
                </c:pt>
                <c:pt idx="76">
                  <c:v>42229</c:v>
                </c:pt>
                <c:pt idx="77">
                  <c:v>42229</c:v>
                </c:pt>
                <c:pt idx="78">
                  <c:v>42229</c:v>
                </c:pt>
                <c:pt idx="79">
                  <c:v>42229</c:v>
                </c:pt>
                <c:pt idx="80">
                  <c:v>42229</c:v>
                </c:pt>
                <c:pt idx="81">
                  <c:v>42229</c:v>
                </c:pt>
                <c:pt idx="82">
                  <c:v>42229</c:v>
                </c:pt>
                <c:pt idx="83">
                  <c:v>42229</c:v>
                </c:pt>
                <c:pt idx="84">
                  <c:v>42229</c:v>
                </c:pt>
                <c:pt idx="85">
                  <c:v>42229</c:v>
                </c:pt>
                <c:pt idx="86">
                  <c:v>42229</c:v>
                </c:pt>
                <c:pt idx="87">
                  <c:v>42229</c:v>
                </c:pt>
                <c:pt idx="88">
                  <c:v>42229</c:v>
                </c:pt>
                <c:pt idx="89">
                  <c:v>42229</c:v>
                </c:pt>
                <c:pt idx="90">
                  <c:v>42229</c:v>
                </c:pt>
                <c:pt idx="91">
                  <c:v>42229</c:v>
                </c:pt>
                <c:pt idx="92">
                  <c:v>42229</c:v>
                </c:pt>
                <c:pt idx="93">
                  <c:v>42229</c:v>
                </c:pt>
                <c:pt idx="94">
                  <c:v>42229</c:v>
                </c:pt>
                <c:pt idx="95">
                  <c:v>42229</c:v>
                </c:pt>
                <c:pt idx="96">
                  <c:v>42229</c:v>
                </c:pt>
                <c:pt idx="97">
                  <c:v>42229</c:v>
                </c:pt>
                <c:pt idx="98">
                  <c:v>42229</c:v>
                </c:pt>
                <c:pt idx="99">
                  <c:v>42229</c:v>
                </c:pt>
                <c:pt idx="100">
                  <c:v>42229</c:v>
                </c:pt>
                <c:pt idx="101">
                  <c:v>42229</c:v>
                </c:pt>
                <c:pt idx="102">
                  <c:v>42229</c:v>
                </c:pt>
                <c:pt idx="103">
                  <c:v>42229</c:v>
                </c:pt>
                <c:pt idx="104">
                  <c:v>42229</c:v>
                </c:pt>
                <c:pt idx="105">
                  <c:v>42229</c:v>
                </c:pt>
                <c:pt idx="106">
                  <c:v>42229</c:v>
                </c:pt>
                <c:pt idx="107">
                  <c:v>42229</c:v>
                </c:pt>
                <c:pt idx="108">
                  <c:v>42229</c:v>
                </c:pt>
                <c:pt idx="109">
                  <c:v>42229</c:v>
                </c:pt>
                <c:pt idx="110">
                  <c:v>42229</c:v>
                </c:pt>
                <c:pt idx="111">
                  <c:v>42229</c:v>
                </c:pt>
                <c:pt idx="112">
                  <c:v>42229</c:v>
                </c:pt>
                <c:pt idx="113">
                  <c:v>42229</c:v>
                </c:pt>
                <c:pt idx="114">
                  <c:v>42229</c:v>
                </c:pt>
                <c:pt idx="115">
                  <c:v>42229</c:v>
                </c:pt>
                <c:pt idx="116">
                  <c:v>42229</c:v>
                </c:pt>
                <c:pt idx="117">
                  <c:v>42229</c:v>
                </c:pt>
                <c:pt idx="118">
                  <c:v>42229</c:v>
                </c:pt>
                <c:pt idx="119">
                  <c:v>42229</c:v>
                </c:pt>
                <c:pt idx="120">
                  <c:v>42229</c:v>
                </c:pt>
                <c:pt idx="121">
                  <c:v>42229</c:v>
                </c:pt>
                <c:pt idx="122">
                  <c:v>42229</c:v>
                </c:pt>
                <c:pt idx="123">
                  <c:v>42229</c:v>
                </c:pt>
                <c:pt idx="124">
                  <c:v>42229</c:v>
                </c:pt>
                <c:pt idx="125">
                  <c:v>42229</c:v>
                </c:pt>
                <c:pt idx="126">
                  <c:v>42229</c:v>
                </c:pt>
                <c:pt idx="127">
                  <c:v>42229</c:v>
                </c:pt>
                <c:pt idx="128">
                  <c:v>42229</c:v>
                </c:pt>
                <c:pt idx="129">
                  <c:v>42229</c:v>
                </c:pt>
                <c:pt idx="130">
                  <c:v>42229</c:v>
                </c:pt>
                <c:pt idx="131">
                  <c:v>42229</c:v>
                </c:pt>
                <c:pt idx="132">
                  <c:v>42229</c:v>
                </c:pt>
                <c:pt idx="133">
                  <c:v>42229</c:v>
                </c:pt>
                <c:pt idx="134">
                  <c:v>42229</c:v>
                </c:pt>
                <c:pt idx="135">
                  <c:v>42229</c:v>
                </c:pt>
                <c:pt idx="136">
                  <c:v>42229</c:v>
                </c:pt>
                <c:pt idx="137">
                  <c:v>42229</c:v>
                </c:pt>
                <c:pt idx="138">
                  <c:v>42229</c:v>
                </c:pt>
                <c:pt idx="139">
                  <c:v>42229</c:v>
                </c:pt>
                <c:pt idx="140">
                  <c:v>42229</c:v>
                </c:pt>
                <c:pt idx="141">
                  <c:v>42229</c:v>
                </c:pt>
                <c:pt idx="142">
                  <c:v>42229</c:v>
                </c:pt>
                <c:pt idx="143">
                  <c:v>42229</c:v>
                </c:pt>
                <c:pt idx="144">
                  <c:v>42229</c:v>
                </c:pt>
                <c:pt idx="145">
                  <c:v>42229</c:v>
                </c:pt>
                <c:pt idx="146">
                  <c:v>42229</c:v>
                </c:pt>
                <c:pt idx="147">
                  <c:v>42229</c:v>
                </c:pt>
                <c:pt idx="148">
                  <c:v>42229</c:v>
                </c:pt>
                <c:pt idx="149">
                  <c:v>42229</c:v>
                </c:pt>
                <c:pt idx="150">
                  <c:v>42229</c:v>
                </c:pt>
                <c:pt idx="151">
                  <c:v>42229</c:v>
                </c:pt>
                <c:pt idx="152">
                  <c:v>42229</c:v>
                </c:pt>
                <c:pt idx="153">
                  <c:v>42229</c:v>
                </c:pt>
                <c:pt idx="154">
                  <c:v>42229</c:v>
                </c:pt>
                <c:pt idx="155">
                  <c:v>42229</c:v>
                </c:pt>
                <c:pt idx="156">
                  <c:v>42229</c:v>
                </c:pt>
                <c:pt idx="157">
                  <c:v>42229</c:v>
                </c:pt>
                <c:pt idx="158">
                  <c:v>42229</c:v>
                </c:pt>
                <c:pt idx="159">
                  <c:v>42229</c:v>
                </c:pt>
                <c:pt idx="160">
                  <c:v>42229</c:v>
                </c:pt>
                <c:pt idx="161">
                  <c:v>42229</c:v>
                </c:pt>
                <c:pt idx="162">
                  <c:v>42229</c:v>
                </c:pt>
                <c:pt idx="163">
                  <c:v>42229</c:v>
                </c:pt>
                <c:pt idx="164">
                  <c:v>42229</c:v>
                </c:pt>
                <c:pt idx="165">
                  <c:v>42229</c:v>
                </c:pt>
                <c:pt idx="166">
                  <c:v>42229</c:v>
                </c:pt>
                <c:pt idx="167">
                  <c:v>42229</c:v>
                </c:pt>
                <c:pt idx="168">
                  <c:v>42229</c:v>
                </c:pt>
                <c:pt idx="169">
                  <c:v>42229</c:v>
                </c:pt>
                <c:pt idx="170">
                  <c:v>42229</c:v>
                </c:pt>
                <c:pt idx="171">
                  <c:v>42229</c:v>
                </c:pt>
                <c:pt idx="172">
                  <c:v>42229</c:v>
                </c:pt>
                <c:pt idx="173">
                  <c:v>42229</c:v>
                </c:pt>
                <c:pt idx="174">
                  <c:v>42229</c:v>
                </c:pt>
                <c:pt idx="175">
                  <c:v>42229</c:v>
                </c:pt>
                <c:pt idx="176">
                  <c:v>42229</c:v>
                </c:pt>
                <c:pt idx="177">
                  <c:v>42229</c:v>
                </c:pt>
                <c:pt idx="178">
                  <c:v>42229</c:v>
                </c:pt>
                <c:pt idx="179">
                  <c:v>42229</c:v>
                </c:pt>
                <c:pt idx="180">
                  <c:v>42229</c:v>
                </c:pt>
                <c:pt idx="181">
                  <c:v>42229</c:v>
                </c:pt>
                <c:pt idx="182">
                  <c:v>42229</c:v>
                </c:pt>
                <c:pt idx="183">
                  <c:v>42229</c:v>
                </c:pt>
                <c:pt idx="184">
                  <c:v>42229</c:v>
                </c:pt>
                <c:pt idx="185">
                  <c:v>42229</c:v>
                </c:pt>
                <c:pt idx="186">
                  <c:v>42229</c:v>
                </c:pt>
                <c:pt idx="187">
                  <c:v>42229</c:v>
                </c:pt>
                <c:pt idx="188">
                  <c:v>42229</c:v>
                </c:pt>
                <c:pt idx="189">
                  <c:v>42229</c:v>
                </c:pt>
                <c:pt idx="190">
                  <c:v>42229</c:v>
                </c:pt>
                <c:pt idx="191">
                  <c:v>42229</c:v>
                </c:pt>
                <c:pt idx="192">
                  <c:v>42229</c:v>
                </c:pt>
                <c:pt idx="193">
                  <c:v>42229</c:v>
                </c:pt>
                <c:pt idx="194">
                  <c:v>42229</c:v>
                </c:pt>
                <c:pt idx="195">
                  <c:v>42229</c:v>
                </c:pt>
                <c:pt idx="196">
                  <c:v>42229</c:v>
                </c:pt>
                <c:pt idx="197">
                  <c:v>42229</c:v>
                </c:pt>
                <c:pt idx="198">
                  <c:v>42229</c:v>
                </c:pt>
                <c:pt idx="199">
                  <c:v>42229</c:v>
                </c:pt>
                <c:pt idx="200">
                  <c:v>42229</c:v>
                </c:pt>
                <c:pt idx="201">
                  <c:v>42229</c:v>
                </c:pt>
                <c:pt idx="202">
                  <c:v>42229</c:v>
                </c:pt>
                <c:pt idx="203">
                  <c:v>42229</c:v>
                </c:pt>
                <c:pt idx="204">
                  <c:v>42229</c:v>
                </c:pt>
                <c:pt idx="205">
                  <c:v>42229</c:v>
                </c:pt>
                <c:pt idx="206">
                  <c:v>42229</c:v>
                </c:pt>
                <c:pt idx="207">
                  <c:v>42229</c:v>
                </c:pt>
                <c:pt idx="208">
                  <c:v>42229</c:v>
                </c:pt>
                <c:pt idx="209">
                  <c:v>42229</c:v>
                </c:pt>
                <c:pt idx="210">
                  <c:v>42229</c:v>
                </c:pt>
                <c:pt idx="211">
                  <c:v>42229</c:v>
                </c:pt>
                <c:pt idx="212">
                  <c:v>42229</c:v>
                </c:pt>
                <c:pt idx="213">
                  <c:v>42229</c:v>
                </c:pt>
                <c:pt idx="214">
                  <c:v>42229</c:v>
                </c:pt>
                <c:pt idx="215">
                  <c:v>42229</c:v>
                </c:pt>
                <c:pt idx="216">
                  <c:v>42229</c:v>
                </c:pt>
                <c:pt idx="217">
                  <c:v>42229</c:v>
                </c:pt>
                <c:pt idx="218">
                  <c:v>42229</c:v>
                </c:pt>
                <c:pt idx="219">
                  <c:v>42229</c:v>
                </c:pt>
                <c:pt idx="220">
                  <c:v>42229</c:v>
                </c:pt>
                <c:pt idx="221">
                  <c:v>42229</c:v>
                </c:pt>
                <c:pt idx="222">
                  <c:v>42229</c:v>
                </c:pt>
                <c:pt idx="223">
                  <c:v>42229</c:v>
                </c:pt>
                <c:pt idx="224">
                  <c:v>42229</c:v>
                </c:pt>
                <c:pt idx="225">
                  <c:v>42229</c:v>
                </c:pt>
                <c:pt idx="226">
                  <c:v>42229</c:v>
                </c:pt>
                <c:pt idx="227">
                  <c:v>42229</c:v>
                </c:pt>
                <c:pt idx="228">
                  <c:v>42229</c:v>
                </c:pt>
                <c:pt idx="229">
                  <c:v>42229</c:v>
                </c:pt>
                <c:pt idx="230">
                  <c:v>42229</c:v>
                </c:pt>
                <c:pt idx="231">
                  <c:v>42229</c:v>
                </c:pt>
                <c:pt idx="232">
                  <c:v>42229</c:v>
                </c:pt>
                <c:pt idx="233">
                  <c:v>42229</c:v>
                </c:pt>
                <c:pt idx="234">
                  <c:v>42229</c:v>
                </c:pt>
                <c:pt idx="235">
                  <c:v>42229</c:v>
                </c:pt>
                <c:pt idx="236">
                  <c:v>42229</c:v>
                </c:pt>
                <c:pt idx="237">
                  <c:v>42229</c:v>
                </c:pt>
                <c:pt idx="238">
                  <c:v>42229</c:v>
                </c:pt>
                <c:pt idx="239">
                  <c:v>42229</c:v>
                </c:pt>
                <c:pt idx="240">
                  <c:v>42229</c:v>
                </c:pt>
                <c:pt idx="241">
                  <c:v>42229</c:v>
                </c:pt>
                <c:pt idx="242">
                  <c:v>42229</c:v>
                </c:pt>
                <c:pt idx="243">
                  <c:v>42229</c:v>
                </c:pt>
                <c:pt idx="244">
                  <c:v>42229</c:v>
                </c:pt>
                <c:pt idx="245">
                  <c:v>42229</c:v>
                </c:pt>
                <c:pt idx="246">
                  <c:v>42229</c:v>
                </c:pt>
                <c:pt idx="247">
                  <c:v>42229</c:v>
                </c:pt>
                <c:pt idx="248">
                  <c:v>42229</c:v>
                </c:pt>
                <c:pt idx="249">
                  <c:v>42229</c:v>
                </c:pt>
                <c:pt idx="250">
                  <c:v>42229</c:v>
                </c:pt>
                <c:pt idx="251">
                  <c:v>42229</c:v>
                </c:pt>
                <c:pt idx="252">
                  <c:v>42229</c:v>
                </c:pt>
                <c:pt idx="253">
                  <c:v>42229</c:v>
                </c:pt>
                <c:pt idx="254">
                  <c:v>42229</c:v>
                </c:pt>
                <c:pt idx="255">
                  <c:v>42229</c:v>
                </c:pt>
                <c:pt idx="256">
                  <c:v>42229</c:v>
                </c:pt>
                <c:pt idx="257">
                  <c:v>42229</c:v>
                </c:pt>
                <c:pt idx="258">
                  <c:v>42229</c:v>
                </c:pt>
                <c:pt idx="259">
                  <c:v>42229</c:v>
                </c:pt>
                <c:pt idx="260">
                  <c:v>42229</c:v>
                </c:pt>
                <c:pt idx="261">
                  <c:v>42229</c:v>
                </c:pt>
                <c:pt idx="262">
                  <c:v>42229</c:v>
                </c:pt>
                <c:pt idx="263">
                  <c:v>42229</c:v>
                </c:pt>
                <c:pt idx="264">
                  <c:v>42229</c:v>
                </c:pt>
                <c:pt idx="265">
                  <c:v>42229</c:v>
                </c:pt>
                <c:pt idx="266">
                  <c:v>42229</c:v>
                </c:pt>
                <c:pt idx="267">
                  <c:v>42229</c:v>
                </c:pt>
                <c:pt idx="268">
                  <c:v>42229</c:v>
                </c:pt>
                <c:pt idx="269">
                  <c:v>42229</c:v>
                </c:pt>
                <c:pt idx="270">
                  <c:v>42229</c:v>
                </c:pt>
                <c:pt idx="271">
                  <c:v>42229</c:v>
                </c:pt>
                <c:pt idx="272">
                  <c:v>42229</c:v>
                </c:pt>
                <c:pt idx="273">
                  <c:v>42229</c:v>
                </c:pt>
                <c:pt idx="274">
                  <c:v>42229</c:v>
                </c:pt>
                <c:pt idx="275">
                  <c:v>42229</c:v>
                </c:pt>
                <c:pt idx="276">
                  <c:v>42229</c:v>
                </c:pt>
                <c:pt idx="277">
                  <c:v>42229</c:v>
                </c:pt>
                <c:pt idx="278">
                  <c:v>42229</c:v>
                </c:pt>
                <c:pt idx="279">
                  <c:v>42229</c:v>
                </c:pt>
                <c:pt idx="280">
                  <c:v>42229</c:v>
                </c:pt>
                <c:pt idx="281">
                  <c:v>42229</c:v>
                </c:pt>
                <c:pt idx="282">
                  <c:v>42229</c:v>
                </c:pt>
                <c:pt idx="283">
                  <c:v>42229</c:v>
                </c:pt>
                <c:pt idx="284">
                  <c:v>42229</c:v>
                </c:pt>
                <c:pt idx="285">
                  <c:v>42229</c:v>
                </c:pt>
                <c:pt idx="286">
                  <c:v>42229</c:v>
                </c:pt>
                <c:pt idx="287">
                  <c:v>42229</c:v>
                </c:pt>
                <c:pt idx="288">
                  <c:v>42229</c:v>
                </c:pt>
                <c:pt idx="289">
                  <c:v>42229</c:v>
                </c:pt>
                <c:pt idx="290">
                  <c:v>42229</c:v>
                </c:pt>
                <c:pt idx="291">
                  <c:v>42229</c:v>
                </c:pt>
                <c:pt idx="292">
                  <c:v>42229</c:v>
                </c:pt>
                <c:pt idx="293">
                  <c:v>42229</c:v>
                </c:pt>
                <c:pt idx="294">
                  <c:v>42229</c:v>
                </c:pt>
                <c:pt idx="295">
                  <c:v>42229</c:v>
                </c:pt>
                <c:pt idx="296">
                  <c:v>42229</c:v>
                </c:pt>
                <c:pt idx="297">
                  <c:v>42229</c:v>
                </c:pt>
                <c:pt idx="298">
                  <c:v>42229</c:v>
                </c:pt>
                <c:pt idx="299">
                  <c:v>42229</c:v>
                </c:pt>
                <c:pt idx="300">
                  <c:v>42229</c:v>
                </c:pt>
                <c:pt idx="301">
                  <c:v>42229</c:v>
                </c:pt>
                <c:pt idx="302">
                  <c:v>42229</c:v>
                </c:pt>
                <c:pt idx="303">
                  <c:v>42229</c:v>
                </c:pt>
                <c:pt idx="304">
                  <c:v>42229</c:v>
                </c:pt>
                <c:pt idx="305">
                  <c:v>42229</c:v>
                </c:pt>
                <c:pt idx="306">
                  <c:v>42229</c:v>
                </c:pt>
                <c:pt idx="307">
                  <c:v>42229</c:v>
                </c:pt>
                <c:pt idx="308">
                  <c:v>42229</c:v>
                </c:pt>
                <c:pt idx="309">
                  <c:v>42229</c:v>
                </c:pt>
                <c:pt idx="310">
                  <c:v>42229</c:v>
                </c:pt>
                <c:pt idx="311">
                  <c:v>42229</c:v>
                </c:pt>
                <c:pt idx="312">
                  <c:v>42229</c:v>
                </c:pt>
                <c:pt idx="313">
                  <c:v>42229</c:v>
                </c:pt>
                <c:pt idx="314">
                  <c:v>42229</c:v>
                </c:pt>
                <c:pt idx="315">
                  <c:v>42229</c:v>
                </c:pt>
                <c:pt idx="316">
                  <c:v>42229</c:v>
                </c:pt>
                <c:pt idx="317">
                  <c:v>42229</c:v>
                </c:pt>
                <c:pt idx="318">
                  <c:v>42229</c:v>
                </c:pt>
                <c:pt idx="319">
                  <c:v>42229</c:v>
                </c:pt>
                <c:pt idx="320">
                  <c:v>42229</c:v>
                </c:pt>
                <c:pt idx="321">
                  <c:v>42229</c:v>
                </c:pt>
                <c:pt idx="322">
                  <c:v>42229</c:v>
                </c:pt>
                <c:pt idx="323">
                  <c:v>42229</c:v>
                </c:pt>
                <c:pt idx="324">
                  <c:v>42229</c:v>
                </c:pt>
                <c:pt idx="325">
                  <c:v>42229</c:v>
                </c:pt>
                <c:pt idx="326">
                  <c:v>42229</c:v>
                </c:pt>
                <c:pt idx="327">
                  <c:v>42229</c:v>
                </c:pt>
                <c:pt idx="328">
                  <c:v>42229</c:v>
                </c:pt>
                <c:pt idx="329">
                  <c:v>42229</c:v>
                </c:pt>
                <c:pt idx="330">
                  <c:v>42229</c:v>
                </c:pt>
                <c:pt idx="331">
                  <c:v>42229</c:v>
                </c:pt>
                <c:pt idx="332">
                  <c:v>42229</c:v>
                </c:pt>
                <c:pt idx="333">
                  <c:v>42229</c:v>
                </c:pt>
                <c:pt idx="334">
                  <c:v>42229</c:v>
                </c:pt>
                <c:pt idx="335">
                  <c:v>42229</c:v>
                </c:pt>
                <c:pt idx="336">
                  <c:v>42229</c:v>
                </c:pt>
                <c:pt idx="337">
                  <c:v>42229</c:v>
                </c:pt>
                <c:pt idx="338">
                  <c:v>42229</c:v>
                </c:pt>
                <c:pt idx="339">
                  <c:v>42229</c:v>
                </c:pt>
                <c:pt idx="340">
                  <c:v>42229</c:v>
                </c:pt>
                <c:pt idx="341">
                  <c:v>42229</c:v>
                </c:pt>
                <c:pt idx="342">
                  <c:v>42229</c:v>
                </c:pt>
                <c:pt idx="343">
                  <c:v>42229</c:v>
                </c:pt>
                <c:pt idx="344">
                  <c:v>42229</c:v>
                </c:pt>
                <c:pt idx="345">
                  <c:v>42229</c:v>
                </c:pt>
                <c:pt idx="346">
                  <c:v>42229</c:v>
                </c:pt>
                <c:pt idx="347">
                  <c:v>42229</c:v>
                </c:pt>
                <c:pt idx="348">
                  <c:v>42229</c:v>
                </c:pt>
                <c:pt idx="349">
                  <c:v>42229</c:v>
                </c:pt>
                <c:pt idx="350">
                  <c:v>42229</c:v>
                </c:pt>
                <c:pt idx="351">
                  <c:v>42229</c:v>
                </c:pt>
                <c:pt idx="352">
                  <c:v>42229</c:v>
                </c:pt>
                <c:pt idx="353">
                  <c:v>42229</c:v>
                </c:pt>
                <c:pt idx="354">
                  <c:v>42229</c:v>
                </c:pt>
                <c:pt idx="355">
                  <c:v>42229</c:v>
                </c:pt>
                <c:pt idx="356">
                  <c:v>42229</c:v>
                </c:pt>
                <c:pt idx="357">
                  <c:v>42229</c:v>
                </c:pt>
                <c:pt idx="358">
                  <c:v>42229</c:v>
                </c:pt>
                <c:pt idx="359">
                  <c:v>42229</c:v>
                </c:pt>
                <c:pt idx="360">
                  <c:v>42229</c:v>
                </c:pt>
                <c:pt idx="361">
                  <c:v>42229</c:v>
                </c:pt>
                <c:pt idx="362">
                  <c:v>42229</c:v>
                </c:pt>
                <c:pt idx="363">
                  <c:v>42229</c:v>
                </c:pt>
                <c:pt idx="364">
                  <c:v>42229</c:v>
                </c:pt>
              </c:numCache>
            </c:numRef>
          </c:cat>
          <c:val>
            <c:numRef>
              <c:f>BH_Mois!$G$2:$G$366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15.200222222222223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19-47EF-A541-1D57A6FFF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8522271"/>
        <c:axId val="2128518431"/>
      </c:lineChart>
      <c:dateAx>
        <c:axId val="2128522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28518431"/>
        <c:crosses val="autoZero"/>
        <c:auto val="1"/>
        <c:lblOffset val="100"/>
        <c:baseTimeUnit val="days"/>
      </c:dateAx>
      <c:valAx>
        <c:axId val="212851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Réserve</a:t>
                </a:r>
                <a:r>
                  <a:rPr lang="fr-FR" baseline="0"/>
                  <a:t> en </a:t>
                </a:r>
                <a:r>
                  <a:rPr lang="fr-FR"/>
                  <a:t>au</a:t>
                </a:r>
                <a:r>
                  <a:rPr lang="fr-FR" baseline="0"/>
                  <a:t> (mm)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28522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Cumulated irrigation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Control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Bilan_hydrique!$A$2:$A$366</c:f>
              <c:numCache>
                <c:formatCode>m/d/yyyy</c:formatCode>
                <c:ptCount val="365"/>
                <c:pt idx="0">
                  <c:v>42050</c:v>
                </c:pt>
                <c:pt idx="1">
                  <c:v>42051</c:v>
                </c:pt>
                <c:pt idx="2">
                  <c:v>42052</c:v>
                </c:pt>
                <c:pt idx="3">
                  <c:v>42053</c:v>
                </c:pt>
                <c:pt idx="4">
                  <c:v>42054</c:v>
                </c:pt>
                <c:pt idx="5">
                  <c:v>42055</c:v>
                </c:pt>
                <c:pt idx="6">
                  <c:v>42056</c:v>
                </c:pt>
                <c:pt idx="7">
                  <c:v>42057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42063</c:v>
                </c:pt>
                <c:pt idx="14">
                  <c:v>42064</c:v>
                </c:pt>
                <c:pt idx="15">
                  <c:v>42065</c:v>
                </c:pt>
                <c:pt idx="16">
                  <c:v>42066</c:v>
                </c:pt>
                <c:pt idx="17">
                  <c:v>42067</c:v>
                </c:pt>
                <c:pt idx="18">
                  <c:v>42068</c:v>
                </c:pt>
                <c:pt idx="19">
                  <c:v>42069</c:v>
                </c:pt>
                <c:pt idx="20">
                  <c:v>42070</c:v>
                </c:pt>
                <c:pt idx="21">
                  <c:v>42071</c:v>
                </c:pt>
                <c:pt idx="22">
                  <c:v>42072</c:v>
                </c:pt>
                <c:pt idx="23">
                  <c:v>42073</c:v>
                </c:pt>
                <c:pt idx="24">
                  <c:v>42074</c:v>
                </c:pt>
                <c:pt idx="25">
                  <c:v>42075</c:v>
                </c:pt>
                <c:pt idx="26">
                  <c:v>42076</c:v>
                </c:pt>
                <c:pt idx="27">
                  <c:v>42077</c:v>
                </c:pt>
                <c:pt idx="28">
                  <c:v>42078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42084</c:v>
                </c:pt>
                <c:pt idx="35">
                  <c:v>42085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42091</c:v>
                </c:pt>
                <c:pt idx="42">
                  <c:v>42092</c:v>
                </c:pt>
                <c:pt idx="43">
                  <c:v>42093</c:v>
                </c:pt>
                <c:pt idx="44">
                  <c:v>42094</c:v>
                </c:pt>
                <c:pt idx="45">
                  <c:v>42095</c:v>
                </c:pt>
                <c:pt idx="46">
                  <c:v>42096</c:v>
                </c:pt>
                <c:pt idx="47">
                  <c:v>42097</c:v>
                </c:pt>
                <c:pt idx="48">
                  <c:v>42098</c:v>
                </c:pt>
                <c:pt idx="49">
                  <c:v>42099</c:v>
                </c:pt>
                <c:pt idx="50">
                  <c:v>42100</c:v>
                </c:pt>
                <c:pt idx="51">
                  <c:v>42101</c:v>
                </c:pt>
                <c:pt idx="52">
                  <c:v>42102</c:v>
                </c:pt>
                <c:pt idx="53">
                  <c:v>42103</c:v>
                </c:pt>
                <c:pt idx="54">
                  <c:v>42104</c:v>
                </c:pt>
                <c:pt idx="55">
                  <c:v>42105</c:v>
                </c:pt>
                <c:pt idx="56">
                  <c:v>42106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42112</c:v>
                </c:pt>
                <c:pt idx="63">
                  <c:v>42113</c:v>
                </c:pt>
                <c:pt idx="64">
                  <c:v>42114</c:v>
                </c:pt>
                <c:pt idx="65">
                  <c:v>42115</c:v>
                </c:pt>
                <c:pt idx="66">
                  <c:v>42116</c:v>
                </c:pt>
                <c:pt idx="67">
                  <c:v>42117</c:v>
                </c:pt>
                <c:pt idx="68">
                  <c:v>42118</c:v>
                </c:pt>
                <c:pt idx="69">
                  <c:v>42119</c:v>
                </c:pt>
                <c:pt idx="70">
                  <c:v>42120</c:v>
                </c:pt>
                <c:pt idx="71">
                  <c:v>42121</c:v>
                </c:pt>
                <c:pt idx="72">
                  <c:v>42122</c:v>
                </c:pt>
                <c:pt idx="73">
                  <c:v>42123</c:v>
                </c:pt>
                <c:pt idx="74">
                  <c:v>42124</c:v>
                </c:pt>
                <c:pt idx="75">
                  <c:v>42125</c:v>
                </c:pt>
                <c:pt idx="76">
                  <c:v>42126</c:v>
                </c:pt>
                <c:pt idx="77">
                  <c:v>42127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42133</c:v>
                </c:pt>
                <c:pt idx="84">
                  <c:v>42134</c:v>
                </c:pt>
                <c:pt idx="85">
                  <c:v>42135</c:v>
                </c:pt>
                <c:pt idx="86">
                  <c:v>42136</c:v>
                </c:pt>
                <c:pt idx="87">
                  <c:v>42137</c:v>
                </c:pt>
                <c:pt idx="88">
                  <c:v>42138</c:v>
                </c:pt>
                <c:pt idx="89">
                  <c:v>42139</c:v>
                </c:pt>
                <c:pt idx="90">
                  <c:v>42140</c:v>
                </c:pt>
                <c:pt idx="91">
                  <c:v>42141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42144</c:v>
                </c:pt>
                <c:pt idx="96">
                  <c:v>42144</c:v>
                </c:pt>
                <c:pt idx="97">
                  <c:v>42144</c:v>
                </c:pt>
                <c:pt idx="98">
                  <c:v>42144</c:v>
                </c:pt>
                <c:pt idx="99">
                  <c:v>42144</c:v>
                </c:pt>
                <c:pt idx="100">
                  <c:v>42144</c:v>
                </c:pt>
                <c:pt idx="101">
                  <c:v>42144</c:v>
                </c:pt>
                <c:pt idx="102">
                  <c:v>42144</c:v>
                </c:pt>
                <c:pt idx="103">
                  <c:v>42144</c:v>
                </c:pt>
                <c:pt idx="104">
                  <c:v>42144</c:v>
                </c:pt>
                <c:pt idx="105">
                  <c:v>42144</c:v>
                </c:pt>
                <c:pt idx="106">
                  <c:v>42144</c:v>
                </c:pt>
                <c:pt idx="107">
                  <c:v>42144</c:v>
                </c:pt>
                <c:pt idx="108">
                  <c:v>42144</c:v>
                </c:pt>
                <c:pt idx="109">
                  <c:v>42144</c:v>
                </c:pt>
                <c:pt idx="110">
                  <c:v>42144</c:v>
                </c:pt>
                <c:pt idx="111">
                  <c:v>42144</c:v>
                </c:pt>
                <c:pt idx="112">
                  <c:v>42144</c:v>
                </c:pt>
                <c:pt idx="113">
                  <c:v>42144</c:v>
                </c:pt>
                <c:pt idx="114">
                  <c:v>42144</c:v>
                </c:pt>
                <c:pt idx="115">
                  <c:v>42144</c:v>
                </c:pt>
                <c:pt idx="116">
                  <c:v>42144</c:v>
                </c:pt>
                <c:pt idx="117">
                  <c:v>42144</c:v>
                </c:pt>
                <c:pt idx="118">
                  <c:v>42144</c:v>
                </c:pt>
                <c:pt idx="119">
                  <c:v>42144</c:v>
                </c:pt>
                <c:pt idx="120">
                  <c:v>42144</c:v>
                </c:pt>
                <c:pt idx="121">
                  <c:v>42144</c:v>
                </c:pt>
                <c:pt idx="122">
                  <c:v>42144</c:v>
                </c:pt>
                <c:pt idx="123">
                  <c:v>42144</c:v>
                </c:pt>
                <c:pt idx="124">
                  <c:v>42144</c:v>
                </c:pt>
                <c:pt idx="125">
                  <c:v>42144</c:v>
                </c:pt>
                <c:pt idx="126">
                  <c:v>42144</c:v>
                </c:pt>
                <c:pt idx="127">
                  <c:v>42144</c:v>
                </c:pt>
                <c:pt idx="128">
                  <c:v>42144</c:v>
                </c:pt>
                <c:pt idx="129">
                  <c:v>42144</c:v>
                </c:pt>
                <c:pt idx="130">
                  <c:v>42144</c:v>
                </c:pt>
                <c:pt idx="131">
                  <c:v>42144</c:v>
                </c:pt>
                <c:pt idx="132">
                  <c:v>42144</c:v>
                </c:pt>
                <c:pt idx="133">
                  <c:v>42144</c:v>
                </c:pt>
                <c:pt idx="134">
                  <c:v>42144</c:v>
                </c:pt>
                <c:pt idx="135">
                  <c:v>42144</c:v>
                </c:pt>
                <c:pt idx="136">
                  <c:v>42144</c:v>
                </c:pt>
                <c:pt idx="137">
                  <c:v>42144</c:v>
                </c:pt>
                <c:pt idx="138">
                  <c:v>42144</c:v>
                </c:pt>
                <c:pt idx="139">
                  <c:v>42144</c:v>
                </c:pt>
                <c:pt idx="140">
                  <c:v>42144</c:v>
                </c:pt>
                <c:pt idx="141">
                  <c:v>42144</c:v>
                </c:pt>
                <c:pt idx="142">
                  <c:v>42144</c:v>
                </c:pt>
                <c:pt idx="143">
                  <c:v>42144</c:v>
                </c:pt>
                <c:pt idx="144">
                  <c:v>42144</c:v>
                </c:pt>
                <c:pt idx="145">
                  <c:v>42144</c:v>
                </c:pt>
                <c:pt idx="146">
                  <c:v>42144</c:v>
                </c:pt>
                <c:pt idx="147">
                  <c:v>42144</c:v>
                </c:pt>
                <c:pt idx="148">
                  <c:v>42144</c:v>
                </c:pt>
                <c:pt idx="149">
                  <c:v>42144</c:v>
                </c:pt>
                <c:pt idx="150">
                  <c:v>42144</c:v>
                </c:pt>
                <c:pt idx="151">
                  <c:v>42144</c:v>
                </c:pt>
                <c:pt idx="152">
                  <c:v>42144</c:v>
                </c:pt>
                <c:pt idx="153">
                  <c:v>42144</c:v>
                </c:pt>
                <c:pt idx="154">
                  <c:v>42144</c:v>
                </c:pt>
                <c:pt idx="155">
                  <c:v>42144</c:v>
                </c:pt>
                <c:pt idx="156">
                  <c:v>42144</c:v>
                </c:pt>
                <c:pt idx="157">
                  <c:v>42144</c:v>
                </c:pt>
                <c:pt idx="158">
                  <c:v>42144</c:v>
                </c:pt>
                <c:pt idx="159">
                  <c:v>42144</c:v>
                </c:pt>
                <c:pt idx="160">
                  <c:v>42144</c:v>
                </c:pt>
                <c:pt idx="161">
                  <c:v>42144</c:v>
                </c:pt>
                <c:pt idx="162">
                  <c:v>42144</c:v>
                </c:pt>
                <c:pt idx="163">
                  <c:v>42144</c:v>
                </c:pt>
                <c:pt idx="164">
                  <c:v>42144</c:v>
                </c:pt>
                <c:pt idx="165">
                  <c:v>42144</c:v>
                </c:pt>
                <c:pt idx="166">
                  <c:v>42144</c:v>
                </c:pt>
                <c:pt idx="167">
                  <c:v>42144</c:v>
                </c:pt>
                <c:pt idx="168">
                  <c:v>42144</c:v>
                </c:pt>
                <c:pt idx="169">
                  <c:v>42144</c:v>
                </c:pt>
                <c:pt idx="170">
                  <c:v>42144</c:v>
                </c:pt>
                <c:pt idx="171">
                  <c:v>42144</c:v>
                </c:pt>
                <c:pt idx="172">
                  <c:v>42144</c:v>
                </c:pt>
                <c:pt idx="173">
                  <c:v>42144</c:v>
                </c:pt>
                <c:pt idx="174">
                  <c:v>42144</c:v>
                </c:pt>
                <c:pt idx="175">
                  <c:v>42144</c:v>
                </c:pt>
                <c:pt idx="176">
                  <c:v>42144</c:v>
                </c:pt>
                <c:pt idx="177">
                  <c:v>42144</c:v>
                </c:pt>
                <c:pt idx="178">
                  <c:v>42144</c:v>
                </c:pt>
                <c:pt idx="179">
                  <c:v>42144</c:v>
                </c:pt>
                <c:pt idx="180">
                  <c:v>42144</c:v>
                </c:pt>
                <c:pt idx="181">
                  <c:v>42144</c:v>
                </c:pt>
                <c:pt idx="182">
                  <c:v>42144</c:v>
                </c:pt>
                <c:pt idx="183">
                  <c:v>42144</c:v>
                </c:pt>
                <c:pt idx="184">
                  <c:v>42144</c:v>
                </c:pt>
                <c:pt idx="185">
                  <c:v>42144</c:v>
                </c:pt>
                <c:pt idx="186">
                  <c:v>42144</c:v>
                </c:pt>
                <c:pt idx="187">
                  <c:v>42144</c:v>
                </c:pt>
                <c:pt idx="188">
                  <c:v>42144</c:v>
                </c:pt>
                <c:pt idx="189">
                  <c:v>42144</c:v>
                </c:pt>
                <c:pt idx="190">
                  <c:v>42144</c:v>
                </c:pt>
                <c:pt idx="191">
                  <c:v>42144</c:v>
                </c:pt>
                <c:pt idx="192">
                  <c:v>42144</c:v>
                </c:pt>
                <c:pt idx="193">
                  <c:v>42144</c:v>
                </c:pt>
                <c:pt idx="194">
                  <c:v>42144</c:v>
                </c:pt>
                <c:pt idx="195">
                  <c:v>42144</c:v>
                </c:pt>
                <c:pt idx="196">
                  <c:v>42144</c:v>
                </c:pt>
                <c:pt idx="197">
                  <c:v>42144</c:v>
                </c:pt>
                <c:pt idx="198">
                  <c:v>42144</c:v>
                </c:pt>
                <c:pt idx="199">
                  <c:v>42144</c:v>
                </c:pt>
                <c:pt idx="200">
                  <c:v>42144</c:v>
                </c:pt>
                <c:pt idx="201">
                  <c:v>42144</c:v>
                </c:pt>
                <c:pt idx="202">
                  <c:v>42144</c:v>
                </c:pt>
                <c:pt idx="203">
                  <c:v>42144</c:v>
                </c:pt>
                <c:pt idx="204">
                  <c:v>42144</c:v>
                </c:pt>
                <c:pt idx="205">
                  <c:v>42144</c:v>
                </c:pt>
                <c:pt idx="206">
                  <c:v>42144</c:v>
                </c:pt>
                <c:pt idx="207">
                  <c:v>42144</c:v>
                </c:pt>
                <c:pt idx="208">
                  <c:v>42144</c:v>
                </c:pt>
                <c:pt idx="209">
                  <c:v>42144</c:v>
                </c:pt>
                <c:pt idx="210">
                  <c:v>42144</c:v>
                </c:pt>
                <c:pt idx="211">
                  <c:v>42144</c:v>
                </c:pt>
                <c:pt idx="212">
                  <c:v>42144</c:v>
                </c:pt>
                <c:pt idx="213">
                  <c:v>42144</c:v>
                </c:pt>
                <c:pt idx="214">
                  <c:v>42144</c:v>
                </c:pt>
                <c:pt idx="215">
                  <c:v>42144</c:v>
                </c:pt>
                <c:pt idx="216">
                  <c:v>42144</c:v>
                </c:pt>
                <c:pt idx="217">
                  <c:v>42144</c:v>
                </c:pt>
                <c:pt idx="218">
                  <c:v>42144</c:v>
                </c:pt>
                <c:pt idx="219">
                  <c:v>42144</c:v>
                </c:pt>
                <c:pt idx="220">
                  <c:v>42144</c:v>
                </c:pt>
                <c:pt idx="221">
                  <c:v>42144</c:v>
                </c:pt>
                <c:pt idx="222">
                  <c:v>42144</c:v>
                </c:pt>
                <c:pt idx="223">
                  <c:v>42144</c:v>
                </c:pt>
                <c:pt idx="224">
                  <c:v>42144</c:v>
                </c:pt>
                <c:pt idx="225">
                  <c:v>42144</c:v>
                </c:pt>
                <c:pt idx="226">
                  <c:v>42144</c:v>
                </c:pt>
                <c:pt idx="227">
                  <c:v>42144</c:v>
                </c:pt>
                <c:pt idx="228">
                  <c:v>42144</c:v>
                </c:pt>
                <c:pt idx="229">
                  <c:v>42144</c:v>
                </c:pt>
                <c:pt idx="230">
                  <c:v>42144</c:v>
                </c:pt>
                <c:pt idx="231">
                  <c:v>42144</c:v>
                </c:pt>
                <c:pt idx="232">
                  <c:v>42144</c:v>
                </c:pt>
                <c:pt idx="233">
                  <c:v>42144</c:v>
                </c:pt>
                <c:pt idx="234">
                  <c:v>42144</c:v>
                </c:pt>
                <c:pt idx="235">
                  <c:v>42144</c:v>
                </c:pt>
                <c:pt idx="236">
                  <c:v>42144</c:v>
                </c:pt>
                <c:pt idx="237">
                  <c:v>42144</c:v>
                </c:pt>
                <c:pt idx="238">
                  <c:v>42144</c:v>
                </c:pt>
                <c:pt idx="239">
                  <c:v>42144</c:v>
                </c:pt>
                <c:pt idx="240">
                  <c:v>42144</c:v>
                </c:pt>
                <c:pt idx="241">
                  <c:v>42144</c:v>
                </c:pt>
                <c:pt idx="242">
                  <c:v>42144</c:v>
                </c:pt>
                <c:pt idx="243">
                  <c:v>42144</c:v>
                </c:pt>
                <c:pt idx="244">
                  <c:v>42144</c:v>
                </c:pt>
                <c:pt idx="245">
                  <c:v>42144</c:v>
                </c:pt>
                <c:pt idx="246">
                  <c:v>42144</c:v>
                </c:pt>
                <c:pt idx="247">
                  <c:v>42144</c:v>
                </c:pt>
                <c:pt idx="248">
                  <c:v>42144</c:v>
                </c:pt>
                <c:pt idx="249">
                  <c:v>42144</c:v>
                </c:pt>
                <c:pt idx="250">
                  <c:v>42144</c:v>
                </c:pt>
                <c:pt idx="251">
                  <c:v>42144</c:v>
                </c:pt>
                <c:pt idx="252">
                  <c:v>42144</c:v>
                </c:pt>
                <c:pt idx="253">
                  <c:v>42144</c:v>
                </c:pt>
                <c:pt idx="254">
                  <c:v>42144</c:v>
                </c:pt>
                <c:pt idx="255">
                  <c:v>42144</c:v>
                </c:pt>
                <c:pt idx="256">
                  <c:v>42144</c:v>
                </c:pt>
                <c:pt idx="257">
                  <c:v>42144</c:v>
                </c:pt>
                <c:pt idx="258">
                  <c:v>42144</c:v>
                </c:pt>
                <c:pt idx="259">
                  <c:v>42144</c:v>
                </c:pt>
                <c:pt idx="260">
                  <c:v>42144</c:v>
                </c:pt>
                <c:pt idx="261">
                  <c:v>42144</c:v>
                </c:pt>
                <c:pt idx="262">
                  <c:v>42144</c:v>
                </c:pt>
                <c:pt idx="263">
                  <c:v>42144</c:v>
                </c:pt>
                <c:pt idx="264">
                  <c:v>42144</c:v>
                </c:pt>
                <c:pt idx="265">
                  <c:v>42144</c:v>
                </c:pt>
                <c:pt idx="266">
                  <c:v>42144</c:v>
                </c:pt>
                <c:pt idx="267">
                  <c:v>42144</c:v>
                </c:pt>
                <c:pt idx="268">
                  <c:v>42144</c:v>
                </c:pt>
                <c:pt idx="269">
                  <c:v>42144</c:v>
                </c:pt>
                <c:pt idx="270">
                  <c:v>42144</c:v>
                </c:pt>
                <c:pt idx="271">
                  <c:v>42144</c:v>
                </c:pt>
                <c:pt idx="272">
                  <c:v>42144</c:v>
                </c:pt>
                <c:pt idx="273">
                  <c:v>42144</c:v>
                </c:pt>
                <c:pt idx="274">
                  <c:v>42144</c:v>
                </c:pt>
                <c:pt idx="275">
                  <c:v>42144</c:v>
                </c:pt>
                <c:pt idx="276">
                  <c:v>42144</c:v>
                </c:pt>
                <c:pt idx="277">
                  <c:v>42144</c:v>
                </c:pt>
                <c:pt idx="278">
                  <c:v>42144</c:v>
                </c:pt>
                <c:pt idx="279">
                  <c:v>42144</c:v>
                </c:pt>
                <c:pt idx="280">
                  <c:v>42144</c:v>
                </c:pt>
                <c:pt idx="281">
                  <c:v>42144</c:v>
                </c:pt>
                <c:pt idx="282">
                  <c:v>42144</c:v>
                </c:pt>
                <c:pt idx="283">
                  <c:v>42144</c:v>
                </c:pt>
                <c:pt idx="284">
                  <c:v>42144</c:v>
                </c:pt>
                <c:pt idx="285">
                  <c:v>42144</c:v>
                </c:pt>
                <c:pt idx="286">
                  <c:v>42144</c:v>
                </c:pt>
                <c:pt idx="287">
                  <c:v>42144</c:v>
                </c:pt>
                <c:pt idx="288">
                  <c:v>42144</c:v>
                </c:pt>
                <c:pt idx="289">
                  <c:v>42144</c:v>
                </c:pt>
                <c:pt idx="290">
                  <c:v>42144</c:v>
                </c:pt>
                <c:pt idx="291">
                  <c:v>42144</c:v>
                </c:pt>
                <c:pt idx="292">
                  <c:v>42144</c:v>
                </c:pt>
                <c:pt idx="293">
                  <c:v>42144</c:v>
                </c:pt>
                <c:pt idx="294">
                  <c:v>42144</c:v>
                </c:pt>
                <c:pt idx="295">
                  <c:v>42144</c:v>
                </c:pt>
                <c:pt idx="296">
                  <c:v>42144</c:v>
                </c:pt>
                <c:pt idx="297">
                  <c:v>42144</c:v>
                </c:pt>
                <c:pt idx="298">
                  <c:v>42144</c:v>
                </c:pt>
                <c:pt idx="299">
                  <c:v>42144</c:v>
                </c:pt>
                <c:pt idx="300">
                  <c:v>42144</c:v>
                </c:pt>
                <c:pt idx="301">
                  <c:v>42144</c:v>
                </c:pt>
                <c:pt idx="302">
                  <c:v>42144</c:v>
                </c:pt>
                <c:pt idx="303">
                  <c:v>42144</c:v>
                </c:pt>
                <c:pt idx="304">
                  <c:v>42144</c:v>
                </c:pt>
                <c:pt idx="305">
                  <c:v>42144</c:v>
                </c:pt>
                <c:pt idx="306">
                  <c:v>42144</c:v>
                </c:pt>
                <c:pt idx="307">
                  <c:v>42144</c:v>
                </c:pt>
                <c:pt idx="308">
                  <c:v>42144</c:v>
                </c:pt>
                <c:pt idx="309">
                  <c:v>42144</c:v>
                </c:pt>
                <c:pt idx="310">
                  <c:v>42144</c:v>
                </c:pt>
                <c:pt idx="311">
                  <c:v>42144</c:v>
                </c:pt>
                <c:pt idx="312">
                  <c:v>42144</c:v>
                </c:pt>
                <c:pt idx="313">
                  <c:v>42144</c:v>
                </c:pt>
                <c:pt idx="314">
                  <c:v>42144</c:v>
                </c:pt>
                <c:pt idx="315">
                  <c:v>42144</c:v>
                </c:pt>
                <c:pt idx="316">
                  <c:v>42144</c:v>
                </c:pt>
                <c:pt idx="317">
                  <c:v>42144</c:v>
                </c:pt>
                <c:pt idx="318">
                  <c:v>42144</c:v>
                </c:pt>
                <c:pt idx="319">
                  <c:v>42144</c:v>
                </c:pt>
                <c:pt idx="320">
                  <c:v>42144</c:v>
                </c:pt>
                <c:pt idx="321">
                  <c:v>42144</c:v>
                </c:pt>
                <c:pt idx="322">
                  <c:v>42144</c:v>
                </c:pt>
                <c:pt idx="323">
                  <c:v>42144</c:v>
                </c:pt>
                <c:pt idx="324">
                  <c:v>42144</c:v>
                </c:pt>
                <c:pt idx="325">
                  <c:v>42144</c:v>
                </c:pt>
                <c:pt idx="326">
                  <c:v>42144</c:v>
                </c:pt>
                <c:pt idx="327">
                  <c:v>42144</c:v>
                </c:pt>
                <c:pt idx="328">
                  <c:v>42144</c:v>
                </c:pt>
                <c:pt idx="329">
                  <c:v>42144</c:v>
                </c:pt>
                <c:pt idx="330">
                  <c:v>42144</c:v>
                </c:pt>
                <c:pt idx="331">
                  <c:v>42144</c:v>
                </c:pt>
                <c:pt idx="332">
                  <c:v>42144</c:v>
                </c:pt>
                <c:pt idx="333">
                  <c:v>42144</c:v>
                </c:pt>
                <c:pt idx="334">
                  <c:v>42144</c:v>
                </c:pt>
                <c:pt idx="335">
                  <c:v>42144</c:v>
                </c:pt>
                <c:pt idx="336">
                  <c:v>42144</c:v>
                </c:pt>
                <c:pt idx="337">
                  <c:v>42144</c:v>
                </c:pt>
                <c:pt idx="338">
                  <c:v>42144</c:v>
                </c:pt>
                <c:pt idx="339">
                  <c:v>42144</c:v>
                </c:pt>
                <c:pt idx="340">
                  <c:v>42144</c:v>
                </c:pt>
                <c:pt idx="341">
                  <c:v>42144</c:v>
                </c:pt>
                <c:pt idx="342">
                  <c:v>42144</c:v>
                </c:pt>
                <c:pt idx="343">
                  <c:v>42144</c:v>
                </c:pt>
                <c:pt idx="344">
                  <c:v>42144</c:v>
                </c:pt>
                <c:pt idx="345">
                  <c:v>42144</c:v>
                </c:pt>
                <c:pt idx="346">
                  <c:v>42144</c:v>
                </c:pt>
                <c:pt idx="347">
                  <c:v>42144</c:v>
                </c:pt>
                <c:pt idx="348">
                  <c:v>42144</c:v>
                </c:pt>
                <c:pt idx="349">
                  <c:v>42144</c:v>
                </c:pt>
                <c:pt idx="350">
                  <c:v>42144</c:v>
                </c:pt>
                <c:pt idx="351">
                  <c:v>42144</c:v>
                </c:pt>
                <c:pt idx="352">
                  <c:v>42144</c:v>
                </c:pt>
                <c:pt idx="353">
                  <c:v>42144</c:v>
                </c:pt>
                <c:pt idx="354">
                  <c:v>42144</c:v>
                </c:pt>
                <c:pt idx="355">
                  <c:v>42144</c:v>
                </c:pt>
                <c:pt idx="356">
                  <c:v>42144</c:v>
                </c:pt>
                <c:pt idx="357">
                  <c:v>42144</c:v>
                </c:pt>
                <c:pt idx="358">
                  <c:v>42144</c:v>
                </c:pt>
                <c:pt idx="359">
                  <c:v>42144</c:v>
                </c:pt>
                <c:pt idx="360">
                  <c:v>42144</c:v>
                </c:pt>
                <c:pt idx="361">
                  <c:v>42144</c:v>
                </c:pt>
                <c:pt idx="362">
                  <c:v>42144</c:v>
                </c:pt>
                <c:pt idx="363">
                  <c:v>42144</c:v>
                </c:pt>
                <c:pt idx="364">
                  <c:v>42144</c:v>
                </c:pt>
              </c:numCache>
            </c:numRef>
          </c:cat>
          <c:val>
            <c:numRef>
              <c:f>Bilan_hydrique!$M$2:$M$366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96-4B33-9EAF-E4DBFB6ABFC5}"/>
            </c:ext>
          </c:extLst>
        </c:ser>
        <c:ser>
          <c:idx val="1"/>
          <c:order val="1"/>
          <c:tx>
            <c:v>with AV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Bilan_hydrique!$A$2:$A$366</c:f>
              <c:numCache>
                <c:formatCode>m/d/yyyy</c:formatCode>
                <c:ptCount val="365"/>
                <c:pt idx="0">
                  <c:v>42050</c:v>
                </c:pt>
                <c:pt idx="1">
                  <c:v>42051</c:v>
                </c:pt>
                <c:pt idx="2">
                  <c:v>42052</c:v>
                </c:pt>
                <c:pt idx="3">
                  <c:v>42053</c:v>
                </c:pt>
                <c:pt idx="4">
                  <c:v>42054</c:v>
                </c:pt>
                <c:pt idx="5">
                  <c:v>42055</c:v>
                </c:pt>
                <c:pt idx="6">
                  <c:v>42056</c:v>
                </c:pt>
                <c:pt idx="7">
                  <c:v>42057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42063</c:v>
                </c:pt>
                <c:pt idx="14">
                  <c:v>42064</c:v>
                </c:pt>
                <c:pt idx="15">
                  <c:v>42065</c:v>
                </c:pt>
                <c:pt idx="16">
                  <c:v>42066</c:v>
                </c:pt>
                <c:pt idx="17">
                  <c:v>42067</c:v>
                </c:pt>
                <c:pt idx="18">
                  <c:v>42068</c:v>
                </c:pt>
                <c:pt idx="19">
                  <c:v>42069</c:v>
                </c:pt>
                <c:pt idx="20">
                  <c:v>42070</c:v>
                </c:pt>
                <c:pt idx="21">
                  <c:v>42071</c:v>
                </c:pt>
                <c:pt idx="22">
                  <c:v>42072</c:v>
                </c:pt>
                <c:pt idx="23">
                  <c:v>42073</c:v>
                </c:pt>
                <c:pt idx="24">
                  <c:v>42074</c:v>
                </c:pt>
                <c:pt idx="25">
                  <c:v>42075</c:v>
                </c:pt>
                <c:pt idx="26">
                  <c:v>42076</c:v>
                </c:pt>
                <c:pt idx="27">
                  <c:v>42077</c:v>
                </c:pt>
                <c:pt idx="28">
                  <c:v>42078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42084</c:v>
                </c:pt>
                <c:pt idx="35">
                  <c:v>42085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42091</c:v>
                </c:pt>
                <c:pt idx="42">
                  <c:v>42092</c:v>
                </c:pt>
                <c:pt idx="43">
                  <c:v>42093</c:v>
                </c:pt>
                <c:pt idx="44">
                  <c:v>42094</c:v>
                </c:pt>
                <c:pt idx="45">
                  <c:v>42095</c:v>
                </c:pt>
                <c:pt idx="46">
                  <c:v>42096</c:v>
                </c:pt>
                <c:pt idx="47">
                  <c:v>42097</c:v>
                </c:pt>
                <c:pt idx="48">
                  <c:v>42098</c:v>
                </c:pt>
                <c:pt idx="49">
                  <c:v>42099</c:v>
                </c:pt>
                <c:pt idx="50">
                  <c:v>42100</c:v>
                </c:pt>
                <c:pt idx="51">
                  <c:v>42101</c:v>
                </c:pt>
                <c:pt idx="52">
                  <c:v>42102</c:v>
                </c:pt>
                <c:pt idx="53">
                  <c:v>42103</c:v>
                </c:pt>
                <c:pt idx="54">
                  <c:v>42104</c:v>
                </c:pt>
                <c:pt idx="55">
                  <c:v>42105</c:v>
                </c:pt>
                <c:pt idx="56">
                  <c:v>42106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42112</c:v>
                </c:pt>
                <c:pt idx="63">
                  <c:v>42113</c:v>
                </c:pt>
                <c:pt idx="64">
                  <c:v>42114</c:v>
                </c:pt>
                <c:pt idx="65">
                  <c:v>42115</c:v>
                </c:pt>
                <c:pt idx="66">
                  <c:v>42116</c:v>
                </c:pt>
                <c:pt idx="67">
                  <c:v>42117</c:v>
                </c:pt>
                <c:pt idx="68">
                  <c:v>42118</c:v>
                </c:pt>
                <c:pt idx="69">
                  <c:v>42119</c:v>
                </c:pt>
                <c:pt idx="70">
                  <c:v>42120</c:v>
                </c:pt>
                <c:pt idx="71">
                  <c:v>42121</c:v>
                </c:pt>
                <c:pt idx="72">
                  <c:v>42122</c:v>
                </c:pt>
                <c:pt idx="73">
                  <c:v>42123</c:v>
                </c:pt>
                <c:pt idx="74">
                  <c:v>42124</c:v>
                </c:pt>
                <c:pt idx="75">
                  <c:v>42125</c:v>
                </c:pt>
                <c:pt idx="76">
                  <c:v>42126</c:v>
                </c:pt>
                <c:pt idx="77">
                  <c:v>42127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42133</c:v>
                </c:pt>
                <c:pt idx="84">
                  <c:v>42134</c:v>
                </c:pt>
                <c:pt idx="85">
                  <c:v>42135</c:v>
                </c:pt>
                <c:pt idx="86">
                  <c:v>42136</c:v>
                </c:pt>
                <c:pt idx="87">
                  <c:v>42137</c:v>
                </c:pt>
                <c:pt idx="88">
                  <c:v>42138</c:v>
                </c:pt>
                <c:pt idx="89">
                  <c:v>42139</c:v>
                </c:pt>
                <c:pt idx="90">
                  <c:v>42140</c:v>
                </c:pt>
                <c:pt idx="91">
                  <c:v>42141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42144</c:v>
                </c:pt>
                <c:pt idx="96">
                  <c:v>42144</c:v>
                </c:pt>
                <c:pt idx="97">
                  <c:v>42144</c:v>
                </c:pt>
                <c:pt idx="98">
                  <c:v>42144</c:v>
                </c:pt>
                <c:pt idx="99">
                  <c:v>42144</c:v>
                </c:pt>
                <c:pt idx="100">
                  <c:v>42144</c:v>
                </c:pt>
                <c:pt idx="101">
                  <c:v>42144</c:v>
                </c:pt>
                <c:pt idx="102">
                  <c:v>42144</c:v>
                </c:pt>
                <c:pt idx="103">
                  <c:v>42144</c:v>
                </c:pt>
                <c:pt idx="104">
                  <c:v>42144</c:v>
                </c:pt>
                <c:pt idx="105">
                  <c:v>42144</c:v>
                </c:pt>
                <c:pt idx="106">
                  <c:v>42144</c:v>
                </c:pt>
                <c:pt idx="107">
                  <c:v>42144</c:v>
                </c:pt>
                <c:pt idx="108">
                  <c:v>42144</c:v>
                </c:pt>
                <c:pt idx="109">
                  <c:v>42144</c:v>
                </c:pt>
                <c:pt idx="110">
                  <c:v>42144</c:v>
                </c:pt>
                <c:pt idx="111">
                  <c:v>42144</c:v>
                </c:pt>
                <c:pt idx="112">
                  <c:v>42144</c:v>
                </c:pt>
                <c:pt idx="113">
                  <c:v>42144</c:v>
                </c:pt>
                <c:pt idx="114">
                  <c:v>42144</c:v>
                </c:pt>
                <c:pt idx="115">
                  <c:v>42144</c:v>
                </c:pt>
                <c:pt idx="116">
                  <c:v>42144</c:v>
                </c:pt>
                <c:pt idx="117">
                  <c:v>42144</c:v>
                </c:pt>
                <c:pt idx="118">
                  <c:v>42144</c:v>
                </c:pt>
                <c:pt idx="119">
                  <c:v>42144</c:v>
                </c:pt>
                <c:pt idx="120">
                  <c:v>42144</c:v>
                </c:pt>
                <c:pt idx="121">
                  <c:v>42144</c:v>
                </c:pt>
                <c:pt idx="122">
                  <c:v>42144</c:v>
                </c:pt>
                <c:pt idx="123">
                  <c:v>42144</c:v>
                </c:pt>
                <c:pt idx="124">
                  <c:v>42144</c:v>
                </c:pt>
                <c:pt idx="125">
                  <c:v>42144</c:v>
                </c:pt>
                <c:pt idx="126">
                  <c:v>42144</c:v>
                </c:pt>
                <c:pt idx="127">
                  <c:v>42144</c:v>
                </c:pt>
                <c:pt idx="128">
                  <c:v>42144</c:v>
                </c:pt>
                <c:pt idx="129">
                  <c:v>42144</c:v>
                </c:pt>
                <c:pt idx="130">
                  <c:v>42144</c:v>
                </c:pt>
                <c:pt idx="131">
                  <c:v>42144</c:v>
                </c:pt>
                <c:pt idx="132">
                  <c:v>42144</c:v>
                </c:pt>
                <c:pt idx="133">
                  <c:v>42144</c:v>
                </c:pt>
                <c:pt idx="134">
                  <c:v>42144</c:v>
                </c:pt>
                <c:pt idx="135">
                  <c:v>42144</c:v>
                </c:pt>
                <c:pt idx="136">
                  <c:v>42144</c:v>
                </c:pt>
                <c:pt idx="137">
                  <c:v>42144</c:v>
                </c:pt>
                <c:pt idx="138">
                  <c:v>42144</c:v>
                </c:pt>
                <c:pt idx="139">
                  <c:v>42144</c:v>
                </c:pt>
                <c:pt idx="140">
                  <c:v>42144</c:v>
                </c:pt>
                <c:pt idx="141">
                  <c:v>42144</c:v>
                </c:pt>
                <c:pt idx="142">
                  <c:v>42144</c:v>
                </c:pt>
                <c:pt idx="143">
                  <c:v>42144</c:v>
                </c:pt>
                <c:pt idx="144">
                  <c:v>42144</c:v>
                </c:pt>
                <c:pt idx="145">
                  <c:v>42144</c:v>
                </c:pt>
                <c:pt idx="146">
                  <c:v>42144</c:v>
                </c:pt>
                <c:pt idx="147">
                  <c:v>42144</c:v>
                </c:pt>
                <c:pt idx="148">
                  <c:v>42144</c:v>
                </c:pt>
                <c:pt idx="149">
                  <c:v>42144</c:v>
                </c:pt>
                <c:pt idx="150">
                  <c:v>42144</c:v>
                </c:pt>
                <c:pt idx="151">
                  <c:v>42144</c:v>
                </c:pt>
                <c:pt idx="152">
                  <c:v>42144</c:v>
                </c:pt>
                <c:pt idx="153">
                  <c:v>42144</c:v>
                </c:pt>
                <c:pt idx="154">
                  <c:v>42144</c:v>
                </c:pt>
                <c:pt idx="155">
                  <c:v>42144</c:v>
                </c:pt>
                <c:pt idx="156">
                  <c:v>42144</c:v>
                </c:pt>
                <c:pt idx="157">
                  <c:v>42144</c:v>
                </c:pt>
                <c:pt idx="158">
                  <c:v>42144</c:v>
                </c:pt>
                <c:pt idx="159">
                  <c:v>42144</c:v>
                </c:pt>
                <c:pt idx="160">
                  <c:v>42144</c:v>
                </c:pt>
                <c:pt idx="161">
                  <c:v>42144</c:v>
                </c:pt>
                <c:pt idx="162">
                  <c:v>42144</c:v>
                </c:pt>
                <c:pt idx="163">
                  <c:v>42144</c:v>
                </c:pt>
                <c:pt idx="164">
                  <c:v>42144</c:v>
                </c:pt>
                <c:pt idx="165">
                  <c:v>42144</c:v>
                </c:pt>
                <c:pt idx="166">
                  <c:v>42144</c:v>
                </c:pt>
                <c:pt idx="167">
                  <c:v>42144</c:v>
                </c:pt>
                <c:pt idx="168">
                  <c:v>42144</c:v>
                </c:pt>
                <c:pt idx="169">
                  <c:v>42144</c:v>
                </c:pt>
                <c:pt idx="170">
                  <c:v>42144</c:v>
                </c:pt>
                <c:pt idx="171">
                  <c:v>42144</c:v>
                </c:pt>
                <c:pt idx="172">
                  <c:v>42144</c:v>
                </c:pt>
                <c:pt idx="173">
                  <c:v>42144</c:v>
                </c:pt>
                <c:pt idx="174">
                  <c:v>42144</c:v>
                </c:pt>
                <c:pt idx="175">
                  <c:v>42144</c:v>
                </c:pt>
                <c:pt idx="176">
                  <c:v>42144</c:v>
                </c:pt>
                <c:pt idx="177">
                  <c:v>42144</c:v>
                </c:pt>
                <c:pt idx="178">
                  <c:v>42144</c:v>
                </c:pt>
                <c:pt idx="179">
                  <c:v>42144</c:v>
                </c:pt>
                <c:pt idx="180">
                  <c:v>42144</c:v>
                </c:pt>
                <c:pt idx="181">
                  <c:v>42144</c:v>
                </c:pt>
                <c:pt idx="182">
                  <c:v>42144</c:v>
                </c:pt>
                <c:pt idx="183">
                  <c:v>42144</c:v>
                </c:pt>
                <c:pt idx="184">
                  <c:v>42144</c:v>
                </c:pt>
                <c:pt idx="185">
                  <c:v>42144</c:v>
                </c:pt>
                <c:pt idx="186">
                  <c:v>42144</c:v>
                </c:pt>
                <c:pt idx="187">
                  <c:v>42144</c:v>
                </c:pt>
                <c:pt idx="188">
                  <c:v>42144</c:v>
                </c:pt>
                <c:pt idx="189">
                  <c:v>42144</c:v>
                </c:pt>
                <c:pt idx="190">
                  <c:v>42144</c:v>
                </c:pt>
                <c:pt idx="191">
                  <c:v>42144</c:v>
                </c:pt>
                <c:pt idx="192">
                  <c:v>42144</c:v>
                </c:pt>
                <c:pt idx="193">
                  <c:v>42144</c:v>
                </c:pt>
                <c:pt idx="194">
                  <c:v>42144</c:v>
                </c:pt>
                <c:pt idx="195">
                  <c:v>42144</c:v>
                </c:pt>
                <c:pt idx="196">
                  <c:v>42144</c:v>
                </c:pt>
                <c:pt idx="197">
                  <c:v>42144</c:v>
                </c:pt>
                <c:pt idx="198">
                  <c:v>42144</c:v>
                </c:pt>
                <c:pt idx="199">
                  <c:v>42144</c:v>
                </c:pt>
                <c:pt idx="200">
                  <c:v>42144</c:v>
                </c:pt>
                <c:pt idx="201">
                  <c:v>42144</c:v>
                </c:pt>
                <c:pt idx="202">
                  <c:v>42144</c:v>
                </c:pt>
                <c:pt idx="203">
                  <c:v>42144</c:v>
                </c:pt>
                <c:pt idx="204">
                  <c:v>42144</c:v>
                </c:pt>
                <c:pt idx="205">
                  <c:v>42144</c:v>
                </c:pt>
                <c:pt idx="206">
                  <c:v>42144</c:v>
                </c:pt>
                <c:pt idx="207">
                  <c:v>42144</c:v>
                </c:pt>
                <c:pt idx="208">
                  <c:v>42144</c:v>
                </c:pt>
                <c:pt idx="209">
                  <c:v>42144</c:v>
                </c:pt>
                <c:pt idx="210">
                  <c:v>42144</c:v>
                </c:pt>
                <c:pt idx="211">
                  <c:v>42144</c:v>
                </c:pt>
                <c:pt idx="212">
                  <c:v>42144</c:v>
                </c:pt>
                <c:pt idx="213">
                  <c:v>42144</c:v>
                </c:pt>
                <c:pt idx="214">
                  <c:v>42144</c:v>
                </c:pt>
                <c:pt idx="215">
                  <c:v>42144</c:v>
                </c:pt>
                <c:pt idx="216">
                  <c:v>42144</c:v>
                </c:pt>
                <c:pt idx="217">
                  <c:v>42144</c:v>
                </c:pt>
                <c:pt idx="218">
                  <c:v>42144</c:v>
                </c:pt>
                <c:pt idx="219">
                  <c:v>42144</c:v>
                </c:pt>
                <c:pt idx="220">
                  <c:v>42144</c:v>
                </c:pt>
                <c:pt idx="221">
                  <c:v>42144</c:v>
                </c:pt>
                <c:pt idx="222">
                  <c:v>42144</c:v>
                </c:pt>
                <c:pt idx="223">
                  <c:v>42144</c:v>
                </c:pt>
                <c:pt idx="224">
                  <c:v>42144</c:v>
                </c:pt>
                <c:pt idx="225">
                  <c:v>42144</c:v>
                </c:pt>
                <c:pt idx="226">
                  <c:v>42144</c:v>
                </c:pt>
                <c:pt idx="227">
                  <c:v>42144</c:v>
                </c:pt>
                <c:pt idx="228">
                  <c:v>42144</c:v>
                </c:pt>
                <c:pt idx="229">
                  <c:v>42144</c:v>
                </c:pt>
                <c:pt idx="230">
                  <c:v>42144</c:v>
                </c:pt>
                <c:pt idx="231">
                  <c:v>42144</c:v>
                </c:pt>
                <c:pt idx="232">
                  <c:v>42144</c:v>
                </c:pt>
                <c:pt idx="233">
                  <c:v>42144</c:v>
                </c:pt>
                <c:pt idx="234">
                  <c:v>42144</c:v>
                </c:pt>
                <c:pt idx="235">
                  <c:v>42144</c:v>
                </c:pt>
                <c:pt idx="236">
                  <c:v>42144</c:v>
                </c:pt>
                <c:pt idx="237">
                  <c:v>42144</c:v>
                </c:pt>
                <c:pt idx="238">
                  <c:v>42144</c:v>
                </c:pt>
                <c:pt idx="239">
                  <c:v>42144</c:v>
                </c:pt>
                <c:pt idx="240">
                  <c:v>42144</c:v>
                </c:pt>
                <c:pt idx="241">
                  <c:v>42144</c:v>
                </c:pt>
                <c:pt idx="242">
                  <c:v>42144</c:v>
                </c:pt>
                <c:pt idx="243">
                  <c:v>42144</c:v>
                </c:pt>
                <c:pt idx="244">
                  <c:v>42144</c:v>
                </c:pt>
                <c:pt idx="245">
                  <c:v>42144</c:v>
                </c:pt>
                <c:pt idx="246">
                  <c:v>42144</c:v>
                </c:pt>
                <c:pt idx="247">
                  <c:v>42144</c:v>
                </c:pt>
                <c:pt idx="248">
                  <c:v>42144</c:v>
                </c:pt>
                <c:pt idx="249">
                  <c:v>42144</c:v>
                </c:pt>
                <c:pt idx="250">
                  <c:v>42144</c:v>
                </c:pt>
                <c:pt idx="251">
                  <c:v>42144</c:v>
                </c:pt>
                <c:pt idx="252">
                  <c:v>42144</c:v>
                </c:pt>
                <c:pt idx="253">
                  <c:v>42144</c:v>
                </c:pt>
                <c:pt idx="254">
                  <c:v>42144</c:v>
                </c:pt>
                <c:pt idx="255">
                  <c:v>42144</c:v>
                </c:pt>
                <c:pt idx="256">
                  <c:v>42144</c:v>
                </c:pt>
                <c:pt idx="257">
                  <c:v>42144</c:v>
                </c:pt>
                <c:pt idx="258">
                  <c:v>42144</c:v>
                </c:pt>
                <c:pt idx="259">
                  <c:v>42144</c:v>
                </c:pt>
                <c:pt idx="260">
                  <c:v>42144</c:v>
                </c:pt>
                <c:pt idx="261">
                  <c:v>42144</c:v>
                </c:pt>
                <c:pt idx="262">
                  <c:v>42144</c:v>
                </c:pt>
                <c:pt idx="263">
                  <c:v>42144</c:v>
                </c:pt>
                <c:pt idx="264">
                  <c:v>42144</c:v>
                </c:pt>
                <c:pt idx="265">
                  <c:v>42144</c:v>
                </c:pt>
                <c:pt idx="266">
                  <c:v>42144</c:v>
                </c:pt>
                <c:pt idx="267">
                  <c:v>42144</c:v>
                </c:pt>
                <c:pt idx="268">
                  <c:v>42144</c:v>
                </c:pt>
                <c:pt idx="269">
                  <c:v>42144</c:v>
                </c:pt>
                <c:pt idx="270">
                  <c:v>42144</c:v>
                </c:pt>
                <c:pt idx="271">
                  <c:v>42144</c:v>
                </c:pt>
                <c:pt idx="272">
                  <c:v>42144</c:v>
                </c:pt>
                <c:pt idx="273">
                  <c:v>42144</c:v>
                </c:pt>
                <c:pt idx="274">
                  <c:v>42144</c:v>
                </c:pt>
                <c:pt idx="275">
                  <c:v>42144</c:v>
                </c:pt>
                <c:pt idx="276">
                  <c:v>42144</c:v>
                </c:pt>
                <c:pt idx="277">
                  <c:v>42144</c:v>
                </c:pt>
                <c:pt idx="278">
                  <c:v>42144</c:v>
                </c:pt>
                <c:pt idx="279">
                  <c:v>42144</c:v>
                </c:pt>
                <c:pt idx="280">
                  <c:v>42144</c:v>
                </c:pt>
                <c:pt idx="281">
                  <c:v>42144</c:v>
                </c:pt>
                <c:pt idx="282">
                  <c:v>42144</c:v>
                </c:pt>
                <c:pt idx="283">
                  <c:v>42144</c:v>
                </c:pt>
                <c:pt idx="284">
                  <c:v>42144</c:v>
                </c:pt>
                <c:pt idx="285">
                  <c:v>42144</c:v>
                </c:pt>
                <c:pt idx="286">
                  <c:v>42144</c:v>
                </c:pt>
                <c:pt idx="287">
                  <c:v>42144</c:v>
                </c:pt>
                <c:pt idx="288">
                  <c:v>42144</c:v>
                </c:pt>
                <c:pt idx="289">
                  <c:v>42144</c:v>
                </c:pt>
                <c:pt idx="290">
                  <c:v>42144</c:v>
                </c:pt>
                <c:pt idx="291">
                  <c:v>42144</c:v>
                </c:pt>
                <c:pt idx="292">
                  <c:v>42144</c:v>
                </c:pt>
                <c:pt idx="293">
                  <c:v>42144</c:v>
                </c:pt>
                <c:pt idx="294">
                  <c:v>42144</c:v>
                </c:pt>
                <c:pt idx="295">
                  <c:v>42144</c:v>
                </c:pt>
                <c:pt idx="296">
                  <c:v>42144</c:v>
                </c:pt>
                <c:pt idx="297">
                  <c:v>42144</c:v>
                </c:pt>
                <c:pt idx="298">
                  <c:v>42144</c:v>
                </c:pt>
                <c:pt idx="299">
                  <c:v>42144</c:v>
                </c:pt>
                <c:pt idx="300">
                  <c:v>42144</c:v>
                </c:pt>
                <c:pt idx="301">
                  <c:v>42144</c:v>
                </c:pt>
                <c:pt idx="302">
                  <c:v>42144</c:v>
                </c:pt>
                <c:pt idx="303">
                  <c:v>42144</c:v>
                </c:pt>
                <c:pt idx="304">
                  <c:v>42144</c:v>
                </c:pt>
                <c:pt idx="305">
                  <c:v>42144</c:v>
                </c:pt>
                <c:pt idx="306">
                  <c:v>42144</c:v>
                </c:pt>
                <c:pt idx="307">
                  <c:v>42144</c:v>
                </c:pt>
                <c:pt idx="308">
                  <c:v>42144</c:v>
                </c:pt>
                <c:pt idx="309">
                  <c:v>42144</c:v>
                </c:pt>
                <c:pt idx="310">
                  <c:v>42144</c:v>
                </c:pt>
                <c:pt idx="311">
                  <c:v>42144</c:v>
                </c:pt>
                <c:pt idx="312">
                  <c:v>42144</c:v>
                </c:pt>
                <c:pt idx="313">
                  <c:v>42144</c:v>
                </c:pt>
                <c:pt idx="314">
                  <c:v>42144</c:v>
                </c:pt>
                <c:pt idx="315">
                  <c:v>42144</c:v>
                </c:pt>
                <c:pt idx="316">
                  <c:v>42144</c:v>
                </c:pt>
                <c:pt idx="317">
                  <c:v>42144</c:v>
                </c:pt>
                <c:pt idx="318">
                  <c:v>42144</c:v>
                </c:pt>
                <c:pt idx="319">
                  <c:v>42144</c:v>
                </c:pt>
                <c:pt idx="320">
                  <c:v>42144</c:v>
                </c:pt>
                <c:pt idx="321">
                  <c:v>42144</c:v>
                </c:pt>
                <c:pt idx="322">
                  <c:v>42144</c:v>
                </c:pt>
                <c:pt idx="323">
                  <c:v>42144</c:v>
                </c:pt>
                <c:pt idx="324">
                  <c:v>42144</c:v>
                </c:pt>
                <c:pt idx="325">
                  <c:v>42144</c:v>
                </c:pt>
                <c:pt idx="326">
                  <c:v>42144</c:v>
                </c:pt>
                <c:pt idx="327">
                  <c:v>42144</c:v>
                </c:pt>
                <c:pt idx="328">
                  <c:v>42144</c:v>
                </c:pt>
                <c:pt idx="329">
                  <c:v>42144</c:v>
                </c:pt>
                <c:pt idx="330">
                  <c:v>42144</c:v>
                </c:pt>
                <c:pt idx="331">
                  <c:v>42144</c:v>
                </c:pt>
                <c:pt idx="332">
                  <c:v>42144</c:v>
                </c:pt>
                <c:pt idx="333">
                  <c:v>42144</c:v>
                </c:pt>
                <c:pt idx="334">
                  <c:v>42144</c:v>
                </c:pt>
                <c:pt idx="335">
                  <c:v>42144</c:v>
                </c:pt>
                <c:pt idx="336">
                  <c:v>42144</c:v>
                </c:pt>
                <c:pt idx="337">
                  <c:v>42144</c:v>
                </c:pt>
                <c:pt idx="338">
                  <c:v>42144</c:v>
                </c:pt>
                <c:pt idx="339">
                  <c:v>42144</c:v>
                </c:pt>
                <c:pt idx="340">
                  <c:v>42144</c:v>
                </c:pt>
                <c:pt idx="341">
                  <c:v>42144</c:v>
                </c:pt>
                <c:pt idx="342">
                  <c:v>42144</c:v>
                </c:pt>
                <c:pt idx="343">
                  <c:v>42144</c:v>
                </c:pt>
                <c:pt idx="344">
                  <c:v>42144</c:v>
                </c:pt>
                <c:pt idx="345">
                  <c:v>42144</c:v>
                </c:pt>
                <c:pt idx="346">
                  <c:v>42144</c:v>
                </c:pt>
                <c:pt idx="347">
                  <c:v>42144</c:v>
                </c:pt>
                <c:pt idx="348">
                  <c:v>42144</c:v>
                </c:pt>
                <c:pt idx="349">
                  <c:v>42144</c:v>
                </c:pt>
                <c:pt idx="350">
                  <c:v>42144</c:v>
                </c:pt>
                <c:pt idx="351">
                  <c:v>42144</c:v>
                </c:pt>
                <c:pt idx="352">
                  <c:v>42144</c:v>
                </c:pt>
                <c:pt idx="353">
                  <c:v>42144</c:v>
                </c:pt>
                <c:pt idx="354">
                  <c:v>42144</c:v>
                </c:pt>
                <c:pt idx="355">
                  <c:v>42144</c:v>
                </c:pt>
                <c:pt idx="356">
                  <c:v>42144</c:v>
                </c:pt>
                <c:pt idx="357">
                  <c:v>42144</c:v>
                </c:pt>
                <c:pt idx="358">
                  <c:v>42144</c:v>
                </c:pt>
                <c:pt idx="359">
                  <c:v>42144</c:v>
                </c:pt>
                <c:pt idx="360">
                  <c:v>42144</c:v>
                </c:pt>
                <c:pt idx="361">
                  <c:v>42144</c:v>
                </c:pt>
                <c:pt idx="362">
                  <c:v>42144</c:v>
                </c:pt>
                <c:pt idx="363">
                  <c:v>42144</c:v>
                </c:pt>
                <c:pt idx="364">
                  <c:v>42144</c:v>
                </c:pt>
              </c:numCache>
            </c:numRef>
          </c:cat>
          <c:val>
            <c:numRef>
              <c:f>Bilan_hydrique!$R$2:$R$366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96-4B33-9EAF-E4DBFB6AB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6420575"/>
        <c:axId val="2016422975"/>
      </c:lineChart>
      <c:dateAx>
        <c:axId val="20164205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6422975"/>
        <c:crosses val="autoZero"/>
        <c:auto val="1"/>
        <c:lblOffset val="100"/>
        <c:baseTimeUnit val="days"/>
      </c:dateAx>
      <c:valAx>
        <c:axId val="201642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Irrigation (in</a:t>
                </a:r>
                <a:r>
                  <a:rPr lang="fr-FR" baseline="0"/>
                  <a:t> </a:t>
                </a:r>
                <a:r>
                  <a:rPr lang="fr-FR"/>
                  <a:t>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6420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Irrigation Cumulé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sans PV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Bilan_hydrique!$A$2:$A$366</c:f>
              <c:numCache>
                <c:formatCode>m/d/yyyy</c:formatCode>
                <c:ptCount val="365"/>
                <c:pt idx="0">
                  <c:v>42050</c:v>
                </c:pt>
                <c:pt idx="1">
                  <c:v>42051</c:v>
                </c:pt>
                <c:pt idx="2">
                  <c:v>42052</c:v>
                </c:pt>
                <c:pt idx="3">
                  <c:v>42053</c:v>
                </c:pt>
                <c:pt idx="4">
                  <c:v>42054</c:v>
                </c:pt>
                <c:pt idx="5">
                  <c:v>42055</c:v>
                </c:pt>
                <c:pt idx="6">
                  <c:v>42056</c:v>
                </c:pt>
                <c:pt idx="7">
                  <c:v>42057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42063</c:v>
                </c:pt>
                <c:pt idx="14">
                  <c:v>42064</c:v>
                </c:pt>
                <c:pt idx="15">
                  <c:v>42065</c:v>
                </c:pt>
                <c:pt idx="16">
                  <c:v>42066</c:v>
                </c:pt>
                <c:pt idx="17">
                  <c:v>42067</c:v>
                </c:pt>
                <c:pt idx="18">
                  <c:v>42068</c:v>
                </c:pt>
                <c:pt idx="19">
                  <c:v>42069</c:v>
                </c:pt>
                <c:pt idx="20">
                  <c:v>42070</c:v>
                </c:pt>
                <c:pt idx="21">
                  <c:v>42071</c:v>
                </c:pt>
                <c:pt idx="22">
                  <c:v>42072</c:v>
                </c:pt>
                <c:pt idx="23">
                  <c:v>42073</c:v>
                </c:pt>
                <c:pt idx="24">
                  <c:v>42074</c:v>
                </c:pt>
                <c:pt idx="25">
                  <c:v>42075</c:v>
                </c:pt>
                <c:pt idx="26">
                  <c:v>42076</c:v>
                </c:pt>
                <c:pt idx="27">
                  <c:v>42077</c:v>
                </c:pt>
                <c:pt idx="28">
                  <c:v>42078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42084</c:v>
                </c:pt>
                <c:pt idx="35">
                  <c:v>42085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42091</c:v>
                </c:pt>
                <c:pt idx="42">
                  <c:v>42092</c:v>
                </c:pt>
                <c:pt idx="43">
                  <c:v>42093</c:v>
                </c:pt>
                <c:pt idx="44">
                  <c:v>42094</c:v>
                </c:pt>
                <c:pt idx="45">
                  <c:v>42095</c:v>
                </c:pt>
                <c:pt idx="46">
                  <c:v>42096</c:v>
                </c:pt>
                <c:pt idx="47">
                  <c:v>42097</c:v>
                </c:pt>
                <c:pt idx="48">
                  <c:v>42098</c:v>
                </c:pt>
                <c:pt idx="49">
                  <c:v>42099</c:v>
                </c:pt>
                <c:pt idx="50">
                  <c:v>42100</c:v>
                </c:pt>
                <c:pt idx="51">
                  <c:v>42101</c:v>
                </c:pt>
                <c:pt idx="52">
                  <c:v>42102</c:v>
                </c:pt>
                <c:pt idx="53">
                  <c:v>42103</c:v>
                </c:pt>
                <c:pt idx="54">
                  <c:v>42104</c:v>
                </c:pt>
                <c:pt idx="55">
                  <c:v>42105</c:v>
                </c:pt>
                <c:pt idx="56">
                  <c:v>42106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42112</c:v>
                </c:pt>
                <c:pt idx="63">
                  <c:v>42113</c:v>
                </c:pt>
                <c:pt idx="64">
                  <c:v>42114</c:v>
                </c:pt>
                <c:pt idx="65">
                  <c:v>42115</c:v>
                </c:pt>
                <c:pt idx="66">
                  <c:v>42116</c:v>
                </c:pt>
                <c:pt idx="67">
                  <c:v>42117</c:v>
                </c:pt>
                <c:pt idx="68">
                  <c:v>42118</c:v>
                </c:pt>
                <c:pt idx="69">
                  <c:v>42119</c:v>
                </c:pt>
                <c:pt idx="70">
                  <c:v>42120</c:v>
                </c:pt>
                <c:pt idx="71">
                  <c:v>42121</c:v>
                </c:pt>
                <c:pt idx="72">
                  <c:v>42122</c:v>
                </c:pt>
                <c:pt idx="73">
                  <c:v>42123</c:v>
                </c:pt>
                <c:pt idx="74">
                  <c:v>42124</c:v>
                </c:pt>
                <c:pt idx="75">
                  <c:v>42125</c:v>
                </c:pt>
                <c:pt idx="76">
                  <c:v>42126</c:v>
                </c:pt>
                <c:pt idx="77">
                  <c:v>42127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42133</c:v>
                </c:pt>
                <c:pt idx="84">
                  <c:v>42134</c:v>
                </c:pt>
                <c:pt idx="85">
                  <c:v>42135</c:v>
                </c:pt>
                <c:pt idx="86">
                  <c:v>42136</c:v>
                </c:pt>
                <c:pt idx="87">
                  <c:v>42137</c:v>
                </c:pt>
                <c:pt idx="88">
                  <c:v>42138</c:v>
                </c:pt>
                <c:pt idx="89">
                  <c:v>42139</c:v>
                </c:pt>
                <c:pt idx="90">
                  <c:v>42140</c:v>
                </c:pt>
                <c:pt idx="91">
                  <c:v>42141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42144</c:v>
                </c:pt>
                <c:pt idx="96">
                  <c:v>42144</c:v>
                </c:pt>
                <c:pt idx="97">
                  <c:v>42144</c:v>
                </c:pt>
                <c:pt idx="98">
                  <c:v>42144</c:v>
                </c:pt>
                <c:pt idx="99">
                  <c:v>42144</c:v>
                </c:pt>
                <c:pt idx="100">
                  <c:v>42144</c:v>
                </c:pt>
                <c:pt idx="101">
                  <c:v>42144</c:v>
                </c:pt>
                <c:pt idx="102">
                  <c:v>42144</c:v>
                </c:pt>
                <c:pt idx="103">
                  <c:v>42144</c:v>
                </c:pt>
                <c:pt idx="104">
                  <c:v>42144</c:v>
                </c:pt>
                <c:pt idx="105">
                  <c:v>42144</c:v>
                </c:pt>
                <c:pt idx="106">
                  <c:v>42144</c:v>
                </c:pt>
                <c:pt idx="107">
                  <c:v>42144</c:v>
                </c:pt>
                <c:pt idx="108">
                  <c:v>42144</c:v>
                </c:pt>
                <c:pt idx="109">
                  <c:v>42144</c:v>
                </c:pt>
                <c:pt idx="110">
                  <c:v>42144</c:v>
                </c:pt>
                <c:pt idx="111">
                  <c:v>42144</c:v>
                </c:pt>
                <c:pt idx="112">
                  <c:v>42144</c:v>
                </c:pt>
                <c:pt idx="113">
                  <c:v>42144</c:v>
                </c:pt>
                <c:pt idx="114">
                  <c:v>42144</c:v>
                </c:pt>
                <c:pt idx="115">
                  <c:v>42144</c:v>
                </c:pt>
                <c:pt idx="116">
                  <c:v>42144</c:v>
                </c:pt>
                <c:pt idx="117">
                  <c:v>42144</c:v>
                </c:pt>
                <c:pt idx="118">
                  <c:v>42144</c:v>
                </c:pt>
                <c:pt idx="119">
                  <c:v>42144</c:v>
                </c:pt>
                <c:pt idx="120">
                  <c:v>42144</c:v>
                </c:pt>
                <c:pt idx="121">
                  <c:v>42144</c:v>
                </c:pt>
                <c:pt idx="122">
                  <c:v>42144</c:v>
                </c:pt>
                <c:pt idx="123">
                  <c:v>42144</c:v>
                </c:pt>
                <c:pt idx="124">
                  <c:v>42144</c:v>
                </c:pt>
                <c:pt idx="125">
                  <c:v>42144</c:v>
                </c:pt>
                <c:pt idx="126">
                  <c:v>42144</c:v>
                </c:pt>
                <c:pt idx="127">
                  <c:v>42144</c:v>
                </c:pt>
                <c:pt idx="128">
                  <c:v>42144</c:v>
                </c:pt>
                <c:pt idx="129">
                  <c:v>42144</c:v>
                </c:pt>
                <c:pt idx="130">
                  <c:v>42144</c:v>
                </c:pt>
                <c:pt idx="131">
                  <c:v>42144</c:v>
                </c:pt>
                <c:pt idx="132">
                  <c:v>42144</c:v>
                </c:pt>
                <c:pt idx="133">
                  <c:v>42144</c:v>
                </c:pt>
                <c:pt idx="134">
                  <c:v>42144</c:v>
                </c:pt>
                <c:pt idx="135">
                  <c:v>42144</c:v>
                </c:pt>
                <c:pt idx="136">
                  <c:v>42144</c:v>
                </c:pt>
                <c:pt idx="137">
                  <c:v>42144</c:v>
                </c:pt>
                <c:pt idx="138">
                  <c:v>42144</c:v>
                </c:pt>
                <c:pt idx="139">
                  <c:v>42144</c:v>
                </c:pt>
                <c:pt idx="140">
                  <c:v>42144</c:v>
                </c:pt>
                <c:pt idx="141">
                  <c:v>42144</c:v>
                </c:pt>
                <c:pt idx="142">
                  <c:v>42144</c:v>
                </c:pt>
                <c:pt idx="143">
                  <c:v>42144</c:v>
                </c:pt>
                <c:pt idx="144">
                  <c:v>42144</c:v>
                </c:pt>
                <c:pt idx="145">
                  <c:v>42144</c:v>
                </c:pt>
                <c:pt idx="146">
                  <c:v>42144</c:v>
                </c:pt>
                <c:pt idx="147">
                  <c:v>42144</c:v>
                </c:pt>
                <c:pt idx="148">
                  <c:v>42144</c:v>
                </c:pt>
                <c:pt idx="149">
                  <c:v>42144</c:v>
                </c:pt>
                <c:pt idx="150">
                  <c:v>42144</c:v>
                </c:pt>
                <c:pt idx="151">
                  <c:v>42144</c:v>
                </c:pt>
                <c:pt idx="152">
                  <c:v>42144</c:v>
                </c:pt>
                <c:pt idx="153">
                  <c:v>42144</c:v>
                </c:pt>
                <c:pt idx="154">
                  <c:v>42144</c:v>
                </c:pt>
                <c:pt idx="155">
                  <c:v>42144</c:v>
                </c:pt>
                <c:pt idx="156">
                  <c:v>42144</c:v>
                </c:pt>
                <c:pt idx="157">
                  <c:v>42144</c:v>
                </c:pt>
                <c:pt idx="158">
                  <c:v>42144</c:v>
                </c:pt>
                <c:pt idx="159">
                  <c:v>42144</c:v>
                </c:pt>
                <c:pt idx="160">
                  <c:v>42144</c:v>
                </c:pt>
                <c:pt idx="161">
                  <c:v>42144</c:v>
                </c:pt>
                <c:pt idx="162">
                  <c:v>42144</c:v>
                </c:pt>
                <c:pt idx="163">
                  <c:v>42144</c:v>
                </c:pt>
                <c:pt idx="164">
                  <c:v>42144</c:v>
                </c:pt>
                <c:pt idx="165">
                  <c:v>42144</c:v>
                </c:pt>
                <c:pt idx="166">
                  <c:v>42144</c:v>
                </c:pt>
                <c:pt idx="167">
                  <c:v>42144</c:v>
                </c:pt>
                <c:pt idx="168">
                  <c:v>42144</c:v>
                </c:pt>
                <c:pt idx="169">
                  <c:v>42144</c:v>
                </c:pt>
                <c:pt idx="170">
                  <c:v>42144</c:v>
                </c:pt>
                <c:pt idx="171">
                  <c:v>42144</c:v>
                </c:pt>
                <c:pt idx="172">
                  <c:v>42144</c:v>
                </c:pt>
                <c:pt idx="173">
                  <c:v>42144</c:v>
                </c:pt>
                <c:pt idx="174">
                  <c:v>42144</c:v>
                </c:pt>
                <c:pt idx="175">
                  <c:v>42144</c:v>
                </c:pt>
                <c:pt idx="176">
                  <c:v>42144</c:v>
                </c:pt>
                <c:pt idx="177">
                  <c:v>42144</c:v>
                </c:pt>
                <c:pt idx="178">
                  <c:v>42144</c:v>
                </c:pt>
                <c:pt idx="179">
                  <c:v>42144</c:v>
                </c:pt>
                <c:pt idx="180">
                  <c:v>42144</c:v>
                </c:pt>
                <c:pt idx="181">
                  <c:v>42144</c:v>
                </c:pt>
                <c:pt idx="182">
                  <c:v>42144</c:v>
                </c:pt>
                <c:pt idx="183">
                  <c:v>42144</c:v>
                </c:pt>
                <c:pt idx="184">
                  <c:v>42144</c:v>
                </c:pt>
                <c:pt idx="185">
                  <c:v>42144</c:v>
                </c:pt>
                <c:pt idx="186">
                  <c:v>42144</c:v>
                </c:pt>
                <c:pt idx="187">
                  <c:v>42144</c:v>
                </c:pt>
                <c:pt idx="188">
                  <c:v>42144</c:v>
                </c:pt>
                <c:pt idx="189">
                  <c:v>42144</c:v>
                </c:pt>
                <c:pt idx="190">
                  <c:v>42144</c:v>
                </c:pt>
                <c:pt idx="191">
                  <c:v>42144</c:v>
                </c:pt>
                <c:pt idx="192">
                  <c:v>42144</c:v>
                </c:pt>
                <c:pt idx="193">
                  <c:v>42144</c:v>
                </c:pt>
                <c:pt idx="194">
                  <c:v>42144</c:v>
                </c:pt>
                <c:pt idx="195">
                  <c:v>42144</c:v>
                </c:pt>
                <c:pt idx="196">
                  <c:v>42144</c:v>
                </c:pt>
                <c:pt idx="197">
                  <c:v>42144</c:v>
                </c:pt>
                <c:pt idx="198">
                  <c:v>42144</c:v>
                </c:pt>
                <c:pt idx="199">
                  <c:v>42144</c:v>
                </c:pt>
                <c:pt idx="200">
                  <c:v>42144</c:v>
                </c:pt>
                <c:pt idx="201">
                  <c:v>42144</c:v>
                </c:pt>
                <c:pt idx="202">
                  <c:v>42144</c:v>
                </c:pt>
                <c:pt idx="203">
                  <c:v>42144</c:v>
                </c:pt>
                <c:pt idx="204">
                  <c:v>42144</c:v>
                </c:pt>
                <c:pt idx="205">
                  <c:v>42144</c:v>
                </c:pt>
                <c:pt idx="206">
                  <c:v>42144</c:v>
                </c:pt>
                <c:pt idx="207">
                  <c:v>42144</c:v>
                </c:pt>
                <c:pt idx="208">
                  <c:v>42144</c:v>
                </c:pt>
                <c:pt idx="209">
                  <c:v>42144</c:v>
                </c:pt>
                <c:pt idx="210">
                  <c:v>42144</c:v>
                </c:pt>
                <c:pt idx="211">
                  <c:v>42144</c:v>
                </c:pt>
                <c:pt idx="212">
                  <c:v>42144</c:v>
                </c:pt>
                <c:pt idx="213">
                  <c:v>42144</c:v>
                </c:pt>
                <c:pt idx="214">
                  <c:v>42144</c:v>
                </c:pt>
                <c:pt idx="215">
                  <c:v>42144</c:v>
                </c:pt>
                <c:pt idx="216">
                  <c:v>42144</c:v>
                </c:pt>
                <c:pt idx="217">
                  <c:v>42144</c:v>
                </c:pt>
                <c:pt idx="218">
                  <c:v>42144</c:v>
                </c:pt>
                <c:pt idx="219">
                  <c:v>42144</c:v>
                </c:pt>
                <c:pt idx="220">
                  <c:v>42144</c:v>
                </c:pt>
                <c:pt idx="221">
                  <c:v>42144</c:v>
                </c:pt>
                <c:pt idx="222">
                  <c:v>42144</c:v>
                </c:pt>
                <c:pt idx="223">
                  <c:v>42144</c:v>
                </c:pt>
                <c:pt idx="224">
                  <c:v>42144</c:v>
                </c:pt>
                <c:pt idx="225">
                  <c:v>42144</c:v>
                </c:pt>
                <c:pt idx="226">
                  <c:v>42144</c:v>
                </c:pt>
                <c:pt idx="227">
                  <c:v>42144</c:v>
                </c:pt>
                <c:pt idx="228">
                  <c:v>42144</c:v>
                </c:pt>
                <c:pt idx="229">
                  <c:v>42144</c:v>
                </c:pt>
                <c:pt idx="230">
                  <c:v>42144</c:v>
                </c:pt>
                <c:pt idx="231">
                  <c:v>42144</c:v>
                </c:pt>
                <c:pt idx="232">
                  <c:v>42144</c:v>
                </c:pt>
                <c:pt idx="233">
                  <c:v>42144</c:v>
                </c:pt>
                <c:pt idx="234">
                  <c:v>42144</c:v>
                </c:pt>
                <c:pt idx="235">
                  <c:v>42144</c:v>
                </c:pt>
                <c:pt idx="236">
                  <c:v>42144</c:v>
                </c:pt>
                <c:pt idx="237">
                  <c:v>42144</c:v>
                </c:pt>
                <c:pt idx="238">
                  <c:v>42144</c:v>
                </c:pt>
                <c:pt idx="239">
                  <c:v>42144</c:v>
                </c:pt>
                <c:pt idx="240">
                  <c:v>42144</c:v>
                </c:pt>
                <c:pt idx="241">
                  <c:v>42144</c:v>
                </c:pt>
                <c:pt idx="242">
                  <c:v>42144</c:v>
                </c:pt>
                <c:pt idx="243">
                  <c:v>42144</c:v>
                </c:pt>
                <c:pt idx="244">
                  <c:v>42144</c:v>
                </c:pt>
                <c:pt idx="245">
                  <c:v>42144</c:v>
                </c:pt>
                <c:pt idx="246">
                  <c:v>42144</c:v>
                </c:pt>
                <c:pt idx="247">
                  <c:v>42144</c:v>
                </c:pt>
                <c:pt idx="248">
                  <c:v>42144</c:v>
                </c:pt>
                <c:pt idx="249">
                  <c:v>42144</c:v>
                </c:pt>
                <c:pt idx="250">
                  <c:v>42144</c:v>
                </c:pt>
                <c:pt idx="251">
                  <c:v>42144</c:v>
                </c:pt>
                <c:pt idx="252">
                  <c:v>42144</c:v>
                </c:pt>
                <c:pt idx="253">
                  <c:v>42144</c:v>
                </c:pt>
                <c:pt idx="254">
                  <c:v>42144</c:v>
                </c:pt>
                <c:pt idx="255">
                  <c:v>42144</c:v>
                </c:pt>
                <c:pt idx="256">
                  <c:v>42144</c:v>
                </c:pt>
                <c:pt idx="257">
                  <c:v>42144</c:v>
                </c:pt>
                <c:pt idx="258">
                  <c:v>42144</c:v>
                </c:pt>
                <c:pt idx="259">
                  <c:v>42144</c:v>
                </c:pt>
                <c:pt idx="260">
                  <c:v>42144</c:v>
                </c:pt>
                <c:pt idx="261">
                  <c:v>42144</c:v>
                </c:pt>
                <c:pt idx="262">
                  <c:v>42144</c:v>
                </c:pt>
                <c:pt idx="263">
                  <c:v>42144</c:v>
                </c:pt>
                <c:pt idx="264">
                  <c:v>42144</c:v>
                </c:pt>
                <c:pt idx="265">
                  <c:v>42144</c:v>
                </c:pt>
                <c:pt idx="266">
                  <c:v>42144</c:v>
                </c:pt>
                <c:pt idx="267">
                  <c:v>42144</c:v>
                </c:pt>
                <c:pt idx="268">
                  <c:v>42144</c:v>
                </c:pt>
                <c:pt idx="269">
                  <c:v>42144</c:v>
                </c:pt>
                <c:pt idx="270">
                  <c:v>42144</c:v>
                </c:pt>
                <c:pt idx="271">
                  <c:v>42144</c:v>
                </c:pt>
                <c:pt idx="272">
                  <c:v>42144</c:v>
                </c:pt>
                <c:pt idx="273">
                  <c:v>42144</c:v>
                </c:pt>
                <c:pt idx="274">
                  <c:v>42144</c:v>
                </c:pt>
                <c:pt idx="275">
                  <c:v>42144</c:v>
                </c:pt>
                <c:pt idx="276">
                  <c:v>42144</c:v>
                </c:pt>
                <c:pt idx="277">
                  <c:v>42144</c:v>
                </c:pt>
                <c:pt idx="278">
                  <c:v>42144</c:v>
                </c:pt>
                <c:pt idx="279">
                  <c:v>42144</c:v>
                </c:pt>
                <c:pt idx="280">
                  <c:v>42144</c:v>
                </c:pt>
                <c:pt idx="281">
                  <c:v>42144</c:v>
                </c:pt>
                <c:pt idx="282">
                  <c:v>42144</c:v>
                </c:pt>
                <c:pt idx="283">
                  <c:v>42144</c:v>
                </c:pt>
                <c:pt idx="284">
                  <c:v>42144</c:v>
                </c:pt>
                <c:pt idx="285">
                  <c:v>42144</c:v>
                </c:pt>
                <c:pt idx="286">
                  <c:v>42144</c:v>
                </c:pt>
                <c:pt idx="287">
                  <c:v>42144</c:v>
                </c:pt>
                <c:pt idx="288">
                  <c:v>42144</c:v>
                </c:pt>
                <c:pt idx="289">
                  <c:v>42144</c:v>
                </c:pt>
                <c:pt idx="290">
                  <c:v>42144</c:v>
                </c:pt>
                <c:pt idx="291">
                  <c:v>42144</c:v>
                </c:pt>
                <c:pt idx="292">
                  <c:v>42144</c:v>
                </c:pt>
                <c:pt idx="293">
                  <c:v>42144</c:v>
                </c:pt>
                <c:pt idx="294">
                  <c:v>42144</c:v>
                </c:pt>
                <c:pt idx="295">
                  <c:v>42144</c:v>
                </c:pt>
                <c:pt idx="296">
                  <c:v>42144</c:v>
                </c:pt>
                <c:pt idx="297">
                  <c:v>42144</c:v>
                </c:pt>
                <c:pt idx="298">
                  <c:v>42144</c:v>
                </c:pt>
                <c:pt idx="299">
                  <c:v>42144</c:v>
                </c:pt>
                <c:pt idx="300">
                  <c:v>42144</c:v>
                </c:pt>
                <c:pt idx="301">
                  <c:v>42144</c:v>
                </c:pt>
                <c:pt idx="302">
                  <c:v>42144</c:v>
                </c:pt>
                <c:pt idx="303">
                  <c:v>42144</c:v>
                </c:pt>
                <c:pt idx="304">
                  <c:v>42144</c:v>
                </c:pt>
                <c:pt idx="305">
                  <c:v>42144</c:v>
                </c:pt>
                <c:pt idx="306">
                  <c:v>42144</c:v>
                </c:pt>
                <c:pt idx="307">
                  <c:v>42144</c:v>
                </c:pt>
                <c:pt idx="308">
                  <c:v>42144</c:v>
                </c:pt>
                <c:pt idx="309">
                  <c:v>42144</c:v>
                </c:pt>
                <c:pt idx="310">
                  <c:v>42144</c:v>
                </c:pt>
                <c:pt idx="311">
                  <c:v>42144</c:v>
                </c:pt>
                <c:pt idx="312">
                  <c:v>42144</c:v>
                </c:pt>
                <c:pt idx="313">
                  <c:v>42144</c:v>
                </c:pt>
                <c:pt idx="314">
                  <c:v>42144</c:v>
                </c:pt>
                <c:pt idx="315">
                  <c:v>42144</c:v>
                </c:pt>
                <c:pt idx="316">
                  <c:v>42144</c:v>
                </c:pt>
                <c:pt idx="317">
                  <c:v>42144</c:v>
                </c:pt>
                <c:pt idx="318">
                  <c:v>42144</c:v>
                </c:pt>
                <c:pt idx="319">
                  <c:v>42144</c:v>
                </c:pt>
                <c:pt idx="320">
                  <c:v>42144</c:v>
                </c:pt>
                <c:pt idx="321">
                  <c:v>42144</c:v>
                </c:pt>
                <c:pt idx="322">
                  <c:v>42144</c:v>
                </c:pt>
                <c:pt idx="323">
                  <c:v>42144</c:v>
                </c:pt>
                <c:pt idx="324">
                  <c:v>42144</c:v>
                </c:pt>
                <c:pt idx="325">
                  <c:v>42144</c:v>
                </c:pt>
                <c:pt idx="326">
                  <c:v>42144</c:v>
                </c:pt>
                <c:pt idx="327">
                  <c:v>42144</c:v>
                </c:pt>
                <c:pt idx="328">
                  <c:v>42144</c:v>
                </c:pt>
                <c:pt idx="329">
                  <c:v>42144</c:v>
                </c:pt>
                <c:pt idx="330">
                  <c:v>42144</c:v>
                </c:pt>
                <c:pt idx="331">
                  <c:v>42144</c:v>
                </c:pt>
                <c:pt idx="332">
                  <c:v>42144</c:v>
                </c:pt>
                <c:pt idx="333">
                  <c:v>42144</c:v>
                </c:pt>
                <c:pt idx="334">
                  <c:v>42144</c:v>
                </c:pt>
                <c:pt idx="335">
                  <c:v>42144</c:v>
                </c:pt>
                <c:pt idx="336">
                  <c:v>42144</c:v>
                </c:pt>
                <c:pt idx="337">
                  <c:v>42144</c:v>
                </c:pt>
                <c:pt idx="338">
                  <c:v>42144</c:v>
                </c:pt>
                <c:pt idx="339">
                  <c:v>42144</c:v>
                </c:pt>
                <c:pt idx="340">
                  <c:v>42144</c:v>
                </c:pt>
                <c:pt idx="341">
                  <c:v>42144</c:v>
                </c:pt>
                <c:pt idx="342">
                  <c:v>42144</c:v>
                </c:pt>
                <c:pt idx="343">
                  <c:v>42144</c:v>
                </c:pt>
                <c:pt idx="344">
                  <c:v>42144</c:v>
                </c:pt>
                <c:pt idx="345">
                  <c:v>42144</c:v>
                </c:pt>
                <c:pt idx="346">
                  <c:v>42144</c:v>
                </c:pt>
                <c:pt idx="347">
                  <c:v>42144</c:v>
                </c:pt>
                <c:pt idx="348">
                  <c:v>42144</c:v>
                </c:pt>
                <c:pt idx="349">
                  <c:v>42144</c:v>
                </c:pt>
                <c:pt idx="350">
                  <c:v>42144</c:v>
                </c:pt>
                <c:pt idx="351">
                  <c:v>42144</c:v>
                </c:pt>
                <c:pt idx="352">
                  <c:v>42144</c:v>
                </c:pt>
                <c:pt idx="353">
                  <c:v>42144</c:v>
                </c:pt>
                <c:pt idx="354">
                  <c:v>42144</c:v>
                </c:pt>
                <c:pt idx="355">
                  <c:v>42144</c:v>
                </c:pt>
                <c:pt idx="356">
                  <c:v>42144</c:v>
                </c:pt>
                <c:pt idx="357">
                  <c:v>42144</c:v>
                </c:pt>
                <c:pt idx="358">
                  <c:v>42144</c:v>
                </c:pt>
                <c:pt idx="359">
                  <c:v>42144</c:v>
                </c:pt>
                <c:pt idx="360">
                  <c:v>42144</c:v>
                </c:pt>
                <c:pt idx="361">
                  <c:v>42144</c:v>
                </c:pt>
                <c:pt idx="362">
                  <c:v>42144</c:v>
                </c:pt>
                <c:pt idx="363">
                  <c:v>42144</c:v>
                </c:pt>
                <c:pt idx="364">
                  <c:v>42144</c:v>
                </c:pt>
              </c:numCache>
            </c:numRef>
          </c:cat>
          <c:val>
            <c:numRef>
              <c:f>Bilan_hydrique!$M$2:$M$366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7-45CD-B3FB-5C8CB4B83B7B}"/>
            </c:ext>
          </c:extLst>
        </c:ser>
        <c:ser>
          <c:idx val="1"/>
          <c:order val="1"/>
          <c:tx>
            <c:v>avec PV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Bilan_hydrique!$A$2:$A$366</c:f>
              <c:numCache>
                <c:formatCode>m/d/yyyy</c:formatCode>
                <c:ptCount val="365"/>
                <c:pt idx="0">
                  <c:v>42050</c:v>
                </c:pt>
                <c:pt idx="1">
                  <c:v>42051</c:v>
                </c:pt>
                <c:pt idx="2">
                  <c:v>42052</c:v>
                </c:pt>
                <c:pt idx="3">
                  <c:v>42053</c:v>
                </c:pt>
                <c:pt idx="4">
                  <c:v>42054</c:v>
                </c:pt>
                <c:pt idx="5">
                  <c:v>42055</c:v>
                </c:pt>
                <c:pt idx="6">
                  <c:v>42056</c:v>
                </c:pt>
                <c:pt idx="7">
                  <c:v>42057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42063</c:v>
                </c:pt>
                <c:pt idx="14">
                  <c:v>42064</c:v>
                </c:pt>
                <c:pt idx="15">
                  <c:v>42065</c:v>
                </c:pt>
                <c:pt idx="16">
                  <c:v>42066</c:v>
                </c:pt>
                <c:pt idx="17">
                  <c:v>42067</c:v>
                </c:pt>
                <c:pt idx="18">
                  <c:v>42068</c:v>
                </c:pt>
                <c:pt idx="19">
                  <c:v>42069</c:v>
                </c:pt>
                <c:pt idx="20">
                  <c:v>42070</c:v>
                </c:pt>
                <c:pt idx="21">
                  <c:v>42071</c:v>
                </c:pt>
                <c:pt idx="22">
                  <c:v>42072</c:v>
                </c:pt>
                <c:pt idx="23">
                  <c:v>42073</c:v>
                </c:pt>
                <c:pt idx="24">
                  <c:v>42074</c:v>
                </c:pt>
                <c:pt idx="25">
                  <c:v>42075</c:v>
                </c:pt>
                <c:pt idx="26">
                  <c:v>42076</c:v>
                </c:pt>
                <c:pt idx="27">
                  <c:v>42077</c:v>
                </c:pt>
                <c:pt idx="28">
                  <c:v>42078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42084</c:v>
                </c:pt>
                <c:pt idx="35">
                  <c:v>42085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42091</c:v>
                </c:pt>
                <c:pt idx="42">
                  <c:v>42092</c:v>
                </c:pt>
                <c:pt idx="43">
                  <c:v>42093</c:v>
                </c:pt>
                <c:pt idx="44">
                  <c:v>42094</c:v>
                </c:pt>
                <c:pt idx="45">
                  <c:v>42095</c:v>
                </c:pt>
                <c:pt idx="46">
                  <c:v>42096</c:v>
                </c:pt>
                <c:pt idx="47">
                  <c:v>42097</c:v>
                </c:pt>
                <c:pt idx="48">
                  <c:v>42098</c:v>
                </c:pt>
                <c:pt idx="49">
                  <c:v>42099</c:v>
                </c:pt>
                <c:pt idx="50">
                  <c:v>42100</c:v>
                </c:pt>
                <c:pt idx="51">
                  <c:v>42101</c:v>
                </c:pt>
                <c:pt idx="52">
                  <c:v>42102</c:v>
                </c:pt>
                <c:pt idx="53">
                  <c:v>42103</c:v>
                </c:pt>
                <c:pt idx="54">
                  <c:v>42104</c:v>
                </c:pt>
                <c:pt idx="55">
                  <c:v>42105</c:v>
                </c:pt>
                <c:pt idx="56">
                  <c:v>42106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42112</c:v>
                </c:pt>
                <c:pt idx="63">
                  <c:v>42113</c:v>
                </c:pt>
                <c:pt idx="64">
                  <c:v>42114</c:v>
                </c:pt>
                <c:pt idx="65">
                  <c:v>42115</c:v>
                </c:pt>
                <c:pt idx="66">
                  <c:v>42116</c:v>
                </c:pt>
                <c:pt idx="67">
                  <c:v>42117</c:v>
                </c:pt>
                <c:pt idx="68">
                  <c:v>42118</c:v>
                </c:pt>
                <c:pt idx="69">
                  <c:v>42119</c:v>
                </c:pt>
                <c:pt idx="70">
                  <c:v>42120</c:v>
                </c:pt>
                <c:pt idx="71">
                  <c:v>42121</c:v>
                </c:pt>
                <c:pt idx="72">
                  <c:v>42122</c:v>
                </c:pt>
                <c:pt idx="73">
                  <c:v>42123</c:v>
                </c:pt>
                <c:pt idx="74">
                  <c:v>42124</c:v>
                </c:pt>
                <c:pt idx="75">
                  <c:v>42125</c:v>
                </c:pt>
                <c:pt idx="76">
                  <c:v>42126</c:v>
                </c:pt>
                <c:pt idx="77">
                  <c:v>42127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42133</c:v>
                </c:pt>
                <c:pt idx="84">
                  <c:v>42134</c:v>
                </c:pt>
                <c:pt idx="85">
                  <c:v>42135</c:v>
                </c:pt>
                <c:pt idx="86">
                  <c:v>42136</c:v>
                </c:pt>
                <c:pt idx="87">
                  <c:v>42137</c:v>
                </c:pt>
                <c:pt idx="88">
                  <c:v>42138</c:v>
                </c:pt>
                <c:pt idx="89">
                  <c:v>42139</c:v>
                </c:pt>
                <c:pt idx="90">
                  <c:v>42140</c:v>
                </c:pt>
                <c:pt idx="91">
                  <c:v>42141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42144</c:v>
                </c:pt>
                <c:pt idx="96">
                  <c:v>42144</c:v>
                </c:pt>
                <c:pt idx="97">
                  <c:v>42144</c:v>
                </c:pt>
                <c:pt idx="98">
                  <c:v>42144</c:v>
                </c:pt>
                <c:pt idx="99">
                  <c:v>42144</c:v>
                </c:pt>
                <c:pt idx="100">
                  <c:v>42144</c:v>
                </c:pt>
                <c:pt idx="101">
                  <c:v>42144</c:v>
                </c:pt>
                <c:pt idx="102">
                  <c:v>42144</c:v>
                </c:pt>
                <c:pt idx="103">
                  <c:v>42144</c:v>
                </c:pt>
                <c:pt idx="104">
                  <c:v>42144</c:v>
                </c:pt>
                <c:pt idx="105">
                  <c:v>42144</c:v>
                </c:pt>
                <c:pt idx="106">
                  <c:v>42144</c:v>
                </c:pt>
                <c:pt idx="107">
                  <c:v>42144</c:v>
                </c:pt>
                <c:pt idx="108">
                  <c:v>42144</c:v>
                </c:pt>
                <c:pt idx="109">
                  <c:v>42144</c:v>
                </c:pt>
                <c:pt idx="110">
                  <c:v>42144</c:v>
                </c:pt>
                <c:pt idx="111">
                  <c:v>42144</c:v>
                </c:pt>
                <c:pt idx="112">
                  <c:v>42144</c:v>
                </c:pt>
                <c:pt idx="113">
                  <c:v>42144</c:v>
                </c:pt>
                <c:pt idx="114">
                  <c:v>42144</c:v>
                </c:pt>
                <c:pt idx="115">
                  <c:v>42144</c:v>
                </c:pt>
                <c:pt idx="116">
                  <c:v>42144</c:v>
                </c:pt>
                <c:pt idx="117">
                  <c:v>42144</c:v>
                </c:pt>
                <c:pt idx="118">
                  <c:v>42144</c:v>
                </c:pt>
                <c:pt idx="119">
                  <c:v>42144</c:v>
                </c:pt>
                <c:pt idx="120">
                  <c:v>42144</c:v>
                </c:pt>
                <c:pt idx="121">
                  <c:v>42144</c:v>
                </c:pt>
                <c:pt idx="122">
                  <c:v>42144</c:v>
                </c:pt>
                <c:pt idx="123">
                  <c:v>42144</c:v>
                </c:pt>
                <c:pt idx="124">
                  <c:v>42144</c:v>
                </c:pt>
                <c:pt idx="125">
                  <c:v>42144</c:v>
                </c:pt>
                <c:pt idx="126">
                  <c:v>42144</c:v>
                </c:pt>
                <c:pt idx="127">
                  <c:v>42144</c:v>
                </c:pt>
                <c:pt idx="128">
                  <c:v>42144</c:v>
                </c:pt>
                <c:pt idx="129">
                  <c:v>42144</c:v>
                </c:pt>
                <c:pt idx="130">
                  <c:v>42144</c:v>
                </c:pt>
                <c:pt idx="131">
                  <c:v>42144</c:v>
                </c:pt>
                <c:pt idx="132">
                  <c:v>42144</c:v>
                </c:pt>
                <c:pt idx="133">
                  <c:v>42144</c:v>
                </c:pt>
                <c:pt idx="134">
                  <c:v>42144</c:v>
                </c:pt>
                <c:pt idx="135">
                  <c:v>42144</c:v>
                </c:pt>
                <c:pt idx="136">
                  <c:v>42144</c:v>
                </c:pt>
                <c:pt idx="137">
                  <c:v>42144</c:v>
                </c:pt>
                <c:pt idx="138">
                  <c:v>42144</c:v>
                </c:pt>
                <c:pt idx="139">
                  <c:v>42144</c:v>
                </c:pt>
                <c:pt idx="140">
                  <c:v>42144</c:v>
                </c:pt>
                <c:pt idx="141">
                  <c:v>42144</c:v>
                </c:pt>
                <c:pt idx="142">
                  <c:v>42144</c:v>
                </c:pt>
                <c:pt idx="143">
                  <c:v>42144</c:v>
                </c:pt>
                <c:pt idx="144">
                  <c:v>42144</c:v>
                </c:pt>
                <c:pt idx="145">
                  <c:v>42144</c:v>
                </c:pt>
                <c:pt idx="146">
                  <c:v>42144</c:v>
                </c:pt>
                <c:pt idx="147">
                  <c:v>42144</c:v>
                </c:pt>
                <c:pt idx="148">
                  <c:v>42144</c:v>
                </c:pt>
                <c:pt idx="149">
                  <c:v>42144</c:v>
                </c:pt>
                <c:pt idx="150">
                  <c:v>42144</c:v>
                </c:pt>
                <c:pt idx="151">
                  <c:v>42144</c:v>
                </c:pt>
                <c:pt idx="152">
                  <c:v>42144</c:v>
                </c:pt>
                <c:pt idx="153">
                  <c:v>42144</c:v>
                </c:pt>
                <c:pt idx="154">
                  <c:v>42144</c:v>
                </c:pt>
                <c:pt idx="155">
                  <c:v>42144</c:v>
                </c:pt>
                <c:pt idx="156">
                  <c:v>42144</c:v>
                </c:pt>
                <c:pt idx="157">
                  <c:v>42144</c:v>
                </c:pt>
                <c:pt idx="158">
                  <c:v>42144</c:v>
                </c:pt>
                <c:pt idx="159">
                  <c:v>42144</c:v>
                </c:pt>
                <c:pt idx="160">
                  <c:v>42144</c:v>
                </c:pt>
                <c:pt idx="161">
                  <c:v>42144</c:v>
                </c:pt>
                <c:pt idx="162">
                  <c:v>42144</c:v>
                </c:pt>
                <c:pt idx="163">
                  <c:v>42144</c:v>
                </c:pt>
                <c:pt idx="164">
                  <c:v>42144</c:v>
                </c:pt>
                <c:pt idx="165">
                  <c:v>42144</c:v>
                </c:pt>
                <c:pt idx="166">
                  <c:v>42144</c:v>
                </c:pt>
                <c:pt idx="167">
                  <c:v>42144</c:v>
                </c:pt>
                <c:pt idx="168">
                  <c:v>42144</c:v>
                </c:pt>
                <c:pt idx="169">
                  <c:v>42144</c:v>
                </c:pt>
                <c:pt idx="170">
                  <c:v>42144</c:v>
                </c:pt>
                <c:pt idx="171">
                  <c:v>42144</c:v>
                </c:pt>
                <c:pt idx="172">
                  <c:v>42144</c:v>
                </c:pt>
                <c:pt idx="173">
                  <c:v>42144</c:v>
                </c:pt>
                <c:pt idx="174">
                  <c:v>42144</c:v>
                </c:pt>
                <c:pt idx="175">
                  <c:v>42144</c:v>
                </c:pt>
                <c:pt idx="176">
                  <c:v>42144</c:v>
                </c:pt>
                <c:pt idx="177">
                  <c:v>42144</c:v>
                </c:pt>
                <c:pt idx="178">
                  <c:v>42144</c:v>
                </c:pt>
                <c:pt idx="179">
                  <c:v>42144</c:v>
                </c:pt>
                <c:pt idx="180">
                  <c:v>42144</c:v>
                </c:pt>
                <c:pt idx="181">
                  <c:v>42144</c:v>
                </c:pt>
                <c:pt idx="182">
                  <c:v>42144</c:v>
                </c:pt>
                <c:pt idx="183">
                  <c:v>42144</c:v>
                </c:pt>
                <c:pt idx="184">
                  <c:v>42144</c:v>
                </c:pt>
                <c:pt idx="185">
                  <c:v>42144</c:v>
                </c:pt>
                <c:pt idx="186">
                  <c:v>42144</c:v>
                </c:pt>
                <c:pt idx="187">
                  <c:v>42144</c:v>
                </c:pt>
                <c:pt idx="188">
                  <c:v>42144</c:v>
                </c:pt>
                <c:pt idx="189">
                  <c:v>42144</c:v>
                </c:pt>
                <c:pt idx="190">
                  <c:v>42144</c:v>
                </c:pt>
                <c:pt idx="191">
                  <c:v>42144</c:v>
                </c:pt>
                <c:pt idx="192">
                  <c:v>42144</c:v>
                </c:pt>
                <c:pt idx="193">
                  <c:v>42144</c:v>
                </c:pt>
                <c:pt idx="194">
                  <c:v>42144</c:v>
                </c:pt>
                <c:pt idx="195">
                  <c:v>42144</c:v>
                </c:pt>
                <c:pt idx="196">
                  <c:v>42144</c:v>
                </c:pt>
                <c:pt idx="197">
                  <c:v>42144</c:v>
                </c:pt>
                <c:pt idx="198">
                  <c:v>42144</c:v>
                </c:pt>
                <c:pt idx="199">
                  <c:v>42144</c:v>
                </c:pt>
                <c:pt idx="200">
                  <c:v>42144</c:v>
                </c:pt>
                <c:pt idx="201">
                  <c:v>42144</c:v>
                </c:pt>
                <c:pt idx="202">
                  <c:v>42144</c:v>
                </c:pt>
                <c:pt idx="203">
                  <c:v>42144</c:v>
                </c:pt>
                <c:pt idx="204">
                  <c:v>42144</c:v>
                </c:pt>
                <c:pt idx="205">
                  <c:v>42144</c:v>
                </c:pt>
                <c:pt idx="206">
                  <c:v>42144</c:v>
                </c:pt>
                <c:pt idx="207">
                  <c:v>42144</c:v>
                </c:pt>
                <c:pt idx="208">
                  <c:v>42144</c:v>
                </c:pt>
                <c:pt idx="209">
                  <c:v>42144</c:v>
                </c:pt>
                <c:pt idx="210">
                  <c:v>42144</c:v>
                </c:pt>
                <c:pt idx="211">
                  <c:v>42144</c:v>
                </c:pt>
                <c:pt idx="212">
                  <c:v>42144</c:v>
                </c:pt>
                <c:pt idx="213">
                  <c:v>42144</c:v>
                </c:pt>
                <c:pt idx="214">
                  <c:v>42144</c:v>
                </c:pt>
                <c:pt idx="215">
                  <c:v>42144</c:v>
                </c:pt>
                <c:pt idx="216">
                  <c:v>42144</c:v>
                </c:pt>
                <c:pt idx="217">
                  <c:v>42144</c:v>
                </c:pt>
                <c:pt idx="218">
                  <c:v>42144</c:v>
                </c:pt>
                <c:pt idx="219">
                  <c:v>42144</c:v>
                </c:pt>
                <c:pt idx="220">
                  <c:v>42144</c:v>
                </c:pt>
                <c:pt idx="221">
                  <c:v>42144</c:v>
                </c:pt>
                <c:pt idx="222">
                  <c:v>42144</c:v>
                </c:pt>
                <c:pt idx="223">
                  <c:v>42144</c:v>
                </c:pt>
                <c:pt idx="224">
                  <c:v>42144</c:v>
                </c:pt>
                <c:pt idx="225">
                  <c:v>42144</c:v>
                </c:pt>
                <c:pt idx="226">
                  <c:v>42144</c:v>
                </c:pt>
                <c:pt idx="227">
                  <c:v>42144</c:v>
                </c:pt>
                <c:pt idx="228">
                  <c:v>42144</c:v>
                </c:pt>
                <c:pt idx="229">
                  <c:v>42144</c:v>
                </c:pt>
                <c:pt idx="230">
                  <c:v>42144</c:v>
                </c:pt>
                <c:pt idx="231">
                  <c:v>42144</c:v>
                </c:pt>
                <c:pt idx="232">
                  <c:v>42144</c:v>
                </c:pt>
                <c:pt idx="233">
                  <c:v>42144</c:v>
                </c:pt>
                <c:pt idx="234">
                  <c:v>42144</c:v>
                </c:pt>
                <c:pt idx="235">
                  <c:v>42144</c:v>
                </c:pt>
                <c:pt idx="236">
                  <c:v>42144</c:v>
                </c:pt>
                <c:pt idx="237">
                  <c:v>42144</c:v>
                </c:pt>
                <c:pt idx="238">
                  <c:v>42144</c:v>
                </c:pt>
                <c:pt idx="239">
                  <c:v>42144</c:v>
                </c:pt>
                <c:pt idx="240">
                  <c:v>42144</c:v>
                </c:pt>
                <c:pt idx="241">
                  <c:v>42144</c:v>
                </c:pt>
                <c:pt idx="242">
                  <c:v>42144</c:v>
                </c:pt>
                <c:pt idx="243">
                  <c:v>42144</c:v>
                </c:pt>
                <c:pt idx="244">
                  <c:v>42144</c:v>
                </c:pt>
                <c:pt idx="245">
                  <c:v>42144</c:v>
                </c:pt>
                <c:pt idx="246">
                  <c:v>42144</c:v>
                </c:pt>
                <c:pt idx="247">
                  <c:v>42144</c:v>
                </c:pt>
                <c:pt idx="248">
                  <c:v>42144</c:v>
                </c:pt>
                <c:pt idx="249">
                  <c:v>42144</c:v>
                </c:pt>
                <c:pt idx="250">
                  <c:v>42144</c:v>
                </c:pt>
                <c:pt idx="251">
                  <c:v>42144</c:v>
                </c:pt>
                <c:pt idx="252">
                  <c:v>42144</c:v>
                </c:pt>
                <c:pt idx="253">
                  <c:v>42144</c:v>
                </c:pt>
                <c:pt idx="254">
                  <c:v>42144</c:v>
                </c:pt>
                <c:pt idx="255">
                  <c:v>42144</c:v>
                </c:pt>
                <c:pt idx="256">
                  <c:v>42144</c:v>
                </c:pt>
                <c:pt idx="257">
                  <c:v>42144</c:v>
                </c:pt>
                <c:pt idx="258">
                  <c:v>42144</c:v>
                </c:pt>
                <c:pt idx="259">
                  <c:v>42144</c:v>
                </c:pt>
                <c:pt idx="260">
                  <c:v>42144</c:v>
                </c:pt>
                <c:pt idx="261">
                  <c:v>42144</c:v>
                </c:pt>
                <c:pt idx="262">
                  <c:v>42144</c:v>
                </c:pt>
                <c:pt idx="263">
                  <c:v>42144</c:v>
                </c:pt>
                <c:pt idx="264">
                  <c:v>42144</c:v>
                </c:pt>
                <c:pt idx="265">
                  <c:v>42144</c:v>
                </c:pt>
                <c:pt idx="266">
                  <c:v>42144</c:v>
                </c:pt>
                <c:pt idx="267">
                  <c:v>42144</c:v>
                </c:pt>
                <c:pt idx="268">
                  <c:v>42144</c:v>
                </c:pt>
                <c:pt idx="269">
                  <c:v>42144</c:v>
                </c:pt>
                <c:pt idx="270">
                  <c:v>42144</c:v>
                </c:pt>
                <c:pt idx="271">
                  <c:v>42144</c:v>
                </c:pt>
                <c:pt idx="272">
                  <c:v>42144</c:v>
                </c:pt>
                <c:pt idx="273">
                  <c:v>42144</c:v>
                </c:pt>
                <c:pt idx="274">
                  <c:v>42144</c:v>
                </c:pt>
                <c:pt idx="275">
                  <c:v>42144</c:v>
                </c:pt>
                <c:pt idx="276">
                  <c:v>42144</c:v>
                </c:pt>
                <c:pt idx="277">
                  <c:v>42144</c:v>
                </c:pt>
                <c:pt idx="278">
                  <c:v>42144</c:v>
                </c:pt>
                <c:pt idx="279">
                  <c:v>42144</c:v>
                </c:pt>
                <c:pt idx="280">
                  <c:v>42144</c:v>
                </c:pt>
                <c:pt idx="281">
                  <c:v>42144</c:v>
                </c:pt>
                <c:pt idx="282">
                  <c:v>42144</c:v>
                </c:pt>
                <c:pt idx="283">
                  <c:v>42144</c:v>
                </c:pt>
                <c:pt idx="284">
                  <c:v>42144</c:v>
                </c:pt>
                <c:pt idx="285">
                  <c:v>42144</c:v>
                </c:pt>
                <c:pt idx="286">
                  <c:v>42144</c:v>
                </c:pt>
                <c:pt idx="287">
                  <c:v>42144</c:v>
                </c:pt>
                <c:pt idx="288">
                  <c:v>42144</c:v>
                </c:pt>
                <c:pt idx="289">
                  <c:v>42144</c:v>
                </c:pt>
                <c:pt idx="290">
                  <c:v>42144</c:v>
                </c:pt>
                <c:pt idx="291">
                  <c:v>42144</c:v>
                </c:pt>
                <c:pt idx="292">
                  <c:v>42144</c:v>
                </c:pt>
                <c:pt idx="293">
                  <c:v>42144</c:v>
                </c:pt>
                <c:pt idx="294">
                  <c:v>42144</c:v>
                </c:pt>
                <c:pt idx="295">
                  <c:v>42144</c:v>
                </c:pt>
                <c:pt idx="296">
                  <c:v>42144</c:v>
                </c:pt>
                <c:pt idx="297">
                  <c:v>42144</c:v>
                </c:pt>
                <c:pt idx="298">
                  <c:v>42144</c:v>
                </c:pt>
                <c:pt idx="299">
                  <c:v>42144</c:v>
                </c:pt>
                <c:pt idx="300">
                  <c:v>42144</c:v>
                </c:pt>
                <c:pt idx="301">
                  <c:v>42144</c:v>
                </c:pt>
                <c:pt idx="302">
                  <c:v>42144</c:v>
                </c:pt>
                <c:pt idx="303">
                  <c:v>42144</c:v>
                </c:pt>
                <c:pt idx="304">
                  <c:v>42144</c:v>
                </c:pt>
                <c:pt idx="305">
                  <c:v>42144</c:v>
                </c:pt>
                <c:pt idx="306">
                  <c:v>42144</c:v>
                </c:pt>
                <c:pt idx="307">
                  <c:v>42144</c:v>
                </c:pt>
                <c:pt idx="308">
                  <c:v>42144</c:v>
                </c:pt>
                <c:pt idx="309">
                  <c:v>42144</c:v>
                </c:pt>
                <c:pt idx="310">
                  <c:v>42144</c:v>
                </c:pt>
                <c:pt idx="311">
                  <c:v>42144</c:v>
                </c:pt>
                <c:pt idx="312">
                  <c:v>42144</c:v>
                </c:pt>
                <c:pt idx="313">
                  <c:v>42144</c:v>
                </c:pt>
                <c:pt idx="314">
                  <c:v>42144</c:v>
                </c:pt>
                <c:pt idx="315">
                  <c:v>42144</c:v>
                </c:pt>
                <c:pt idx="316">
                  <c:v>42144</c:v>
                </c:pt>
                <c:pt idx="317">
                  <c:v>42144</c:v>
                </c:pt>
                <c:pt idx="318">
                  <c:v>42144</c:v>
                </c:pt>
                <c:pt idx="319">
                  <c:v>42144</c:v>
                </c:pt>
                <c:pt idx="320">
                  <c:v>42144</c:v>
                </c:pt>
                <c:pt idx="321">
                  <c:v>42144</c:v>
                </c:pt>
                <c:pt idx="322">
                  <c:v>42144</c:v>
                </c:pt>
                <c:pt idx="323">
                  <c:v>42144</c:v>
                </c:pt>
                <c:pt idx="324">
                  <c:v>42144</c:v>
                </c:pt>
                <c:pt idx="325">
                  <c:v>42144</c:v>
                </c:pt>
                <c:pt idx="326">
                  <c:v>42144</c:v>
                </c:pt>
                <c:pt idx="327">
                  <c:v>42144</c:v>
                </c:pt>
                <c:pt idx="328">
                  <c:v>42144</c:v>
                </c:pt>
                <c:pt idx="329">
                  <c:v>42144</c:v>
                </c:pt>
                <c:pt idx="330">
                  <c:v>42144</c:v>
                </c:pt>
                <c:pt idx="331">
                  <c:v>42144</c:v>
                </c:pt>
                <c:pt idx="332">
                  <c:v>42144</c:v>
                </c:pt>
                <c:pt idx="333">
                  <c:v>42144</c:v>
                </c:pt>
                <c:pt idx="334">
                  <c:v>42144</c:v>
                </c:pt>
                <c:pt idx="335">
                  <c:v>42144</c:v>
                </c:pt>
                <c:pt idx="336">
                  <c:v>42144</c:v>
                </c:pt>
                <c:pt idx="337">
                  <c:v>42144</c:v>
                </c:pt>
                <c:pt idx="338">
                  <c:v>42144</c:v>
                </c:pt>
                <c:pt idx="339">
                  <c:v>42144</c:v>
                </c:pt>
                <c:pt idx="340">
                  <c:v>42144</c:v>
                </c:pt>
                <c:pt idx="341">
                  <c:v>42144</c:v>
                </c:pt>
                <c:pt idx="342">
                  <c:v>42144</c:v>
                </c:pt>
                <c:pt idx="343">
                  <c:v>42144</c:v>
                </c:pt>
                <c:pt idx="344">
                  <c:v>42144</c:v>
                </c:pt>
                <c:pt idx="345">
                  <c:v>42144</c:v>
                </c:pt>
                <c:pt idx="346">
                  <c:v>42144</c:v>
                </c:pt>
                <c:pt idx="347">
                  <c:v>42144</c:v>
                </c:pt>
                <c:pt idx="348">
                  <c:v>42144</c:v>
                </c:pt>
                <c:pt idx="349">
                  <c:v>42144</c:v>
                </c:pt>
                <c:pt idx="350">
                  <c:v>42144</c:v>
                </c:pt>
                <c:pt idx="351">
                  <c:v>42144</c:v>
                </c:pt>
                <c:pt idx="352">
                  <c:v>42144</c:v>
                </c:pt>
                <c:pt idx="353">
                  <c:v>42144</c:v>
                </c:pt>
                <c:pt idx="354">
                  <c:v>42144</c:v>
                </c:pt>
                <c:pt idx="355">
                  <c:v>42144</c:v>
                </c:pt>
                <c:pt idx="356">
                  <c:v>42144</c:v>
                </c:pt>
                <c:pt idx="357">
                  <c:v>42144</c:v>
                </c:pt>
                <c:pt idx="358">
                  <c:v>42144</c:v>
                </c:pt>
                <c:pt idx="359">
                  <c:v>42144</c:v>
                </c:pt>
                <c:pt idx="360">
                  <c:v>42144</c:v>
                </c:pt>
                <c:pt idx="361">
                  <c:v>42144</c:v>
                </c:pt>
                <c:pt idx="362">
                  <c:v>42144</c:v>
                </c:pt>
                <c:pt idx="363">
                  <c:v>42144</c:v>
                </c:pt>
                <c:pt idx="364">
                  <c:v>42144</c:v>
                </c:pt>
              </c:numCache>
            </c:numRef>
          </c:cat>
          <c:val>
            <c:numRef>
              <c:f>Bilan_hydrique!$R$2:$R$366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17-45CD-B3FB-5C8CB4B83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6420575"/>
        <c:axId val="2016422975"/>
      </c:lineChart>
      <c:dateAx>
        <c:axId val="20164205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6422975"/>
        <c:crosses val="autoZero"/>
        <c:auto val="1"/>
        <c:lblOffset val="100"/>
        <c:baseTimeUnit val="days"/>
      </c:dateAx>
      <c:valAx>
        <c:axId val="201642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Irrigation (in</a:t>
                </a:r>
                <a:r>
                  <a:rPr lang="fr-FR" baseline="0"/>
                  <a:t> </a:t>
                </a:r>
                <a:r>
                  <a:rPr lang="fr-FR"/>
                  <a:t>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6420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de l'eau utile avec ou sans photovoltaïque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916674972590438E-2"/>
          <c:y val="0.10957850540621052"/>
          <c:w val="0.77452506727798265"/>
          <c:h val="0.67527497249438295"/>
        </c:manualLayout>
      </c:layout>
      <c:lineChart>
        <c:grouping val="standard"/>
        <c:varyColors val="0"/>
        <c:ser>
          <c:idx val="0"/>
          <c:order val="0"/>
          <c:tx>
            <c:v>without PV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Bilan_hydrique!$A$2:$A$366</c:f>
              <c:numCache>
                <c:formatCode>m/d/yyyy</c:formatCode>
                <c:ptCount val="365"/>
                <c:pt idx="0">
                  <c:v>42050</c:v>
                </c:pt>
                <c:pt idx="1">
                  <c:v>42051</c:v>
                </c:pt>
                <c:pt idx="2">
                  <c:v>42052</c:v>
                </c:pt>
                <c:pt idx="3">
                  <c:v>42053</c:v>
                </c:pt>
                <c:pt idx="4">
                  <c:v>42054</c:v>
                </c:pt>
                <c:pt idx="5">
                  <c:v>42055</c:v>
                </c:pt>
                <c:pt idx="6">
                  <c:v>42056</c:v>
                </c:pt>
                <c:pt idx="7">
                  <c:v>42057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42063</c:v>
                </c:pt>
                <c:pt idx="14">
                  <c:v>42064</c:v>
                </c:pt>
                <c:pt idx="15">
                  <c:v>42065</c:v>
                </c:pt>
                <c:pt idx="16">
                  <c:v>42066</c:v>
                </c:pt>
                <c:pt idx="17">
                  <c:v>42067</c:v>
                </c:pt>
                <c:pt idx="18">
                  <c:v>42068</c:v>
                </c:pt>
                <c:pt idx="19">
                  <c:v>42069</c:v>
                </c:pt>
                <c:pt idx="20">
                  <c:v>42070</c:v>
                </c:pt>
                <c:pt idx="21">
                  <c:v>42071</c:v>
                </c:pt>
                <c:pt idx="22">
                  <c:v>42072</c:v>
                </c:pt>
                <c:pt idx="23">
                  <c:v>42073</c:v>
                </c:pt>
                <c:pt idx="24">
                  <c:v>42074</c:v>
                </c:pt>
                <c:pt idx="25">
                  <c:v>42075</c:v>
                </c:pt>
                <c:pt idx="26">
                  <c:v>42076</c:v>
                </c:pt>
                <c:pt idx="27">
                  <c:v>42077</c:v>
                </c:pt>
                <c:pt idx="28">
                  <c:v>42078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42084</c:v>
                </c:pt>
                <c:pt idx="35">
                  <c:v>42085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42091</c:v>
                </c:pt>
                <c:pt idx="42">
                  <c:v>42092</c:v>
                </c:pt>
                <c:pt idx="43">
                  <c:v>42093</c:v>
                </c:pt>
                <c:pt idx="44">
                  <c:v>42094</c:v>
                </c:pt>
                <c:pt idx="45">
                  <c:v>42095</c:v>
                </c:pt>
                <c:pt idx="46">
                  <c:v>42096</c:v>
                </c:pt>
                <c:pt idx="47">
                  <c:v>42097</c:v>
                </c:pt>
                <c:pt idx="48">
                  <c:v>42098</c:v>
                </c:pt>
                <c:pt idx="49">
                  <c:v>42099</c:v>
                </c:pt>
                <c:pt idx="50">
                  <c:v>42100</c:v>
                </c:pt>
                <c:pt idx="51">
                  <c:v>42101</c:v>
                </c:pt>
                <c:pt idx="52">
                  <c:v>42102</c:v>
                </c:pt>
                <c:pt idx="53">
                  <c:v>42103</c:v>
                </c:pt>
                <c:pt idx="54">
                  <c:v>42104</c:v>
                </c:pt>
                <c:pt idx="55">
                  <c:v>42105</c:v>
                </c:pt>
                <c:pt idx="56">
                  <c:v>42106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42112</c:v>
                </c:pt>
                <c:pt idx="63">
                  <c:v>42113</c:v>
                </c:pt>
                <c:pt idx="64">
                  <c:v>42114</c:v>
                </c:pt>
                <c:pt idx="65">
                  <c:v>42115</c:v>
                </c:pt>
                <c:pt idx="66">
                  <c:v>42116</c:v>
                </c:pt>
                <c:pt idx="67">
                  <c:v>42117</c:v>
                </c:pt>
                <c:pt idx="68">
                  <c:v>42118</c:v>
                </c:pt>
                <c:pt idx="69">
                  <c:v>42119</c:v>
                </c:pt>
                <c:pt idx="70">
                  <c:v>42120</c:v>
                </c:pt>
                <c:pt idx="71">
                  <c:v>42121</c:v>
                </c:pt>
                <c:pt idx="72">
                  <c:v>42122</c:v>
                </c:pt>
                <c:pt idx="73">
                  <c:v>42123</c:v>
                </c:pt>
                <c:pt idx="74">
                  <c:v>42124</c:v>
                </c:pt>
                <c:pt idx="75">
                  <c:v>42125</c:v>
                </c:pt>
                <c:pt idx="76">
                  <c:v>42126</c:v>
                </c:pt>
                <c:pt idx="77">
                  <c:v>42127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42133</c:v>
                </c:pt>
                <c:pt idx="84">
                  <c:v>42134</c:v>
                </c:pt>
                <c:pt idx="85">
                  <c:v>42135</c:v>
                </c:pt>
                <c:pt idx="86">
                  <c:v>42136</c:v>
                </c:pt>
                <c:pt idx="87">
                  <c:v>42137</c:v>
                </c:pt>
                <c:pt idx="88">
                  <c:v>42138</c:v>
                </c:pt>
                <c:pt idx="89">
                  <c:v>42139</c:v>
                </c:pt>
                <c:pt idx="90">
                  <c:v>42140</c:v>
                </c:pt>
                <c:pt idx="91">
                  <c:v>42141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42144</c:v>
                </c:pt>
                <c:pt idx="96">
                  <c:v>42144</c:v>
                </c:pt>
                <c:pt idx="97">
                  <c:v>42144</c:v>
                </c:pt>
                <c:pt idx="98">
                  <c:v>42144</c:v>
                </c:pt>
                <c:pt idx="99">
                  <c:v>42144</c:v>
                </c:pt>
                <c:pt idx="100">
                  <c:v>42144</c:v>
                </c:pt>
                <c:pt idx="101">
                  <c:v>42144</c:v>
                </c:pt>
                <c:pt idx="102">
                  <c:v>42144</c:v>
                </c:pt>
                <c:pt idx="103">
                  <c:v>42144</c:v>
                </c:pt>
                <c:pt idx="104">
                  <c:v>42144</c:v>
                </c:pt>
                <c:pt idx="105">
                  <c:v>42144</c:v>
                </c:pt>
                <c:pt idx="106">
                  <c:v>42144</c:v>
                </c:pt>
                <c:pt idx="107">
                  <c:v>42144</c:v>
                </c:pt>
                <c:pt idx="108">
                  <c:v>42144</c:v>
                </c:pt>
                <c:pt idx="109">
                  <c:v>42144</c:v>
                </c:pt>
                <c:pt idx="110">
                  <c:v>42144</c:v>
                </c:pt>
                <c:pt idx="111">
                  <c:v>42144</c:v>
                </c:pt>
                <c:pt idx="112">
                  <c:v>42144</c:v>
                </c:pt>
                <c:pt idx="113">
                  <c:v>42144</c:v>
                </c:pt>
                <c:pt idx="114">
                  <c:v>42144</c:v>
                </c:pt>
                <c:pt idx="115">
                  <c:v>42144</c:v>
                </c:pt>
                <c:pt idx="116">
                  <c:v>42144</c:v>
                </c:pt>
                <c:pt idx="117">
                  <c:v>42144</c:v>
                </c:pt>
                <c:pt idx="118">
                  <c:v>42144</c:v>
                </c:pt>
                <c:pt idx="119">
                  <c:v>42144</c:v>
                </c:pt>
                <c:pt idx="120">
                  <c:v>42144</c:v>
                </c:pt>
                <c:pt idx="121">
                  <c:v>42144</c:v>
                </c:pt>
                <c:pt idx="122">
                  <c:v>42144</c:v>
                </c:pt>
                <c:pt idx="123">
                  <c:v>42144</c:v>
                </c:pt>
                <c:pt idx="124">
                  <c:v>42144</c:v>
                </c:pt>
                <c:pt idx="125">
                  <c:v>42144</c:v>
                </c:pt>
                <c:pt idx="126">
                  <c:v>42144</c:v>
                </c:pt>
                <c:pt idx="127">
                  <c:v>42144</c:v>
                </c:pt>
                <c:pt idx="128">
                  <c:v>42144</c:v>
                </c:pt>
                <c:pt idx="129">
                  <c:v>42144</c:v>
                </c:pt>
                <c:pt idx="130">
                  <c:v>42144</c:v>
                </c:pt>
                <c:pt idx="131">
                  <c:v>42144</c:v>
                </c:pt>
                <c:pt idx="132">
                  <c:v>42144</c:v>
                </c:pt>
                <c:pt idx="133">
                  <c:v>42144</c:v>
                </c:pt>
                <c:pt idx="134">
                  <c:v>42144</c:v>
                </c:pt>
                <c:pt idx="135">
                  <c:v>42144</c:v>
                </c:pt>
                <c:pt idx="136">
                  <c:v>42144</c:v>
                </c:pt>
                <c:pt idx="137">
                  <c:v>42144</c:v>
                </c:pt>
                <c:pt idx="138">
                  <c:v>42144</c:v>
                </c:pt>
                <c:pt idx="139">
                  <c:v>42144</c:v>
                </c:pt>
                <c:pt idx="140">
                  <c:v>42144</c:v>
                </c:pt>
                <c:pt idx="141">
                  <c:v>42144</c:v>
                </c:pt>
                <c:pt idx="142">
                  <c:v>42144</c:v>
                </c:pt>
                <c:pt idx="143">
                  <c:v>42144</c:v>
                </c:pt>
                <c:pt idx="144">
                  <c:v>42144</c:v>
                </c:pt>
                <c:pt idx="145">
                  <c:v>42144</c:v>
                </c:pt>
                <c:pt idx="146">
                  <c:v>42144</c:v>
                </c:pt>
                <c:pt idx="147">
                  <c:v>42144</c:v>
                </c:pt>
                <c:pt idx="148">
                  <c:v>42144</c:v>
                </c:pt>
                <c:pt idx="149">
                  <c:v>42144</c:v>
                </c:pt>
                <c:pt idx="150">
                  <c:v>42144</c:v>
                </c:pt>
                <c:pt idx="151">
                  <c:v>42144</c:v>
                </c:pt>
                <c:pt idx="152">
                  <c:v>42144</c:v>
                </c:pt>
                <c:pt idx="153">
                  <c:v>42144</c:v>
                </c:pt>
                <c:pt idx="154">
                  <c:v>42144</c:v>
                </c:pt>
                <c:pt idx="155">
                  <c:v>42144</c:v>
                </c:pt>
                <c:pt idx="156">
                  <c:v>42144</c:v>
                </c:pt>
                <c:pt idx="157">
                  <c:v>42144</c:v>
                </c:pt>
                <c:pt idx="158">
                  <c:v>42144</c:v>
                </c:pt>
                <c:pt idx="159">
                  <c:v>42144</c:v>
                </c:pt>
                <c:pt idx="160">
                  <c:v>42144</c:v>
                </c:pt>
                <c:pt idx="161">
                  <c:v>42144</c:v>
                </c:pt>
                <c:pt idx="162">
                  <c:v>42144</c:v>
                </c:pt>
                <c:pt idx="163">
                  <c:v>42144</c:v>
                </c:pt>
                <c:pt idx="164">
                  <c:v>42144</c:v>
                </c:pt>
                <c:pt idx="165">
                  <c:v>42144</c:v>
                </c:pt>
                <c:pt idx="166">
                  <c:v>42144</c:v>
                </c:pt>
                <c:pt idx="167">
                  <c:v>42144</c:v>
                </c:pt>
                <c:pt idx="168">
                  <c:v>42144</c:v>
                </c:pt>
                <c:pt idx="169">
                  <c:v>42144</c:v>
                </c:pt>
                <c:pt idx="170">
                  <c:v>42144</c:v>
                </c:pt>
                <c:pt idx="171">
                  <c:v>42144</c:v>
                </c:pt>
                <c:pt idx="172">
                  <c:v>42144</c:v>
                </c:pt>
                <c:pt idx="173">
                  <c:v>42144</c:v>
                </c:pt>
                <c:pt idx="174">
                  <c:v>42144</c:v>
                </c:pt>
                <c:pt idx="175">
                  <c:v>42144</c:v>
                </c:pt>
                <c:pt idx="176">
                  <c:v>42144</c:v>
                </c:pt>
                <c:pt idx="177">
                  <c:v>42144</c:v>
                </c:pt>
                <c:pt idx="178">
                  <c:v>42144</c:v>
                </c:pt>
                <c:pt idx="179">
                  <c:v>42144</c:v>
                </c:pt>
                <c:pt idx="180">
                  <c:v>42144</c:v>
                </c:pt>
                <c:pt idx="181">
                  <c:v>42144</c:v>
                </c:pt>
                <c:pt idx="182">
                  <c:v>42144</c:v>
                </c:pt>
                <c:pt idx="183">
                  <c:v>42144</c:v>
                </c:pt>
                <c:pt idx="184">
                  <c:v>42144</c:v>
                </c:pt>
                <c:pt idx="185">
                  <c:v>42144</c:v>
                </c:pt>
                <c:pt idx="186">
                  <c:v>42144</c:v>
                </c:pt>
                <c:pt idx="187">
                  <c:v>42144</c:v>
                </c:pt>
                <c:pt idx="188">
                  <c:v>42144</c:v>
                </c:pt>
                <c:pt idx="189">
                  <c:v>42144</c:v>
                </c:pt>
                <c:pt idx="190">
                  <c:v>42144</c:v>
                </c:pt>
                <c:pt idx="191">
                  <c:v>42144</c:v>
                </c:pt>
                <c:pt idx="192">
                  <c:v>42144</c:v>
                </c:pt>
                <c:pt idx="193">
                  <c:v>42144</c:v>
                </c:pt>
                <c:pt idx="194">
                  <c:v>42144</c:v>
                </c:pt>
                <c:pt idx="195">
                  <c:v>42144</c:v>
                </c:pt>
                <c:pt idx="196">
                  <c:v>42144</c:v>
                </c:pt>
                <c:pt idx="197">
                  <c:v>42144</c:v>
                </c:pt>
                <c:pt idx="198">
                  <c:v>42144</c:v>
                </c:pt>
                <c:pt idx="199">
                  <c:v>42144</c:v>
                </c:pt>
                <c:pt idx="200">
                  <c:v>42144</c:v>
                </c:pt>
                <c:pt idx="201">
                  <c:v>42144</c:v>
                </c:pt>
                <c:pt idx="202">
                  <c:v>42144</c:v>
                </c:pt>
                <c:pt idx="203">
                  <c:v>42144</c:v>
                </c:pt>
                <c:pt idx="204">
                  <c:v>42144</c:v>
                </c:pt>
                <c:pt idx="205">
                  <c:v>42144</c:v>
                </c:pt>
                <c:pt idx="206">
                  <c:v>42144</c:v>
                </c:pt>
                <c:pt idx="207">
                  <c:v>42144</c:v>
                </c:pt>
                <c:pt idx="208">
                  <c:v>42144</c:v>
                </c:pt>
                <c:pt idx="209">
                  <c:v>42144</c:v>
                </c:pt>
                <c:pt idx="210">
                  <c:v>42144</c:v>
                </c:pt>
                <c:pt idx="211">
                  <c:v>42144</c:v>
                </c:pt>
                <c:pt idx="212">
                  <c:v>42144</c:v>
                </c:pt>
                <c:pt idx="213">
                  <c:v>42144</c:v>
                </c:pt>
                <c:pt idx="214">
                  <c:v>42144</c:v>
                </c:pt>
                <c:pt idx="215">
                  <c:v>42144</c:v>
                </c:pt>
                <c:pt idx="216">
                  <c:v>42144</c:v>
                </c:pt>
                <c:pt idx="217">
                  <c:v>42144</c:v>
                </c:pt>
                <c:pt idx="218">
                  <c:v>42144</c:v>
                </c:pt>
                <c:pt idx="219">
                  <c:v>42144</c:v>
                </c:pt>
                <c:pt idx="220">
                  <c:v>42144</c:v>
                </c:pt>
                <c:pt idx="221">
                  <c:v>42144</c:v>
                </c:pt>
                <c:pt idx="222">
                  <c:v>42144</c:v>
                </c:pt>
                <c:pt idx="223">
                  <c:v>42144</c:v>
                </c:pt>
                <c:pt idx="224">
                  <c:v>42144</c:v>
                </c:pt>
                <c:pt idx="225">
                  <c:v>42144</c:v>
                </c:pt>
                <c:pt idx="226">
                  <c:v>42144</c:v>
                </c:pt>
                <c:pt idx="227">
                  <c:v>42144</c:v>
                </c:pt>
                <c:pt idx="228">
                  <c:v>42144</c:v>
                </c:pt>
                <c:pt idx="229">
                  <c:v>42144</c:v>
                </c:pt>
                <c:pt idx="230">
                  <c:v>42144</c:v>
                </c:pt>
                <c:pt idx="231">
                  <c:v>42144</c:v>
                </c:pt>
                <c:pt idx="232">
                  <c:v>42144</c:v>
                </c:pt>
                <c:pt idx="233">
                  <c:v>42144</c:v>
                </c:pt>
                <c:pt idx="234">
                  <c:v>42144</c:v>
                </c:pt>
                <c:pt idx="235">
                  <c:v>42144</c:v>
                </c:pt>
                <c:pt idx="236">
                  <c:v>42144</c:v>
                </c:pt>
                <c:pt idx="237">
                  <c:v>42144</c:v>
                </c:pt>
                <c:pt idx="238">
                  <c:v>42144</c:v>
                </c:pt>
                <c:pt idx="239">
                  <c:v>42144</c:v>
                </c:pt>
                <c:pt idx="240">
                  <c:v>42144</c:v>
                </c:pt>
                <c:pt idx="241">
                  <c:v>42144</c:v>
                </c:pt>
                <c:pt idx="242">
                  <c:v>42144</c:v>
                </c:pt>
                <c:pt idx="243">
                  <c:v>42144</c:v>
                </c:pt>
                <c:pt idx="244">
                  <c:v>42144</c:v>
                </c:pt>
                <c:pt idx="245">
                  <c:v>42144</c:v>
                </c:pt>
                <c:pt idx="246">
                  <c:v>42144</c:v>
                </c:pt>
                <c:pt idx="247">
                  <c:v>42144</c:v>
                </c:pt>
                <c:pt idx="248">
                  <c:v>42144</c:v>
                </c:pt>
                <c:pt idx="249">
                  <c:v>42144</c:v>
                </c:pt>
                <c:pt idx="250">
                  <c:v>42144</c:v>
                </c:pt>
                <c:pt idx="251">
                  <c:v>42144</c:v>
                </c:pt>
                <c:pt idx="252">
                  <c:v>42144</c:v>
                </c:pt>
                <c:pt idx="253">
                  <c:v>42144</c:v>
                </c:pt>
                <c:pt idx="254">
                  <c:v>42144</c:v>
                </c:pt>
                <c:pt idx="255">
                  <c:v>42144</c:v>
                </c:pt>
                <c:pt idx="256">
                  <c:v>42144</c:v>
                </c:pt>
                <c:pt idx="257">
                  <c:v>42144</c:v>
                </c:pt>
                <c:pt idx="258">
                  <c:v>42144</c:v>
                </c:pt>
                <c:pt idx="259">
                  <c:v>42144</c:v>
                </c:pt>
                <c:pt idx="260">
                  <c:v>42144</c:v>
                </c:pt>
                <c:pt idx="261">
                  <c:v>42144</c:v>
                </c:pt>
                <c:pt idx="262">
                  <c:v>42144</c:v>
                </c:pt>
                <c:pt idx="263">
                  <c:v>42144</c:v>
                </c:pt>
                <c:pt idx="264">
                  <c:v>42144</c:v>
                </c:pt>
                <c:pt idx="265">
                  <c:v>42144</c:v>
                </c:pt>
                <c:pt idx="266">
                  <c:v>42144</c:v>
                </c:pt>
                <c:pt idx="267">
                  <c:v>42144</c:v>
                </c:pt>
                <c:pt idx="268">
                  <c:v>42144</c:v>
                </c:pt>
                <c:pt idx="269">
                  <c:v>42144</c:v>
                </c:pt>
                <c:pt idx="270">
                  <c:v>42144</c:v>
                </c:pt>
                <c:pt idx="271">
                  <c:v>42144</c:v>
                </c:pt>
                <c:pt idx="272">
                  <c:v>42144</c:v>
                </c:pt>
                <c:pt idx="273">
                  <c:v>42144</c:v>
                </c:pt>
                <c:pt idx="274">
                  <c:v>42144</c:v>
                </c:pt>
                <c:pt idx="275">
                  <c:v>42144</c:v>
                </c:pt>
                <c:pt idx="276">
                  <c:v>42144</c:v>
                </c:pt>
                <c:pt idx="277">
                  <c:v>42144</c:v>
                </c:pt>
                <c:pt idx="278">
                  <c:v>42144</c:v>
                </c:pt>
                <c:pt idx="279">
                  <c:v>42144</c:v>
                </c:pt>
                <c:pt idx="280">
                  <c:v>42144</c:v>
                </c:pt>
                <c:pt idx="281">
                  <c:v>42144</c:v>
                </c:pt>
                <c:pt idx="282">
                  <c:v>42144</c:v>
                </c:pt>
                <c:pt idx="283">
                  <c:v>42144</c:v>
                </c:pt>
                <c:pt idx="284">
                  <c:v>42144</c:v>
                </c:pt>
                <c:pt idx="285">
                  <c:v>42144</c:v>
                </c:pt>
                <c:pt idx="286">
                  <c:v>42144</c:v>
                </c:pt>
                <c:pt idx="287">
                  <c:v>42144</c:v>
                </c:pt>
                <c:pt idx="288">
                  <c:v>42144</c:v>
                </c:pt>
                <c:pt idx="289">
                  <c:v>42144</c:v>
                </c:pt>
                <c:pt idx="290">
                  <c:v>42144</c:v>
                </c:pt>
                <c:pt idx="291">
                  <c:v>42144</c:v>
                </c:pt>
                <c:pt idx="292">
                  <c:v>42144</c:v>
                </c:pt>
                <c:pt idx="293">
                  <c:v>42144</c:v>
                </c:pt>
                <c:pt idx="294">
                  <c:v>42144</c:v>
                </c:pt>
                <c:pt idx="295">
                  <c:v>42144</c:v>
                </c:pt>
                <c:pt idx="296">
                  <c:v>42144</c:v>
                </c:pt>
                <c:pt idx="297">
                  <c:v>42144</c:v>
                </c:pt>
                <c:pt idx="298">
                  <c:v>42144</c:v>
                </c:pt>
                <c:pt idx="299">
                  <c:v>42144</c:v>
                </c:pt>
                <c:pt idx="300">
                  <c:v>42144</c:v>
                </c:pt>
                <c:pt idx="301">
                  <c:v>42144</c:v>
                </c:pt>
                <c:pt idx="302">
                  <c:v>42144</c:v>
                </c:pt>
                <c:pt idx="303">
                  <c:v>42144</c:v>
                </c:pt>
                <c:pt idx="304">
                  <c:v>42144</c:v>
                </c:pt>
                <c:pt idx="305">
                  <c:v>42144</c:v>
                </c:pt>
                <c:pt idx="306">
                  <c:v>42144</c:v>
                </c:pt>
                <c:pt idx="307">
                  <c:v>42144</c:v>
                </c:pt>
                <c:pt idx="308">
                  <c:v>42144</c:v>
                </c:pt>
                <c:pt idx="309">
                  <c:v>42144</c:v>
                </c:pt>
                <c:pt idx="310">
                  <c:v>42144</c:v>
                </c:pt>
                <c:pt idx="311">
                  <c:v>42144</c:v>
                </c:pt>
                <c:pt idx="312">
                  <c:v>42144</c:v>
                </c:pt>
                <c:pt idx="313">
                  <c:v>42144</c:v>
                </c:pt>
                <c:pt idx="314">
                  <c:v>42144</c:v>
                </c:pt>
                <c:pt idx="315">
                  <c:v>42144</c:v>
                </c:pt>
                <c:pt idx="316">
                  <c:v>42144</c:v>
                </c:pt>
                <c:pt idx="317">
                  <c:v>42144</c:v>
                </c:pt>
                <c:pt idx="318">
                  <c:v>42144</c:v>
                </c:pt>
                <c:pt idx="319">
                  <c:v>42144</c:v>
                </c:pt>
                <c:pt idx="320">
                  <c:v>42144</c:v>
                </c:pt>
                <c:pt idx="321">
                  <c:v>42144</c:v>
                </c:pt>
                <c:pt idx="322">
                  <c:v>42144</c:v>
                </c:pt>
                <c:pt idx="323">
                  <c:v>42144</c:v>
                </c:pt>
                <c:pt idx="324">
                  <c:v>42144</c:v>
                </c:pt>
                <c:pt idx="325">
                  <c:v>42144</c:v>
                </c:pt>
                <c:pt idx="326">
                  <c:v>42144</c:v>
                </c:pt>
                <c:pt idx="327">
                  <c:v>42144</c:v>
                </c:pt>
                <c:pt idx="328">
                  <c:v>42144</c:v>
                </c:pt>
                <c:pt idx="329">
                  <c:v>42144</c:v>
                </c:pt>
                <c:pt idx="330">
                  <c:v>42144</c:v>
                </c:pt>
                <c:pt idx="331">
                  <c:v>42144</c:v>
                </c:pt>
                <c:pt idx="332">
                  <c:v>42144</c:v>
                </c:pt>
                <c:pt idx="333">
                  <c:v>42144</c:v>
                </c:pt>
                <c:pt idx="334">
                  <c:v>42144</c:v>
                </c:pt>
                <c:pt idx="335">
                  <c:v>42144</c:v>
                </c:pt>
                <c:pt idx="336">
                  <c:v>42144</c:v>
                </c:pt>
                <c:pt idx="337">
                  <c:v>42144</c:v>
                </c:pt>
                <c:pt idx="338">
                  <c:v>42144</c:v>
                </c:pt>
                <c:pt idx="339">
                  <c:v>42144</c:v>
                </c:pt>
                <c:pt idx="340">
                  <c:v>42144</c:v>
                </c:pt>
                <c:pt idx="341">
                  <c:v>42144</c:v>
                </c:pt>
                <c:pt idx="342">
                  <c:v>42144</c:v>
                </c:pt>
                <c:pt idx="343">
                  <c:v>42144</c:v>
                </c:pt>
                <c:pt idx="344">
                  <c:v>42144</c:v>
                </c:pt>
                <c:pt idx="345">
                  <c:v>42144</c:v>
                </c:pt>
                <c:pt idx="346">
                  <c:v>42144</c:v>
                </c:pt>
                <c:pt idx="347">
                  <c:v>42144</c:v>
                </c:pt>
                <c:pt idx="348">
                  <c:v>42144</c:v>
                </c:pt>
                <c:pt idx="349">
                  <c:v>42144</c:v>
                </c:pt>
                <c:pt idx="350">
                  <c:v>42144</c:v>
                </c:pt>
                <c:pt idx="351">
                  <c:v>42144</c:v>
                </c:pt>
                <c:pt idx="352">
                  <c:v>42144</c:v>
                </c:pt>
                <c:pt idx="353">
                  <c:v>42144</c:v>
                </c:pt>
                <c:pt idx="354">
                  <c:v>42144</c:v>
                </c:pt>
                <c:pt idx="355">
                  <c:v>42144</c:v>
                </c:pt>
                <c:pt idx="356">
                  <c:v>42144</c:v>
                </c:pt>
                <c:pt idx="357">
                  <c:v>42144</c:v>
                </c:pt>
                <c:pt idx="358">
                  <c:v>42144</c:v>
                </c:pt>
                <c:pt idx="359">
                  <c:v>42144</c:v>
                </c:pt>
                <c:pt idx="360">
                  <c:v>42144</c:v>
                </c:pt>
                <c:pt idx="361">
                  <c:v>42144</c:v>
                </c:pt>
                <c:pt idx="362">
                  <c:v>42144</c:v>
                </c:pt>
                <c:pt idx="363">
                  <c:v>42144</c:v>
                </c:pt>
                <c:pt idx="364">
                  <c:v>42144</c:v>
                </c:pt>
              </c:numCache>
            </c:numRef>
          </c:cat>
          <c:val>
            <c:numRef>
              <c:f>Bilan_hydrique!$K$2:$K$365</c:f>
              <c:numCache>
                <c:formatCode>General</c:formatCode>
                <c:ptCount val="364"/>
                <c:pt idx="0">
                  <c:v>68.40100000000001</c:v>
                </c:pt>
                <c:pt idx="1">
                  <c:v>67.904948774939797</c:v>
                </c:pt>
                <c:pt idx="2">
                  <c:v>68.40100000000001</c:v>
                </c:pt>
                <c:pt idx="3">
                  <c:v>68.40100000000001</c:v>
                </c:pt>
                <c:pt idx="4">
                  <c:v>67.924479711224137</c:v>
                </c:pt>
                <c:pt idx="5">
                  <c:v>67.220847649384652</c:v>
                </c:pt>
                <c:pt idx="6">
                  <c:v>68.40100000000001</c:v>
                </c:pt>
                <c:pt idx="7">
                  <c:v>68.40100000000001</c:v>
                </c:pt>
                <c:pt idx="8">
                  <c:v>67.804845843038052</c:v>
                </c:pt>
                <c:pt idx="9">
                  <c:v>68.40100000000001</c:v>
                </c:pt>
                <c:pt idx="10">
                  <c:v>68.40100000000001</c:v>
                </c:pt>
                <c:pt idx="11">
                  <c:v>68.40100000000001</c:v>
                </c:pt>
                <c:pt idx="12">
                  <c:v>68.40100000000001</c:v>
                </c:pt>
                <c:pt idx="13">
                  <c:v>67.802786712676536</c:v>
                </c:pt>
                <c:pt idx="14">
                  <c:v>67.617147848959462</c:v>
                </c:pt>
                <c:pt idx="15">
                  <c:v>68.40100000000001</c:v>
                </c:pt>
                <c:pt idx="16">
                  <c:v>68.40100000000001</c:v>
                </c:pt>
                <c:pt idx="17">
                  <c:v>68.40100000000001</c:v>
                </c:pt>
                <c:pt idx="18">
                  <c:v>68.40100000000001</c:v>
                </c:pt>
                <c:pt idx="19">
                  <c:v>67.59356196887174</c:v>
                </c:pt>
                <c:pt idx="20">
                  <c:v>66.68899880251638</c:v>
                </c:pt>
                <c:pt idx="21">
                  <c:v>65.605311277141382</c:v>
                </c:pt>
                <c:pt idx="22">
                  <c:v>64.472500998022184</c:v>
                </c:pt>
                <c:pt idx="23">
                  <c:v>63.828298426942538</c:v>
                </c:pt>
                <c:pt idx="24">
                  <c:v>62.820100584049634</c:v>
                </c:pt>
                <c:pt idx="25">
                  <c:v>61.561568321307817</c:v>
                </c:pt>
                <c:pt idx="26">
                  <c:v>60.448746837567327</c:v>
                </c:pt>
                <c:pt idx="27">
                  <c:v>61.514835187948769</c:v>
                </c:pt>
                <c:pt idx="28">
                  <c:v>61.802214757159526</c:v>
                </c:pt>
                <c:pt idx="29">
                  <c:v>60.900468439345062</c:v>
                </c:pt>
                <c:pt idx="30">
                  <c:v>60.393480983091465</c:v>
                </c:pt>
                <c:pt idx="31">
                  <c:v>59.151100596357558</c:v>
                </c:pt>
                <c:pt idx="32">
                  <c:v>58.522422091926217</c:v>
                </c:pt>
                <c:pt idx="33">
                  <c:v>57.585715180289682</c:v>
                </c:pt>
                <c:pt idx="34">
                  <c:v>62.889596803833882</c:v>
                </c:pt>
                <c:pt idx="35">
                  <c:v>64.746457543860629</c:v>
                </c:pt>
                <c:pt idx="36">
                  <c:v>64.044192429149945</c:v>
                </c:pt>
                <c:pt idx="37">
                  <c:v>63.871268768610712</c:v>
                </c:pt>
                <c:pt idx="38">
                  <c:v>64.90130257373643</c:v>
                </c:pt>
                <c:pt idx="39">
                  <c:v>64.640922021528368</c:v>
                </c:pt>
                <c:pt idx="40">
                  <c:v>64.54227356130302</c:v>
                </c:pt>
                <c:pt idx="41">
                  <c:v>64.305144926888872</c:v>
                </c:pt>
                <c:pt idx="42">
                  <c:v>63.740103703423308</c:v>
                </c:pt>
                <c:pt idx="43">
                  <c:v>64.010046934683245</c:v>
                </c:pt>
                <c:pt idx="44">
                  <c:v>63.970747418950999</c:v>
                </c:pt>
                <c:pt idx="45">
                  <c:v>64.294359491500771</c:v>
                </c:pt>
                <c:pt idx="46">
                  <c:v>63.514037840629044</c:v>
                </c:pt>
                <c:pt idx="47">
                  <c:v>62.775962619702192</c:v>
                </c:pt>
                <c:pt idx="48">
                  <c:v>62.205034011321388</c:v>
                </c:pt>
                <c:pt idx="49">
                  <c:v>62.044999225258437</c:v>
                </c:pt>
                <c:pt idx="50">
                  <c:v>60.479748699829251</c:v>
                </c:pt>
                <c:pt idx="51">
                  <c:v>58.873953004678832</c:v>
                </c:pt>
                <c:pt idx="52">
                  <c:v>57.101019622187209</c:v>
                </c:pt>
                <c:pt idx="53">
                  <c:v>55.290601387078134</c:v>
                </c:pt>
                <c:pt idx="54">
                  <c:v>53.483283065243008</c:v>
                </c:pt>
                <c:pt idx="55">
                  <c:v>53.74962793741782</c:v>
                </c:pt>
                <c:pt idx="56">
                  <c:v>52.629470267732735</c:v>
                </c:pt>
                <c:pt idx="57">
                  <c:v>50.760700914957091</c:v>
                </c:pt>
                <c:pt idx="58">
                  <c:v>48.585266938754778</c:v>
                </c:pt>
                <c:pt idx="59">
                  <c:v>46.313715297877451</c:v>
                </c:pt>
                <c:pt idx="60">
                  <c:v>44.179467707777405</c:v>
                </c:pt>
                <c:pt idx="61">
                  <c:v>43.426413167924821</c:v>
                </c:pt>
                <c:pt idx="62">
                  <c:v>42.913162248531052</c:v>
                </c:pt>
                <c:pt idx="63">
                  <c:v>53.259353570454934</c:v>
                </c:pt>
                <c:pt idx="64">
                  <c:v>63.467386624747171</c:v>
                </c:pt>
                <c:pt idx="65">
                  <c:v>61.944016608041188</c:v>
                </c:pt>
                <c:pt idx="66">
                  <c:v>59.677245120300704</c:v>
                </c:pt>
                <c:pt idx="67">
                  <c:v>57.791850072016629</c:v>
                </c:pt>
                <c:pt idx="68">
                  <c:v>57.869637988800413</c:v>
                </c:pt>
                <c:pt idx="69">
                  <c:v>56.131489877128118</c:v>
                </c:pt>
                <c:pt idx="70">
                  <c:v>55.638498365675254</c:v>
                </c:pt>
                <c:pt idx="71">
                  <c:v>64.764445884660134</c:v>
                </c:pt>
                <c:pt idx="72">
                  <c:v>67.051787250921109</c:v>
                </c:pt>
                <c:pt idx="73">
                  <c:v>65.722288673238651</c:v>
                </c:pt>
                <c:pt idx="74">
                  <c:v>63.94358945421029</c:v>
                </c:pt>
                <c:pt idx="75">
                  <c:v>63.882011288225108</c:v>
                </c:pt>
                <c:pt idx="76">
                  <c:v>68.40100000000001</c:v>
                </c:pt>
                <c:pt idx="77">
                  <c:v>68.40100000000001</c:v>
                </c:pt>
                <c:pt idx="78">
                  <c:v>68.40100000000001</c:v>
                </c:pt>
                <c:pt idx="79">
                  <c:v>68.40100000000001</c:v>
                </c:pt>
                <c:pt idx="80">
                  <c:v>67.813333103797916</c:v>
                </c:pt>
                <c:pt idx="81">
                  <c:v>66.285034413875167</c:v>
                </c:pt>
                <c:pt idx="82">
                  <c:v>64.894318486617394</c:v>
                </c:pt>
                <c:pt idx="83">
                  <c:v>68.40100000000001</c:v>
                </c:pt>
                <c:pt idx="84">
                  <c:v>66.86127408616214</c:v>
                </c:pt>
                <c:pt idx="85">
                  <c:v>64.374115811759552</c:v>
                </c:pt>
                <c:pt idx="86">
                  <c:v>61.877395714751117</c:v>
                </c:pt>
                <c:pt idx="87">
                  <c:v>59.401319312958556</c:v>
                </c:pt>
                <c:pt idx="88">
                  <c:v>56.828225908303381</c:v>
                </c:pt>
                <c:pt idx="89">
                  <c:v>56.155713145493976</c:v>
                </c:pt>
                <c:pt idx="90">
                  <c:v>59.361334093480693</c:v>
                </c:pt>
                <c:pt idx="91">
                  <c:v>58.243126540309888</c:v>
                </c:pt>
                <c:pt idx="92">
                  <c:v>56.237662504999662</c:v>
                </c:pt>
                <c:pt idx="93">
                  <c:v>53.888963358679973</c:v>
                </c:pt>
                <c:pt idx="94">
                  <c:v>53.006705115706509</c:v>
                </c:pt>
                <c:pt idx="95">
                  <c:v>53.195447995280141</c:v>
                </c:pt>
                <c:pt idx="96">
                  <c:v>53.195447995280141</c:v>
                </c:pt>
                <c:pt idx="97">
                  <c:v>53.195447995280141</c:v>
                </c:pt>
                <c:pt idx="98">
                  <c:v>53.195447995280141</c:v>
                </c:pt>
                <c:pt idx="99">
                  <c:v>53.195447995280141</c:v>
                </c:pt>
                <c:pt idx="100">
                  <c:v>53.195447995280141</c:v>
                </c:pt>
                <c:pt idx="101">
                  <c:v>53.195447995280141</c:v>
                </c:pt>
                <c:pt idx="102">
                  <c:v>53.195447995280141</c:v>
                </c:pt>
                <c:pt idx="103">
                  <c:v>53.195447995280141</c:v>
                </c:pt>
                <c:pt idx="104">
                  <c:v>53.195447995280141</c:v>
                </c:pt>
                <c:pt idx="105">
                  <c:v>53.195447995280141</c:v>
                </c:pt>
                <c:pt idx="106">
                  <c:v>53.195447995280141</c:v>
                </c:pt>
                <c:pt idx="107">
                  <c:v>53.195447995280141</c:v>
                </c:pt>
                <c:pt idx="108">
                  <c:v>53.195447995280141</c:v>
                </c:pt>
                <c:pt idx="109">
                  <c:v>53.195447995280141</c:v>
                </c:pt>
                <c:pt idx="110">
                  <c:v>53.195447995280141</c:v>
                </c:pt>
                <c:pt idx="111">
                  <c:v>53.195447995280141</c:v>
                </c:pt>
                <c:pt idx="112">
                  <c:v>53.195447995280141</c:v>
                </c:pt>
                <c:pt idx="113">
                  <c:v>53.195447995280141</c:v>
                </c:pt>
                <c:pt idx="114">
                  <c:v>53.195447995280141</c:v>
                </c:pt>
                <c:pt idx="115">
                  <c:v>53.195447995280141</c:v>
                </c:pt>
                <c:pt idx="116">
                  <c:v>53.195447995280141</c:v>
                </c:pt>
                <c:pt idx="117">
                  <c:v>53.195447995280141</c:v>
                </c:pt>
                <c:pt idx="118">
                  <c:v>53.195447995280141</c:v>
                </c:pt>
                <c:pt idx="119">
                  <c:v>53.195447995280141</c:v>
                </c:pt>
                <c:pt idx="120">
                  <c:v>53.195447995280141</c:v>
                </c:pt>
                <c:pt idx="121">
                  <c:v>53.195447995280141</c:v>
                </c:pt>
                <c:pt idx="122">
                  <c:v>53.195447995280141</c:v>
                </c:pt>
                <c:pt idx="123">
                  <c:v>53.195447995280141</c:v>
                </c:pt>
                <c:pt idx="124">
                  <c:v>53.195447995280141</c:v>
                </c:pt>
                <c:pt idx="125">
                  <c:v>53.195447995280141</c:v>
                </c:pt>
                <c:pt idx="126">
                  <c:v>53.195447995280141</c:v>
                </c:pt>
                <c:pt idx="127">
                  <c:v>53.195447995280141</c:v>
                </c:pt>
                <c:pt idx="128">
                  <c:v>53.195447995280141</c:v>
                </c:pt>
                <c:pt idx="129">
                  <c:v>53.195447995280141</c:v>
                </c:pt>
                <c:pt idx="130">
                  <c:v>53.195447995280141</c:v>
                </c:pt>
                <c:pt idx="131">
                  <c:v>53.195447995280141</c:v>
                </c:pt>
                <c:pt idx="132">
                  <c:v>53.195447995280141</c:v>
                </c:pt>
                <c:pt idx="133">
                  <c:v>53.195447995280141</c:v>
                </c:pt>
                <c:pt idx="134">
                  <c:v>53.195447995280141</c:v>
                </c:pt>
                <c:pt idx="135">
                  <c:v>53.195447995280141</c:v>
                </c:pt>
                <c:pt idx="136">
                  <c:v>53.195447995280141</c:v>
                </c:pt>
                <c:pt idx="137">
                  <c:v>53.195447995280141</c:v>
                </c:pt>
                <c:pt idx="138">
                  <c:v>53.195447995280141</c:v>
                </c:pt>
                <c:pt idx="139">
                  <c:v>53.195447995280141</c:v>
                </c:pt>
                <c:pt idx="140">
                  <c:v>53.195447995280141</c:v>
                </c:pt>
                <c:pt idx="141">
                  <c:v>53.195447995280141</c:v>
                </c:pt>
                <c:pt idx="142">
                  <c:v>53.195447995280141</c:v>
                </c:pt>
                <c:pt idx="143">
                  <c:v>53.195447995280141</c:v>
                </c:pt>
                <c:pt idx="144">
                  <c:v>53.195447995280141</c:v>
                </c:pt>
                <c:pt idx="145">
                  <c:v>53.195447995280141</c:v>
                </c:pt>
                <c:pt idx="146">
                  <c:v>53.195447995280141</c:v>
                </c:pt>
                <c:pt idx="147">
                  <c:v>53.195447995280141</c:v>
                </c:pt>
                <c:pt idx="148">
                  <c:v>53.195447995280141</c:v>
                </c:pt>
                <c:pt idx="149">
                  <c:v>53.195447995280141</c:v>
                </c:pt>
                <c:pt idx="150">
                  <c:v>53.195447995280141</c:v>
                </c:pt>
                <c:pt idx="151">
                  <c:v>53.195447995280141</c:v>
                </c:pt>
                <c:pt idx="152">
                  <c:v>53.195447995280141</c:v>
                </c:pt>
                <c:pt idx="153">
                  <c:v>53.195447995280141</c:v>
                </c:pt>
                <c:pt idx="154">
                  <c:v>53.195447995280141</c:v>
                </c:pt>
                <c:pt idx="155">
                  <c:v>53.195447995280141</c:v>
                </c:pt>
                <c:pt idx="156">
                  <c:v>53.195447995280141</c:v>
                </c:pt>
                <c:pt idx="157">
                  <c:v>53.195447995280141</c:v>
                </c:pt>
                <c:pt idx="158">
                  <c:v>53.195447995280141</c:v>
                </c:pt>
                <c:pt idx="159">
                  <c:v>53.195447995280141</c:v>
                </c:pt>
                <c:pt idx="160">
                  <c:v>53.195447995280141</c:v>
                </c:pt>
                <c:pt idx="161">
                  <c:v>53.195447995280141</c:v>
                </c:pt>
                <c:pt idx="162">
                  <c:v>53.195447995280141</c:v>
                </c:pt>
                <c:pt idx="163">
                  <c:v>53.195447995280141</c:v>
                </c:pt>
                <c:pt idx="164">
                  <c:v>53.195447995280141</c:v>
                </c:pt>
                <c:pt idx="165">
                  <c:v>53.195447995280141</c:v>
                </c:pt>
                <c:pt idx="166">
                  <c:v>53.195447995280141</c:v>
                </c:pt>
                <c:pt idx="167">
                  <c:v>53.195447995280141</c:v>
                </c:pt>
                <c:pt idx="168">
                  <c:v>53.195447995280141</c:v>
                </c:pt>
                <c:pt idx="169">
                  <c:v>53.195447995280141</c:v>
                </c:pt>
                <c:pt idx="170">
                  <c:v>53.195447995280141</c:v>
                </c:pt>
                <c:pt idx="171">
                  <c:v>53.195447995280141</c:v>
                </c:pt>
                <c:pt idx="172">
                  <c:v>53.195447995280141</c:v>
                </c:pt>
                <c:pt idx="173">
                  <c:v>53.195447995280141</c:v>
                </c:pt>
                <c:pt idx="174">
                  <c:v>53.195447995280141</c:v>
                </c:pt>
                <c:pt idx="175">
                  <c:v>53.195447995280141</c:v>
                </c:pt>
                <c:pt idx="176">
                  <c:v>53.195447995280141</c:v>
                </c:pt>
                <c:pt idx="177">
                  <c:v>53.195447995280141</c:v>
                </c:pt>
                <c:pt idx="178">
                  <c:v>53.195447995280141</c:v>
                </c:pt>
                <c:pt idx="179">
                  <c:v>53.195447995280141</c:v>
                </c:pt>
                <c:pt idx="180">
                  <c:v>53.195447995280141</c:v>
                </c:pt>
                <c:pt idx="181">
                  <c:v>53.195447995280141</c:v>
                </c:pt>
                <c:pt idx="182">
                  <c:v>53.195447995280141</c:v>
                </c:pt>
                <c:pt idx="183">
                  <c:v>53.195447995280141</c:v>
                </c:pt>
                <c:pt idx="184">
                  <c:v>53.195447995280141</c:v>
                </c:pt>
                <c:pt idx="185">
                  <c:v>53.195447995280141</c:v>
                </c:pt>
                <c:pt idx="186">
                  <c:v>53.195447995280141</c:v>
                </c:pt>
                <c:pt idx="187">
                  <c:v>53.195447995280141</c:v>
                </c:pt>
                <c:pt idx="188">
                  <c:v>53.195447995280141</c:v>
                </c:pt>
                <c:pt idx="189">
                  <c:v>53.195447995280141</c:v>
                </c:pt>
                <c:pt idx="190">
                  <c:v>53.195447995280141</c:v>
                </c:pt>
                <c:pt idx="191">
                  <c:v>53.195447995280141</c:v>
                </c:pt>
                <c:pt idx="192">
                  <c:v>53.195447995280141</c:v>
                </c:pt>
                <c:pt idx="193">
                  <c:v>53.195447995280141</c:v>
                </c:pt>
                <c:pt idx="194">
                  <c:v>53.195447995280141</c:v>
                </c:pt>
                <c:pt idx="195">
                  <c:v>53.195447995280141</c:v>
                </c:pt>
                <c:pt idx="196">
                  <c:v>53.195447995280141</c:v>
                </c:pt>
                <c:pt idx="197">
                  <c:v>53.195447995280141</c:v>
                </c:pt>
                <c:pt idx="198">
                  <c:v>53.195447995280141</c:v>
                </c:pt>
                <c:pt idx="199">
                  <c:v>53.195447995280141</c:v>
                </c:pt>
                <c:pt idx="200">
                  <c:v>53.195447995280141</c:v>
                </c:pt>
                <c:pt idx="201">
                  <c:v>53.195447995280141</c:v>
                </c:pt>
                <c:pt idx="202">
                  <c:v>53.195447995280141</c:v>
                </c:pt>
                <c:pt idx="203">
                  <c:v>53.195447995280141</c:v>
                </c:pt>
                <c:pt idx="204">
                  <c:v>53.195447995280141</c:v>
                </c:pt>
                <c:pt idx="205">
                  <c:v>53.195447995280141</c:v>
                </c:pt>
                <c:pt idx="206">
                  <c:v>53.195447995280141</c:v>
                </c:pt>
                <c:pt idx="207">
                  <c:v>53.195447995280141</c:v>
                </c:pt>
                <c:pt idx="208">
                  <c:v>53.195447995280141</c:v>
                </c:pt>
                <c:pt idx="209">
                  <c:v>53.195447995280141</c:v>
                </c:pt>
                <c:pt idx="210">
                  <c:v>53.195447995280141</c:v>
                </c:pt>
                <c:pt idx="211">
                  <c:v>53.195447995280141</c:v>
                </c:pt>
                <c:pt idx="212">
                  <c:v>53.195447995280141</c:v>
                </c:pt>
                <c:pt idx="213">
                  <c:v>53.195447995280141</c:v>
                </c:pt>
                <c:pt idx="214">
                  <c:v>53.195447995280141</c:v>
                </c:pt>
                <c:pt idx="215">
                  <c:v>53.195447995280141</c:v>
                </c:pt>
                <c:pt idx="216">
                  <c:v>53.195447995280141</c:v>
                </c:pt>
                <c:pt idx="217">
                  <c:v>53.195447995280141</c:v>
                </c:pt>
                <c:pt idx="218">
                  <c:v>53.195447995280141</c:v>
                </c:pt>
                <c:pt idx="219">
                  <c:v>53.195447995280141</c:v>
                </c:pt>
                <c:pt idx="220">
                  <c:v>53.195447995280141</c:v>
                </c:pt>
                <c:pt idx="221">
                  <c:v>53.195447995280141</c:v>
                </c:pt>
                <c:pt idx="222">
                  <c:v>53.195447995280141</c:v>
                </c:pt>
                <c:pt idx="223">
                  <c:v>53.195447995280141</c:v>
                </c:pt>
                <c:pt idx="224">
                  <c:v>53.195447995280141</c:v>
                </c:pt>
                <c:pt idx="225">
                  <c:v>53.195447995280141</c:v>
                </c:pt>
                <c:pt idx="226">
                  <c:v>53.195447995280141</c:v>
                </c:pt>
                <c:pt idx="227">
                  <c:v>53.195447995280141</c:v>
                </c:pt>
                <c:pt idx="228">
                  <c:v>53.195447995280141</c:v>
                </c:pt>
                <c:pt idx="229">
                  <c:v>53.195447995280141</c:v>
                </c:pt>
                <c:pt idx="230">
                  <c:v>53.195447995280141</c:v>
                </c:pt>
                <c:pt idx="231">
                  <c:v>53.195447995280141</c:v>
                </c:pt>
                <c:pt idx="232">
                  <c:v>53.195447995280141</c:v>
                </c:pt>
                <c:pt idx="233">
                  <c:v>53.195447995280141</c:v>
                </c:pt>
                <c:pt idx="234">
                  <c:v>53.195447995280141</c:v>
                </c:pt>
                <c:pt idx="235">
                  <c:v>53.195447995280141</c:v>
                </c:pt>
                <c:pt idx="236">
                  <c:v>53.195447995280141</c:v>
                </c:pt>
                <c:pt idx="237">
                  <c:v>53.195447995280141</c:v>
                </c:pt>
                <c:pt idx="238">
                  <c:v>53.195447995280141</c:v>
                </c:pt>
                <c:pt idx="239">
                  <c:v>53.195447995280141</c:v>
                </c:pt>
                <c:pt idx="240">
                  <c:v>53.195447995280141</c:v>
                </c:pt>
                <c:pt idx="241">
                  <c:v>53.195447995280141</c:v>
                </c:pt>
                <c:pt idx="242">
                  <c:v>53.195447995280141</c:v>
                </c:pt>
                <c:pt idx="243">
                  <c:v>53.195447995280141</c:v>
                </c:pt>
                <c:pt idx="244">
                  <c:v>53.195447995280141</c:v>
                </c:pt>
                <c:pt idx="245">
                  <c:v>53.195447995280141</c:v>
                </c:pt>
                <c:pt idx="246">
                  <c:v>53.195447995280141</c:v>
                </c:pt>
                <c:pt idx="247">
                  <c:v>53.195447995280141</c:v>
                </c:pt>
                <c:pt idx="248">
                  <c:v>53.195447995280141</c:v>
                </c:pt>
                <c:pt idx="249">
                  <c:v>53.195447995280141</c:v>
                </c:pt>
                <c:pt idx="250">
                  <c:v>53.195447995280141</c:v>
                </c:pt>
                <c:pt idx="251">
                  <c:v>53.195447995280141</c:v>
                </c:pt>
                <c:pt idx="252">
                  <c:v>53.195447995280141</c:v>
                </c:pt>
                <c:pt idx="253">
                  <c:v>53.195447995280141</c:v>
                </c:pt>
                <c:pt idx="254">
                  <c:v>53.195447995280141</c:v>
                </c:pt>
                <c:pt idx="255">
                  <c:v>53.195447995280141</c:v>
                </c:pt>
                <c:pt idx="256">
                  <c:v>53.195447995280141</c:v>
                </c:pt>
                <c:pt idx="257">
                  <c:v>53.195447995280141</c:v>
                </c:pt>
                <c:pt idx="258">
                  <c:v>53.195447995280141</c:v>
                </c:pt>
                <c:pt idx="259">
                  <c:v>53.195447995280141</c:v>
                </c:pt>
                <c:pt idx="260">
                  <c:v>53.195447995280141</c:v>
                </c:pt>
                <c:pt idx="261">
                  <c:v>53.195447995280141</c:v>
                </c:pt>
                <c:pt idx="262">
                  <c:v>53.195447995280141</c:v>
                </c:pt>
                <c:pt idx="263">
                  <c:v>53.195447995280141</c:v>
                </c:pt>
                <c:pt idx="264">
                  <c:v>53.195447995280141</c:v>
                </c:pt>
                <c:pt idx="265">
                  <c:v>53.195447995280141</c:v>
                </c:pt>
                <c:pt idx="266">
                  <c:v>53.195447995280141</c:v>
                </c:pt>
                <c:pt idx="267">
                  <c:v>53.195447995280141</c:v>
                </c:pt>
                <c:pt idx="268">
                  <c:v>53.195447995280141</c:v>
                </c:pt>
                <c:pt idx="269">
                  <c:v>53.195447995280141</c:v>
                </c:pt>
                <c:pt idx="270">
                  <c:v>53.195447995280141</c:v>
                </c:pt>
                <c:pt idx="271">
                  <c:v>53.195447995280141</c:v>
                </c:pt>
                <c:pt idx="272">
                  <c:v>53.195447995280141</c:v>
                </c:pt>
                <c:pt idx="273">
                  <c:v>53.195447995280141</c:v>
                </c:pt>
                <c:pt idx="274">
                  <c:v>53.195447995280141</c:v>
                </c:pt>
                <c:pt idx="275">
                  <c:v>53.195447995280141</c:v>
                </c:pt>
                <c:pt idx="276">
                  <c:v>53.195447995280141</c:v>
                </c:pt>
                <c:pt idx="277">
                  <c:v>53.195447995280141</c:v>
                </c:pt>
                <c:pt idx="278">
                  <c:v>53.195447995280141</c:v>
                </c:pt>
                <c:pt idx="279">
                  <c:v>53.195447995280141</c:v>
                </c:pt>
                <c:pt idx="280">
                  <c:v>53.195447995280141</c:v>
                </c:pt>
                <c:pt idx="281">
                  <c:v>53.195447995280141</c:v>
                </c:pt>
                <c:pt idx="282">
                  <c:v>53.195447995280141</c:v>
                </c:pt>
                <c:pt idx="283">
                  <c:v>53.195447995280141</c:v>
                </c:pt>
                <c:pt idx="284">
                  <c:v>53.195447995280141</c:v>
                </c:pt>
                <c:pt idx="285">
                  <c:v>53.195447995280141</c:v>
                </c:pt>
                <c:pt idx="286">
                  <c:v>53.195447995280141</c:v>
                </c:pt>
                <c:pt idx="287">
                  <c:v>53.195447995280141</c:v>
                </c:pt>
                <c:pt idx="288">
                  <c:v>53.195447995280141</c:v>
                </c:pt>
                <c:pt idx="289">
                  <c:v>53.195447995280141</c:v>
                </c:pt>
                <c:pt idx="290">
                  <c:v>53.195447995280141</c:v>
                </c:pt>
                <c:pt idx="291">
                  <c:v>53.195447995280141</c:v>
                </c:pt>
                <c:pt idx="292">
                  <c:v>53.195447995280141</c:v>
                </c:pt>
                <c:pt idx="293">
                  <c:v>53.195447995280141</c:v>
                </c:pt>
                <c:pt idx="294">
                  <c:v>53.195447995280141</c:v>
                </c:pt>
                <c:pt idx="295">
                  <c:v>53.195447995280141</c:v>
                </c:pt>
                <c:pt idx="296">
                  <c:v>53.195447995280141</c:v>
                </c:pt>
                <c:pt idx="297">
                  <c:v>53.195447995280141</c:v>
                </c:pt>
                <c:pt idx="298">
                  <c:v>53.195447995280141</c:v>
                </c:pt>
                <c:pt idx="299">
                  <c:v>53.195447995280141</c:v>
                </c:pt>
                <c:pt idx="300">
                  <c:v>53.195447995280141</c:v>
                </c:pt>
                <c:pt idx="301">
                  <c:v>53.195447995280141</c:v>
                </c:pt>
                <c:pt idx="302">
                  <c:v>53.195447995280141</c:v>
                </c:pt>
                <c:pt idx="303">
                  <c:v>53.195447995280141</c:v>
                </c:pt>
                <c:pt idx="304">
                  <c:v>53.195447995280141</c:v>
                </c:pt>
                <c:pt idx="305">
                  <c:v>53.195447995280141</c:v>
                </c:pt>
                <c:pt idx="306">
                  <c:v>53.195447995280141</c:v>
                </c:pt>
                <c:pt idx="307">
                  <c:v>53.195447995280141</c:v>
                </c:pt>
                <c:pt idx="308">
                  <c:v>53.195447995280141</c:v>
                </c:pt>
                <c:pt idx="309">
                  <c:v>53.195447995280141</c:v>
                </c:pt>
                <c:pt idx="310">
                  <c:v>53.195447995280141</c:v>
                </c:pt>
                <c:pt idx="311">
                  <c:v>53.195447995280141</c:v>
                </c:pt>
                <c:pt idx="312">
                  <c:v>53.195447995280141</c:v>
                </c:pt>
                <c:pt idx="313">
                  <c:v>53.195447995280141</c:v>
                </c:pt>
                <c:pt idx="314">
                  <c:v>53.195447995280141</c:v>
                </c:pt>
                <c:pt idx="315">
                  <c:v>53.195447995280141</c:v>
                </c:pt>
                <c:pt idx="316">
                  <c:v>53.195447995280141</c:v>
                </c:pt>
                <c:pt idx="317">
                  <c:v>53.195447995280141</c:v>
                </c:pt>
                <c:pt idx="318">
                  <c:v>53.195447995280141</c:v>
                </c:pt>
                <c:pt idx="319">
                  <c:v>53.195447995280141</c:v>
                </c:pt>
                <c:pt idx="320">
                  <c:v>53.195447995280141</c:v>
                </c:pt>
                <c:pt idx="321">
                  <c:v>53.195447995280141</c:v>
                </c:pt>
                <c:pt idx="322">
                  <c:v>53.195447995280141</c:v>
                </c:pt>
                <c:pt idx="323">
                  <c:v>53.195447995280141</c:v>
                </c:pt>
                <c:pt idx="324">
                  <c:v>53.195447995280141</c:v>
                </c:pt>
                <c:pt idx="325">
                  <c:v>53.195447995280141</c:v>
                </c:pt>
                <c:pt idx="326">
                  <c:v>53.195447995280141</c:v>
                </c:pt>
                <c:pt idx="327">
                  <c:v>53.195447995280141</c:v>
                </c:pt>
                <c:pt idx="328">
                  <c:v>53.195447995280141</c:v>
                </c:pt>
                <c:pt idx="329">
                  <c:v>53.195447995280141</c:v>
                </c:pt>
                <c:pt idx="330">
                  <c:v>53.195447995280141</c:v>
                </c:pt>
                <c:pt idx="331">
                  <c:v>53.195447995280141</c:v>
                </c:pt>
                <c:pt idx="332">
                  <c:v>53.195447995280141</c:v>
                </c:pt>
                <c:pt idx="333">
                  <c:v>53.195447995280141</c:v>
                </c:pt>
                <c:pt idx="334">
                  <c:v>53.195447995280141</c:v>
                </c:pt>
                <c:pt idx="335">
                  <c:v>53.195447995280141</c:v>
                </c:pt>
                <c:pt idx="336">
                  <c:v>53.195447995280141</c:v>
                </c:pt>
                <c:pt idx="337">
                  <c:v>53.195447995280141</c:v>
                </c:pt>
                <c:pt idx="338">
                  <c:v>53.195447995280141</c:v>
                </c:pt>
                <c:pt idx="339">
                  <c:v>53.195447995280141</c:v>
                </c:pt>
                <c:pt idx="340">
                  <c:v>53.195447995280141</c:v>
                </c:pt>
                <c:pt idx="341">
                  <c:v>53.195447995280141</c:v>
                </c:pt>
                <c:pt idx="342">
                  <c:v>53.195447995280141</c:v>
                </c:pt>
                <c:pt idx="343">
                  <c:v>53.195447995280141</c:v>
                </c:pt>
                <c:pt idx="344">
                  <c:v>53.195447995280141</c:v>
                </c:pt>
                <c:pt idx="345">
                  <c:v>53.195447995280141</c:v>
                </c:pt>
                <c:pt idx="346">
                  <c:v>53.195447995280141</c:v>
                </c:pt>
                <c:pt idx="347">
                  <c:v>53.195447995280141</c:v>
                </c:pt>
                <c:pt idx="348">
                  <c:v>53.195447995280141</c:v>
                </c:pt>
                <c:pt idx="349">
                  <c:v>53.195447995280141</c:v>
                </c:pt>
                <c:pt idx="350">
                  <c:v>53.195447995280141</c:v>
                </c:pt>
                <c:pt idx="351">
                  <c:v>53.195447995280141</c:v>
                </c:pt>
                <c:pt idx="352">
                  <c:v>53.195447995280141</c:v>
                </c:pt>
                <c:pt idx="353">
                  <c:v>53.195447995280141</c:v>
                </c:pt>
                <c:pt idx="354">
                  <c:v>53.195447995280141</c:v>
                </c:pt>
                <c:pt idx="355">
                  <c:v>53.195447995280141</c:v>
                </c:pt>
                <c:pt idx="356">
                  <c:v>53.195447995280141</c:v>
                </c:pt>
                <c:pt idx="357">
                  <c:v>53.195447995280141</c:v>
                </c:pt>
                <c:pt idx="358">
                  <c:v>53.195447995280141</c:v>
                </c:pt>
                <c:pt idx="359">
                  <c:v>53.195447995280141</c:v>
                </c:pt>
                <c:pt idx="360">
                  <c:v>53.195447995280141</c:v>
                </c:pt>
                <c:pt idx="361">
                  <c:v>53.195447995280141</c:v>
                </c:pt>
                <c:pt idx="362">
                  <c:v>53.195447995280141</c:v>
                </c:pt>
                <c:pt idx="363">
                  <c:v>53.195447995280141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03-4C99-9FA4-6A62B116CCDB}"/>
            </c:ext>
          </c:extLst>
        </c:ser>
        <c:ser>
          <c:idx val="1"/>
          <c:order val="1"/>
          <c:tx>
            <c:v>with PV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Bilan_hydrique!$A$2:$A$366</c:f>
              <c:numCache>
                <c:formatCode>m/d/yyyy</c:formatCode>
                <c:ptCount val="365"/>
                <c:pt idx="0">
                  <c:v>42050</c:v>
                </c:pt>
                <c:pt idx="1">
                  <c:v>42051</c:v>
                </c:pt>
                <c:pt idx="2">
                  <c:v>42052</c:v>
                </c:pt>
                <c:pt idx="3">
                  <c:v>42053</c:v>
                </c:pt>
                <c:pt idx="4">
                  <c:v>42054</c:v>
                </c:pt>
                <c:pt idx="5">
                  <c:v>42055</c:v>
                </c:pt>
                <c:pt idx="6">
                  <c:v>42056</c:v>
                </c:pt>
                <c:pt idx="7">
                  <c:v>42057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42063</c:v>
                </c:pt>
                <c:pt idx="14">
                  <c:v>42064</c:v>
                </c:pt>
                <c:pt idx="15">
                  <c:v>42065</c:v>
                </c:pt>
                <c:pt idx="16">
                  <c:v>42066</c:v>
                </c:pt>
                <c:pt idx="17">
                  <c:v>42067</c:v>
                </c:pt>
                <c:pt idx="18">
                  <c:v>42068</c:v>
                </c:pt>
                <c:pt idx="19">
                  <c:v>42069</c:v>
                </c:pt>
                <c:pt idx="20">
                  <c:v>42070</c:v>
                </c:pt>
                <c:pt idx="21">
                  <c:v>42071</c:v>
                </c:pt>
                <c:pt idx="22">
                  <c:v>42072</c:v>
                </c:pt>
                <c:pt idx="23">
                  <c:v>42073</c:v>
                </c:pt>
                <c:pt idx="24">
                  <c:v>42074</c:v>
                </c:pt>
                <c:pt idx="25">
                  <c:v>42075</c:v>
                </c:pt>
                <c:pt idx="26">
                  <c:v>42076</c:v>
                </c:pt>
                <c:pt idx="27">
                  <c:v>42077</c:v>
                </c:pt>
                <c:pt idx="28">
                  <c:v>42078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42084</c:v>
                </c:pt>
                <c:pt idx="35">
                  <c:v>42085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42091</c:v>
                </c:pt>
                <c:pt idx="42">
                  <c:v>42092</c:v>
                </c:pt>
                <c:pt idx="43">
                  <c:v>42093</c:v>
                </c:pt>
                <c:pt idx="44">
                  <c:v>42094</c:v>
                </c:pt>
                <c:pt idx="45">
                  <c:v>42095</c:v>
                </c:pt>
                <c:pt idx="46">
                  <c:v>42096</c:v>
                </c:pt>
                <c:pt idx="47">
                  <c:v>42097</c:v>
                </c:pt>
                <c:pt idx="48">
                  <c:v>42098</c:v>
                </c:pt>
                <c:pt idx="49">
                  <c:v>42099</c:v>
                </c:pt>
                <c:pt idx="50">
                  <c:v>42100</c:v>
                </c:pt>
                <c:pt idx="51">
                  <c:v>42101</c:v>
                </c:pt>
                <c:pt idx="52">
                  <c:v>42102</c:v>
                </c:pt>
                <c:pt idx="53">
                  <c:v>42103</c:v>
                </c:pt>
                <c:pt idx="54">
                  <c:v>42104</c:v>
                </c:pt>
                <c:pt idx="55">
                  <c:v>42105</c:v>
                </c:pt>
                <c:pt idx="56">
                  <c:v>42106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42112</c:v>
                </c:pt>
                <c:pt idx="63">
                  <c:v>42113</c:v>
                </c:pt>
                <c:pt idx="64">
                  <c:v>42114</c:v>
                </c:pt>
                <c:pt idx="65">
                  <c:v>42115</c:v>
                </c:pt>
                <c:pt idx="66">
                  <c:v>42116</c:v>
                </c:pt>
                <c:pt idx="67">
                  <c:v>42117</c:v>
                </c:pt>
                <c:pt idx="68">
                  <c:v>42118</c:v>
                </c:pt>
                <c:pt idx="69">
                  <c:v>42119</c:v>
                </c:pt>
                <c:pt idx="70">
                  <c:v>42120</c:v>
                </c:pt>
                <c:pt idx="71">
                  <c:v>42121</c:v>
                </c:pt>
                <c:pt idx="72">
                  <c:v>42122</c:v>
                </c:pt>
                <c:pt idx="73">
                  <c:v>42123</c:v>
                </c:pt>
                <c:pt idx="74">
                  <c:v>42124</c:v>
                </c:pt>
                <c:pt idx="75">
                  <c:v>42125</c:v>
                </c:pt>
                <c:pt idx="76">
                  <c:v>42126</c:v>
                </c:pt>
                <c:pt idx="77">
                  <c:v>42127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42133</c:v>
                </c:pt>
                <c:pt idx="84">
                  <c:v>42134</c:v>
                </c:pt>
                <c:pt idx="85">
                  <c:v>42135</c:v>
                </c:pt>
                <c:pt idx="86">
                  <c:v>42136</c:v>
                </c:pt>
                <c:pt idx="87">
                  <c:v>42137</c:v>
                </c:pt>
                <c:pt idx="88">
                  <c:v>42138</c:v>
                </c:pt>
                <c:pt idx="89">
                  <c:v>42139</c:v>
                </c:pt>
                <c:pt idx="90">
                  <c:v>42140</c:v>
                </c:pt>
                <c:pt idx="91">
                  <c:v>42141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42144</c:v>
                </c:pt>
                <c:pt idx="96">
                  <c:v>42144</c:v>
                </c:pt>
                <c:pt idx="97">
                  <c:v>42144</c:v>
                </c:pt>
                <c:pt idx="98">
                  <c:v>42144</c:v>
                </c:pt>
                <c:pt idx="99">
                  <c:v>42144</c:v>
                </c:pt>
                <c:pt idx="100">
                  <c:v>42144</c:v>
                </c:pt>
                <c:pt idx="101">
                  <c:v>42144</c:v>
                </c:pt>
                <c:pt idx="102">
                  <c:v>42144</c:v>
                </c:pt>
                <c:pt idx="103">
                  <c:v>42144</c:v>
                </c:pt>
                <c:pt idx="104">
                  <c:v>42144</c:v>
                </c:pt>
                <c:pt idx="105">
                  <c:v>42144</c:v>
                </c:pt>
                <c:pt idx="106">
                  <c:v>42144</c:v>
                </c:pt>
                <c:pt idx="107">
                  <c:v>42144</c:v>
                </c:pt>
                <c:pt idx="108">
                  <c:v>42144</c:v>
                </c:pt>
                <c:pt idx="109">
                  <c:v>42144</c:v>
                </c:pt>
                <c:pt idx="110">
                  <c:v>42144</c:v>
                </c:pt>
                <c:pt idx="111">
                  <c:v>42144</c:v>
                </c:pt>
                <c:pt idx="112">
                  <c:v>42144</c:v>
                </c:pt>
                <c:pt idx="113">
                  <c:v>42144</c:v>
                </c:pt>
                <c:pt idx="114">
                  <c:v>42144</c:v>
                </c:pt>
                <c:pt idx="115">
                  <c:v>42144</c:v>
                </c:pt>
                <c:pt idx="116">
                  <c:v>42144</c:v>
                </c:pt>
                <c:pt idx="117">
                  <c:v>42144</c:v>
                </c:pt>
                <c:pt idx="118">
                  <c:v>42144</c:v>
                </c:pt>
                <c:pt idx="119">
                  <c:v>42144</c:v>
                </c:pt>
                <c:pt idx="120">
                  <c:v>42144</c:v>
                </c:pt>
                <c:pt idx="121">
                  <c:v>42144</c:v>
                </c:pt>
                <c:pt idx="122">
                  <c:v>42144</c:v>
                </c:pt>
                <c:pt idx="123">
                  <c:v>42144</c:v>
                </c:pt>
                <c:pt idx="124">
                  <c:v>42144</c:v>
                </c:pt>
                <c:pt idx="125">
                  <c:v>42144</c:v>
                </c:pt>
                <c:pt idx="126">
                  <c:v>42144</c:v>
                </c:pt>
                <c:pt idx="127">
                  <c:v>42144</c:v>
                </c:pt>
                <c:pt idx="128">
                  <c:v>42144</c:v>
                </c:pt>
                <c:pt idx="129">
                  <c:v>42144</c:v>
                </c:pt>
                <c:pt idx="130">
                  <c:v>42144</c:v>
                </c:pt>
                <c:pt idx="131">
                  <c:v>42144</c:v>
                </c:pt>
                <c:pt idx="132">
                  <c:v>42144</c:v>
                </c:pt>
                <c:pt idx="133">
                  <c:v>42144</c:v>
                </c:pt>
                <c:pt idx="134">
                  <c:v>42144</c:v>
                </c:pt>
                <c:pt idx="135">
                  <c:v>42144</c:v>
                </c:pt>
                <c:pt idx="136">
                  <c:v>42144</c:v>
                </c:pt>
                <c:pt idx="137">
                  <c:v>42144</c:v>
                </c:pt>
                <c:pt idx="138">
                  <c:v>42144</c:v>
                </c:pt>
                <c:pt idx="139">
                  <c:v>42144</c:v>
                </c:pt>
                <c:pt idx="140">
                  <c:v>42144</c:v>
                </c:pt>
                <c:pt idx="141">
                  <c:v>42144</c:v>
                </c:pt>
                <c:pt idx="142">
                  <c:v>42144</c:v>
                </c:pt>
                <c:pt idx="143">
                  <c:v>42144</c:v>
                </c:pt>
                <c:pt idx="144">
                  <c:v>42144</c:v>
                </c:pt>
                <c:pt idx="145">
                  <c:v>42144</c:v>
                </c:pt>
                <c:pt idx="146">
                  <c:v>42144</c:v>
                </c:pt>
                <c:pt idx="147">
                  <c:v>42144</c:v>
                </c:pt>
                <c:pt idx="148">
                  <c:v>42144</c:v>
                </c:pt>
                <c:pt idx="149">
                  <c:v>42144</c:v>
                </c:pt>
                <c:pt idx="150">
                  <c:v>42144</c:v>
                </c:pt>
                <c:pt idx="151">
                  <c:v>42144</c:v>
                </c:pt>
                <c:pt idx="152">
                  <c:v>42144</c:v>
                </c:pt>
                <c:pt idx="153">
                  <c:v>42144</c:v>
                </c:pt>
                <c:pt idx="154">
                  <c:v>42144</c:v>
                </c:pt>
                <c:pt idx="155">
                  <c:v>42144</c:v>
                </c:pt>
                <c:pt idx="156">
                  <c:v>42144</c:v>
                </c:pt>
                <c:pt idx="157">
                  <c:v>42144</c:v>
                </c:pt>
                <c:pt idx="158">
                  <c:v>42144</c:v>
                </c:pt>
                <c:pt idx="159">
                  <c:v>42144</c:v>
                </c:pt>
                <c:pt idx="160">
                  <c:v>42144</c:v>
                </c:pt>
                <c:pt idx="161">
                  <c:v>42144</c:v>
                </c:pt>
                <c:pt idx="162">
                  <c:v>42144</c:v>
                </c:pt>
                <c:pt idx="163">
                  <c:v>42144</c:v>
                </c:pt>
                <c:pt idx="164">
                  <c:v>42144</c:v>
                </c:pt>
                <c:pt idx="165">
                  <c:v>42144</c:v>
                </c:pt>
                <c:pt idx="166">
                  <c:v>42144</c:v>
                </c:pt>
                <c:pt idx="167">
                  <c:v>42144</c:v>
                </c:pt>
                <c:pt idx="168">
                  <c:v>42144</c:v>
                </c:pt>
                <c:pt idx="169">
                  <c:v>42144</c:v>
                </c:pt>
                <c:pt idx="170">
                  <c:v>42144</c:v>
                </c:pt>
                <c:pt idx="171">
                  <c:v>42144</c:v>
                </c:pt>
                <c:pt idx="172">
                  <c:v>42144</c:v>
                </c:pt>
                <c:pt idx="173">
                  <c:v>42144</c:v>
                </c:pt>
                <c:pt idx="174">
                  <c:v>42144</c:v>
                </c:pt>
                <c:pt idx="175">
                  <c:v>42144</c:v>
                </c:pt>
                <c:pt idx="176">
                  <c:v>42144</c:v>
                </c:pt>
                <c:pt idx="177">
                  <c:v>42144</c:v>
                </c:pt>
                <c:pt idx="178">
                  <c:v>42144</c:v>
                </c:pt>
                <c:pt idx="179">
                  <c:v>42144</c:v>
                </c:pt>
                <c:pt idx="180">
                  <c:v>42144</c:v>
                </c:pt>
                <c:pt idx="181">
                  <c:v>42144</c:v>
                </c:pt>
                <c:pt idx="182">
                  <c:v>42144</c:v>
                </c:pt>
                <c:pt idx="183">
                  <c:v>42144</c:v>
                </c:pt>
                <c:pt idx="184">
                  <c:v>42144</c:v>
                </c:pt>
                <c:pt idx="185">
                  <c:v>42144</c:v>
                </c:pt>
                <c:pt idx="186">
                  <c:v>42144</c:v>
                </c:pt>
                <c:pt idx="187">
                  <c:v>42144</c:v>
                </c:pt>
                <c:pt idx="188">
                  <c:v>42144</c:v>
                </c:pt>
                <c:pt idx="189">
                  <c:v>42144</c:v>
                </c:pt>
                <c:pt idx="190">
                  <c:v>42144</c:v>
                </c:pt>
                <c:pt idx="191">
                  <c:v>42144</c:v>
                </c:pt>
                <c:pt idx="192">
                  <c:v>42144</c:v>
                </c:pt>
                <c:pt idx="193">
                  <c:v>42144</c:v>
                </c:pt>
                <c:pt idx="194">
                  <c:v>42144</c:v>
                </c:pt>
                <c:pt idx="195">
                  <c:v>42144</c:v>
                </c:pt>
                <c:pt idx="196">
                  <c:v>42144</c:v>
                </c:pt>
                <c:pt idx="197">
                  <c:v>42144</c:v>
                </c:pt>
                <c:pt idx="198">
                  <c:v>42144</c:v>
                </c:pt>
                <c:pt idx="199">
                  <c:v>42144</c:v>
                </c:pt>
                <c:pt idx="200">
                  <c:v>42144</c:v>
                </c:pt>
                <c:pt idx="201">
                  <c:v>42144</c:v>
                </c:pt>
                <c:pt idx="202">
                  <c:v>42144</c:v>
                </c:pt>
                <c:pt idx="203">
                  <c:v>42144</c:v>
                </c:pt>
                <c:pt idx="204">
                  <c:v>42144</c:v>
                </c:pt>
                <c:pt idx="205">
                  <c:v>42144</c:v>
                </c:pt>
                <c:pt idx="206">
                  <c:v>42144</c:v>
                </c:pt>
                <c:pt idx="207">
                  <c:v>42144</c:v>
                </c:pt>
                <c:pt idx="208">
                  <c:v>42144</c:v>
                </c:pt>
                <c:pt idx="209">
                  <c:v>42144</c:v>
                </c:pt>
                <c:pt idx="210">
                  <c:v>42144</c:v>
                </c:pt>
                <c:pt idx="211">
                  <c:v>42144</c:v>
                </c:pt>
                <c:pt idx="212">
                  <c:v>42144</c:v>
                </c:pt>
                <c:pt idx="213">
                  <c:v>42144</c:v>
                </c:pt>
                <c:pt idx="214">
                  <c:v>42144</c:v>
                </c:pt>
                <c:pt idx="215">
                  <c:v>42144</c:v>
                </c:pt>
                <c:pt idx="216">
                  <c:v>42144</c:v>
                </c:pt>
                <c:pt idx="217">
                  <c:v>42144</c:v>
                </c:pt>
                <c:pt idx="218">
                  <c:v>42144</c:v>
                </c:pt>
                <c:pt idx="219">
                  <c:v>42144</c:v>
                </c:pt>
                <c:pt idx="220">
                  <c:v>42144</c:v>
                </c:pt>
                <c:pt idx="221">
                  <c:v>42144</c:v>
                </c:pt>
                <c:pt idx="222">
                  <c:v>42144</c:v>
                </c:pt>
                <c:pt idx="223">
                  <c:v>42144</c:v>
                </c:pt>
                <c:pt idx="224">
                  <c:v>42144</c:v>
                </c:pt>
                <c:pt idx="225">
                  <c:v>42144</c:v>
                </c:pt>
                <c:pt idx="226">
                  <c:v>42144</c:v>
                </c:pt>
                <c:pt idx="227">
                  <c:v>42144</c:v>
                </c:pt>
                <c:pt idx="228">
                  <c:v>42144</c:v>
                </c:pt>
                <c:pt idx="229">
                  <c:v>42144</c:v>
                </c:pt>
                <c:pt idx="230">
                  <c:v>42144</c:v>
                </c:pt>
                <c:pt idx="231">
                  <c:v>42144</c:v>
                </c:pt>
                <c:pt idx="232">
                  <c:v>42144</c:v>
                </c:pt>
                <c:pt idx="233">
                  <c:v>42144</c:v>
                </c:pt>
                <c:pt idx="234">
                  <c:v>42144</c:v>
                </c:pt>
                <c:pt idx="235">
                  <c:v>42144</c:v>
                </c:pt>
                <c:pt idx="236">
                  <c:v>42144</c:v>
                </c:pt>
                <c:pt idx="237">
                  <c:v>42144</c:v>
                </c:pt>
                <c:pt idx="238">
                  <c:v>42144</c:v>
                </c:pt>
                <c:pt idx="239">
                  <c:v>42144</c:v>
                </c:pt>
                <c:pt idx="240">
                  <c:v>42144</c:v>
                </c:pt>
                <c:pt idx="241">
                  <c:v>42144</c:v>
                </c:pt>
                <c:pt idx="242">
                  <c:v>42144</c:v>
                </c:pt>
                <c:pt idx="243">
                  <c:v>42144</c:v>
                </c:pt>
                <c:pt idx="244">
                  <c:v>42144</c:v>
                </c:pt>
                <c:pt idx="245">
                  <c:v>42144</c:v>
                </c:pt>
                <c:pt idx="246">
                  <c:v>42144</c:v>
                </c:pt>
                <c:pt idx="247">
                  <c:v>42144</c:v>
                </c:pt>
                <c:pt idx="248">
                  <c:v>42144</c:v>
                </c:pt>
                <c:pt idx="249">
                  <c:v>42144</c:v>
                </c:pt>
                <c:pt idx="250">
                  <c:v>42144</c:v>
                </c:pt>
                <c:pt idx="251">
                  <c:v>42144</c:v>
                </c:pt>
                <c:pt idx="252">
                  <c:v>42144</c:v>
                </c:pt>
                <c:pt idx="253">
                  <c:v>42144</c:v>
                </c:pt>
                <c:pt idx="254">
                  <c:v>42144</c:v>
                </c:pt>
                <c:pt idx="255">
                  <c:v>42144</c:v>
                </c:pt>
                <c:pt idx="256">
                  <c:v>42144</c:v>
                </c:pt>
                <c:pt idx="257">
                  <c:v>42144</c:v>
                </c:pt>
                <c:pt idx="258">
                  <c:v>42144</c:v>
                </c:pt>
                <c:pt idx="259">
                  <c:v>42144</c:v>
                </c:pt>
                <c:pt idx="260">
                  <c:v>42144</c:v>
                </c:pt>
                <c:pt idx="261">
                  <c:v>42144</c:v>
                </c:pt>
                <c:pt idx="262">
                  <c:v>42144</c:v>
                </c:pt>
                <c:pt idx="263">
                  <c:v>42144</c:v>
                </c:pt>
                <c:pt idx="264">
                  <c:v>42144</c:v>
                </c:pt>
                <c:pt idx="265">
                  <c:v>42144</c:v>
                </c:pt>
                <c:pt idx="266">
                  <c:v>42144</c:v>
                </c:pt>
                <c:pt idx="267">
                  <c:v>42144</c:v>
                </c:pt>
                <c:pt idx="268">
                  <c:v>42144</c:v>
                </c:pt>
                <c:pt idx="269">
                  <c:v>42144</c:v>
                </c:pt>
                <c:pt idx="270">
                  <c:v>42144</c:v>
                </c:pt>
                <c:pt idx="271">
                  <c:v>42144</c:v>
                </c:pt>
                <c:pt idx="272">
                  <c:v>42144</c:v>
                </c:pt>
                <c:pt idx="273">
                  <c:v>42144</c:v>
                </c:pt>
                <c:pt idx="274">
                  <c:v>42144</c:v>
                </c:pt>
                <c:pt idx="275">
                  <c:v>42144</c:v>
                </c:pt>
                <c:pt idx="276">
                  <c:v>42144</c:v>
                </c:pt>
                <c:pt idx="277">
                  <c:v>42144</c:v>
                </c:pt>
                <c:pt idx="278">
                  <c:v>42144</c:v>
                </c:pt>
                <c:pt idx="279">
                  <c:v>42144</c:v>
                </c:pt>
                <c:pt idx="280">
                  <c:v>42144</c:v>
                </c:pt>
                <c:pt idx="281">
                  <c:v>42144</c:v>
                </c:pt>
                <c:pt idx="282">
                  <c:v>42144</c:v>
                </c:pt>
                <c:pt idx="283">
                  <c:v>42144</c:v>
                </c:pt>
                <c:pt idx="284">
                  <c:v>42144</c:v>
                </c:pt>
                <c:pt idx="285">
                  <c:v>42144</c:v>
                </c:pt>
                <c:pt idx="286">
                  <c:v>42144</c:v>
                </c:pt>
                <c:pt idx="287">
                  <c:v>42144</c:v>
                </c:pt>
                <c:pt idx="288">
                  <c:v>42144</c:v>
                </c:pt>
                <c:pt idx="289">
                  <c:v>42144</c:v>
                </c:pt>
                <c:pt idx="290">
                  <c:v>42144</c:v>
                </c:pt>
                <c:pt idx="291">
                  <c:v>42144</c:v>
                </c:pt>
                <c:pt idx="292">
                  <c:v>42144</c:v>
                </c:pt>
                <c:pt idx="293">
                  <c:v>42144</c:v>
                </c:pt>
                <c:pt idx="294">
                  <c:v>42144</c:v>
                </c:pt>
                <c:pt idx="295">
                  <c:v>42144</c:v>
                </c:pt>
                <c:pt idx="296">
                  <c:v>42144</c:v>
                </c:pt>
                <c:pt idx="297">
                  <c:v>42144</c:v>
                </c:pt>
                <c:pt idx="298">
                  <c:v>42144</c:v>
                </c:pt>
                <c:pt idx="299">
                  <c:v>42144</c:v>
                </c:pt>
                <c:pt idx="300">
                  <c:v>42144</c:v>
                </c:pt>
                <c:pt idx="301">
                  <c:v>42144</c:v>
                </c:pt>
                <c:pt idx="302">
                  <c:v>42144</c:v>
                </c:pt>
                <c:pt idx="303">
                  <c:v>42144</c:v>
                </c:pt>
                <c:pt idx="304">
                  <c:v>42144</c:v>
                </c:pt>
                <c:pt idx="305">
                  <c:v>42144</c:v>
                </c:pt>
                <c:pt idx="306">
                  <c:v>42144</c:v>
                </c:pt>
                <c:pt idx="307">
                  <c:v>42144</c:v>
                </c:pt>
                <c:pt idx="308">
                  <c:v>42144</c:v>
                </c:pt>
                <c:pt idx="309">
                  <c:v>42144</c:v>
                </c:pt>
                <c:pt idx="310">
                  <c:v>42144</c:v>
                </c:pt>
                <c:pt idx="311">
                  <c:v>42144</c:v>
                </c:pt>
                <c:pt idx="312">
                  <c:v>42144</c:v>
                </c:pt>
                <c:pt idx="313">
                  <c:v>42144</c:v>
                </c:pt>
                <c:pt idx="314">
                  <c:v>42144</c:v>
                </c:pt>
                <c:pt idx="315">
                  <c:v>42144</c:v>
                </c:pt>
                <c:pt idx="316">
                  <c:v>42144</c:v>
                </c:pt>
                <c:pt idx="317">
                  <c:v>42144</c:v>
                </c:pt>
                <c:pt idx="318">
                  <c:v>42144</c:v>
                </c:pt>
                <c:pt idx="319">
                  <c:v>42144</c:v>
                </c:pt>
                <c:pt idx="320">
                  <c:v>42144</c:v>
                </c:pt>
                <c:pt idx="321">
                  <c:v>42144</c:v>
                </c:pt>
                <c:pt idx="322">
                  <c:v>42144</c:v>
                </c:pt>
                <c:pt idx="323">
                  <c:v>42144</c:v>
                </c:pt>
                <c:pt idx="324">
                  <c:v>42144</c:v>
                </c:pt>
                <c:pt idx="325">
                  <c:v>42144</c:v>
                </c:pt>
                <c:pt idx="326">
                  <c:v>42144</c:v>
                </c:pt>
                <c:pt idx="327">
                  <c:v>42144</c:v>
                </c:pt>
                <c:pt idx="328">
                  <c:v>42144</c:v>
                </c:pt>
                <c:pt idx="329">
                  <c:v>42144</c:v>
                </c:pt>
                <c:pt idx="330">
                  <c:v>42144</c:v>
                </c:pt>
                <c:pt idx="331">
                  <c:v>42144</c:v>
                </c:pt>
                <c:pt idx="332">
                  <c:v>42144</c:v>
                </c:pt>
                <c:pt idx="333">
                  <c:v>42144</c:v>
                </c:pt>
                <c:pt idx="334">
                  <c:v>42144</c:v>
                </c:pt>
                <c:pt idx="335">
                  <c:v>42144</c:v>
                </c:pt>
                <c:pt idx="336">
                  <c:v>42144</c:v>
                </c:pt>
                <c:pt idx="337">
                  <c:v>42144</c:v>
                </c:pt>
                <c:pt idx="338">
                  <c:v>42144</c:v>
                </c:pt>
                <c:pt idx="339">
                  <c:v>42144</c:v>
                </c:pt>
                <c:pt idx="340">
                  <c:v>42144</c:v>
                </c:pt>
                <c:pt idx="341">
                  <c:v>42144</c:v>
                </c:pt>
                <c:pt idx="342">
                  <c:v>42144</c:v>
                </c:pt>
                <c:pt idx="343">
                  <c:v>42144</c:v>
                </c:pt>
                <c:pt idx="344">
                  <c:v>42144</c:v>
                </c:pt>
                <c:pt idx="345">
                  <c:v>42144</c:v>
                </c:pt>
                <c:pt idx="346">
                  <c:v>42144</c:v>
                </c:pt>
                <c:pt idx="347">
                  <c:v>42144</c:v>
                </c:pt>
                <c:pt idx="348">
                  <c:v>42144</c:v>
                </c:pt>
                <c:pt idx="349">
                  <c:v>42144</c:v>
                </c:pt>
                <c:pt idx="350">
                  <c:v>42144</c:v>
                </c:pt>
                <c:pt idx="351">
                  <c:v>42144</c:v>
                </c:pt>
                <c:pt idx="352">
                  <c:v>42144</c:v>
                </c:pt>
                <c:pt idx="353">
                  <c:v>42144</c:v>
                </c:pt>
                <c:pt idx="354">
                  <c:v>42144</c:v>
                </c:pt>
                <c:pt idx="355">
                  <c:v>42144</c:v>
                </c:pt>
                <c:pt idx="356">
                  <c:v>42144</c:v>
                </c:pt>
                <c:pt idx="357">
                  <c:v>42144</c:v>
                </c:pt>
                <c:pt idx="358">
                  <c:v>42144</c:v>
                </c:pt>
                <c:pt idx="359">
                  <c:v>42144</c:v>
                </c:pt>
                <c:pt idx="360">
                  <c:v>42144</c:v>
                </c:pt>
                <c:pt idx="361">
                  <c:v>42144</c:v>
                </c:pt>
                <c:pt idx="362">
                  <c:v>42144</c:v>
                </c:pt>
                <c:pt idx="363">
                  <c:v>42144</c:v>
                </c:pt>
                <c:pt idx="364">
                  <c:v>42144</c:v>
                </c:pt>
              </c:numCache>
            </c:numRef>
          </c:cat>
          <c:val>
            <c:numRef>
              <c:f>Bilan_hydrique!$P$2:$P$365</c:f>
              <c:numCache>
                <c:formatCode>General</c:formatCode>
                <c:ptCount val="364"/>
                <c:pt idx="0">
                  <c:v>68.40100000000001</c:v>
                </c:pt>
                <c:pt idx="1">
                  <c:v>68.002960327097597</c:v>
                </c:pt>
                <c:pt idx="2">
                  <c:v>68.40100000000001</c:v>
                </c:pt>
                <c:pt idx="3">
                  <c:v>68.40100000000001</c:v>
                </c:pt>
                <c:pt idx="4">
                  <c:v>68.014864055392309</c:v>
                </c:pt>
                <c:pt idx="5">
                  <c:v>67.459245812861553</c:v>
                </c:pt>
                <c:pt idx="6">
                  <c:v>68.40100000000001</c:v>
                </c:pt>
                <c:pt idx="7">
                  <c:v>68.40100000000001</c:v>
                </c:pt>
                <c:pt idx="8">
                  <c:v>67.930475058804717</c:v>
                </c:pt>
                <c:pt idx="9">
                  <c:v>68.40100000000001</c:v>
                </c:pt>
                <c:pt idx="10">
                  <c:v>68.40100000000001</c:v>
                </c:pt>
                <c:pt idx="11">
                  <c:v>68.40100000000001</c:v>
                </c:pt>
                <c:pt idx="12">
                  <c:v>68.40100000000001</c:v>
                </c:pt>
                <c:pt idx="13">
                  <c:v>67.970507810157841</c:v>
                </c:pt>
                <c:pt idx="14">
                  <c:v>67.806743215278146</c:v>
                </c:pt>
                <c:pt idx="15">
                  <c:v>68.40100000000001</c:v>
                </c:pt>
                <c:pt idx="16">
                  <c:v>68.40100000000001</c:v>
                </c:pt>
                <c:pt idx="17">
                  <c:v>68.40100000000001</c:v>
                </c:pt>
                <c:pt idx="18">
                  <c:v>68.40100000000001</c:v>
                </c:pt>
                <c:pt idx="19">
                  <c:v>67.767963669376243</c:v>
                </c:pt>
                <c:pt idx="20">
                  <c:v>67.05920567428474</c:v>
                </c:pt>
                <c:pt idx="21">
                  <c:v>66.210440858232587</c:v>
                </c:pt>
                <c:pt idx="22">
                  <c:v>65.323464729854479</c:v>
                </c:pt>
                <c:pt idx="23">
                  <c:v>64.809914057115023</c:v>
                </c:pt>
                <c:pt idx="24">
                  <c:v>64.018269571771512</c:v>
                </c:pt>
                <c:pt idx="25">
                  <c:v>63.032307054382123</c:v>
                </c:pt>
                <c:pt idx="26">
                  <c:v>62.158967200549775</c:v>
                </c:pt>
                <c:pt idx="27">
                  <c:v>63.374034025474259</c:v>
                </c:pt>
                <c:pt idx="28">
                  <c:v>63.785778215713854</c:v>
                </c:pt>
                <c:pt idx="29">
                  <c:v>63.07708854468153</c:v>
                </c:pt>
                <c:pt idx="30">
                  <c:v>62.761218711046929</c:v>
                </c:pt>
                <c:pt idx="31">
                  <c:v>61.790081230553895</c:v>
                </c:pt>
                <c:pt idx="32">
                  <c:v>61.304341387020756</c:v>
                </c:pt>
                <c:pt idx="33">
                  <c:v>60.633382857810034</c:v>
                </c:pt>
                <c:pt idx="34">
                  <c:v>66.125057001318694</c:v>
                </c:pt>
                <c:pt idx="35">
                  <c:v>68.154521031939382</c:v>
                </c:pt>
                <c:pt idx="36">
                  <c:v>67.643178235962182</c:v>
                </c:pt>
                <c:pt idx="37">
                  <c:v>67.603151176994558</c:v>
                </c:pt>
                <c:pt idx="38">
                  <c:v>68.40100000000001</c:v>
                </c:pt>
                <c:pt idx="39">
                  <c:v>68.351484730368938</c:v>
                </c:pt>
                <c:pt idx="40">
                  <c:v>68.300066103736725</c:v>
                </c:pt>
                <c:pt idx="41">
                  <c:v>68.187228108389206</c:v>
                </c:pt>
                <c:pt idx="42">
                  <c:v>67.725343675475273</c:v>
                </c:pt>
                <c:pt idx="43">
                  <c:v>68.11385692074235</c:v>
                </c:pt>
                <c:pt idx="44">
                  <c:v>68.121427793968138</c:v>
                </c:pt>
                <c:pt idx="45">
                  <c:v>68.40100000000001</c:v>
                </c:pt>
                <c:pt idx="46">
                  <c:v>67.77987127014417</c:v>
                </c:pt>
                <c:pt idx="47">
                  <c:v>67.192939803808429</c:v>
                </c:pt>
                <c:pt idx="48">
                  <c:v>66.731231734804823</c:v>
                </c:pt>
                <c:pt idx="49">
                  <c:v>66.748008735189316</c:v>
                </c:pt>
                <c:pt idx="50">
                  <c:v>65.533136270926605</c:v>
                </c:pt>
                <c:pt idx="51">
                  <c:v>64.287308768948051</c:v>
                </c:pt>
                <c:pt idx="52">
                  <c:v>62.912380182169116</c:v>
                </c:pt>
                <c:pt idx="53">
                  <c:v>61.508431400481307</c:v>
                </c:pt>
                <c:pt idx="54">
                  <c:v>60.105238002389036</c:v>
                </c:pt>
                <c:pt idx="55">
                  <c:v>60.660644110512294</c:v>
                </c:pt>
                <c:pt idx="56">
                  <c:v>59.77856074584669</c:v>
                </c:pt>
                <c:pt idx="57">
                  <c:v>58.327231810241514</c:v>
                </c:pt>
                <c:pt idx="58">
                  <c:v>56.640474425212169</c:v>
                </c:pt>
                <c:pt idx="59">
                  <c:v>54.87977973265631</c:v>
                </c:pt>
                <c:pt idx="60">
                  <c:v>53.221971134683727</c:v>
                </c:pt>
                <c:pt idx="61">
                  <c:v>52.757970111409257</c:v>
                </c:pt>
                <c:pt idx="62">
                  <c:v>52.551002170295547</c:v>
                </c:pt>
                <c:pt idx="63">
                  <c:v>63.165567577208485</c:v>
                </c:pt>
                <c:pt idx="64">
                  <c:v>68.40100000000001</c:v>
                </c:pt>
                <c:pt idx="65">
                  <c:v>67.211238315643143</c:v>
                </c:pt>
                <c:pt idx="66">
                  <c:v>65.456640349879279</c:v>
                </c:pt>
                <c:pt idx="67">
                  <c:v>64.013968033033478</c:v>
                </c:pt>
                <c:pt idx="68">
                  <c:v>64.350508109250924</c:v>
                </c:pt>
                <c:pt idx="69">
                  <c:v>62.997069237306015</c:v>
                </c:pt>
                <c:pt idx="70">
                  <c:v>62.97250961410338</c:v>
                </c:pt>
                <c:pt idx="71">
                  <c:v>68.40100000000001</c:v>
                </c:pt>
                <c:pt idx="72">
                  <c:v>68.40100000000001</c:v>
                </c:pt>
                <c:pt idx="73">
                  <c:v>67.360539620494379</c:v>
                </c:pt>
                <c:pt idx="74">
                  <c:v>65.980952751989904</c:v>
                </c:pt>
                <c:pt idx="75">
                  <c:v>66.166922548699105</c:v>
                </c:pt>
                <c:pt idx="76">
                  <c:v>68.40100000000001</c:v>
                </c:pt>
                <c:pt idx="77">
                  <c:v>68.40100000000001</c:v>
                </c:pt>
                <c:pt idx="78">
                  <c:v>68.40100000000001</c:v>
                </c:pt>
                <c:pt idx="79">
                  <c:v>68.40100000000001</c:v>
                </c:pt>
                <c:pt idx="80">
                  <c:v>68.086761531522811</c:v>
                </c:pt>
                <c:pt idx="81">
                  <c:v>66.893558010436124</c:v>
                </c:pt>
                <c:pt idx="82">
                  <c:v>65.925455584151464</c:v>
                </c:pt>
                <c:pt idx="83">
                  <c:v>68.40100000000001</c:v>
                </c:pt>
                <c:pt idx="84">
                  <c:v>67.196677717110333</c:v>
                </c:pt>
                <c:pt idx="85">
                  <c:v>65.273989051924048</c:v>
                </c:pt>
                <c:pt idx="86">
                  <c:v>63.34119793733268</c:v>
                </c:pt>
                <c:pt idx="87">
                  <c:v>61.425474551863857</c:v>
                </c:pt>
                <c:pt idx="88">
                  <c:v>59.435694017330192</c:v>
                </c:pt>
                <c:pt idx="89">
                  <c:v>58.96168249842529</c:v>
                </c:pt>
                <c:pt idx="90">
                  <c:v>62.470685949485386</c:v>
                </c:pt>
                <c:pt idx="91">
                  <c:v>61.586294015135323</c:v>
                </c:pt>
                <c:pt idx="92">
                  <c:v>60.02938124072692</c:v>
                </c:pt>
                <c:pt idx="93">
                  <c:v>58.215039665859365</c:v>
                </c:pt>
                <c:pt idx="94">
                  <c:v>57.584062731725865</c:v>
                </c:pt>
                <c:pt idx="95">
                  <c:v>58.17907690221746</c:v>
                </c:pt>
                <c:pt idx="96">
                  <c:v>58.17907690221746</c:v>
                </c:pt>
                <c:pt idx="97">
                  <c:v>58.17907690221746</c:v>
                </c:pt>
                <c:pt idx="98">
                  <c:v>58.17907690221746</c:v>
                </c:pt>
                <c:pt idx="99">
                  <c:v>58.17907690221746</c:v>
                </c:pt>
                <c:pt idx="100">
                  <c:v>58.17907690221746</c:v>
                </c:pt>
                <c:pt idx="101">
                  <c:v>58.17907690221746</c:v>
                </c:pt>
                <c:pt idx="102">
                  <c:v>58.17907690221746</c:v>
                </c:pt>
                <c:pt idx="103">
                  <c:v>58.17907690221746</c:v>
                </c:pt>
                <c:pt idx="104">
                  <c:v>58.17907690221746</c:v>
                </c:pt>
                <c:pt idx="105">
                  <c:v>58.17907690221746</c:v>
                </c:pt>
                <c:pt idx="106">
                  <c:v>58.17907690221746</c:v>
                </c:pt>
                <c:pt idx="107">
                  <c:v>58.17907690221746</c:v>
                </c:pt>
                <c:pt idx="108">
                  <c:v>58.17907690221746</c:v>
                </c:pt>
                <c:pt idx="109">
                  <c:v>58.17907690221746</c:v>
                </c:pt>
                <c:pt idx="110">
                  <c:v>58.17907690221746</c:v>
                </c:pt>
                <c:pt idx="111">
                  <c:v>58.17907690221746</c:v>
                </c:pt>
                <c:pt idx="112">
                  <c:v>58.17907690221746</c:v>
                </c:pt>
                <c:pt idx="113">
                  <c:v>58.17907690221746</c:v>
                </c:pt>
                <c:pt idx="114">
                  <c:v>58.17907690221746</c:v>
                </c:pt>
                <c:pt idx="115">
                  <c:v>58.17907690221746</c:v>
                </c:pt>
                <c:pt idx="116">
                  <c:v>58.17907690221746</c:v>
                </c:pt>
                <c:pt idx="117">
                  <c:v>58.17907690221746</c:v>
                </c:pt>
                <c:pt idx="118">
                  <c:v>58.17907690221746</c:v>
                </c:pt>
                <c:pt idx="119">
                  <c:v>58.17907690221746</c:v>
                </c:pt>
                <c:pt idx="120">
                  <c:v>58.17907690221746</c:v>
                </c:pt>
                <c:pt idx="121">
                  <c:v>58.17907690221746</c:v>
                </c:pt>
                <c:pt idx="122">
                  <c:v>58.17907690221746</c:v>
                </c:pt>
                <c:pt idx="123">
                  <c:v>58.17907690221746</c:v>
                </c:pt>
                <c:pt idx="124">
                  <c:v>58.17907690221746</c:v>
                </c:pt>
                <c:pt idx="125">
                  <c:v>58.17907690221746</c:v>
                </c:pt>
                <c:pt idx="126">
                  <c:v>58.17907690221746</c:v>
                </c:pt>
                <c:pt idx="127">
                  <c:v>58.17907690221746</c:v>
                </c:pt>
                <c:pt idx="128">
                  <c:v>58.17907690221746</c:v>
                </c:pt>
                <c:pt idx="129">
                  <c:v>58.17907690221746</c:v>
                </c:pt>
                <c:pt idx="130">
                  <c:v>58.17907690221746</c:v>
                </c:pt>
                <c:pt idx="131">
                  <c:v>58.17907690221746</c:v>
                </c:pt>
                <c:pt idx="132">
                  <c:v>58.17907690221746</c:v>
                </c:pt>
                <c:pt idx="133">
                  <c:v>58.17907690221746</c:v>
                </c:pt>
                <c:pt idx="134">
                  <c:v>58.17907690221746</c:v>
                </c:pt>
                <c:pt idx="135">
                  <c:v>58.17907690221746</c:v>
                </c:pt>
                <c:pt idx="136">
                  <c:v>58.17907690221746</c:v>
                </c:pt>
                <c:pt idx="137">
                  <c:v>58.17907690221746</c:v>
                </c:pt>
                <c:pt idx="138">
                  <c:v>58.17907690221746</c:v>
                </c:pt>
                <c:pt idx="139">
                  <c:v>58.17907690221746</c:v>
                </c:pt>
                <c:pt idx="140">
                  <c:v>58.17907690221746</c:v>
                </c:pt>
                <c:pt idx="141">
                  <c:v>58.17907690221746</c:v>
                </c:pt>
                <c:pt idx="142">
                  <c:v>58.17907690221746</c:v>
                </c:pt>
                <c:pt idx="143">
                  <c:v>58.17907690221746</c:v>
                </c:pt>
                <c:pt idx="144">
                  <c:v>58.17907690221746</c:v>
                </c:pt>
                <c:pt idx="145">
                  <c:v>58.17907690221746</c:v>
                </c:pt>
                <c:pt idx="146">
                  <c:v>58.17907690221746</c:v>
                </c:pt>
                <c:pt idx="147">
                  <c:v>58.17907690221746</c:v>
                </c:pt>
                <c:pt idx="148">
                  <c:v>58.17907690221746</c:v>
                </c:pt>
                <c:pt idx="149">
                  <c:v>58.17907690221746</c:v>
                </c:pt>
                <c:pt idx="150">
                  <c:v>58.17907690221746</c:v>
                </c:pt>
                <c:pt idx="151">
                  <c:v>58.17907690221746</c:v>
                </c:pt>
                <c:pt idx="152">
                  <c:v>58.17907690221746</c:v>
                </c:pt>
                <c:pt idx="153">
                  <c:v>58.17907690221746</c:v>
                </c:pt>
                <c:pt idx="154">
                  <c:v>58.17907690221746</c:v>
                </c:pt>
                <c:pt idx="155">
                  <c:v>58.17907690221746</c:v>
                </c:pt>
                <c:pt idx="156">
                  <c:v>58.17907690221746</c:v>
                </c:pt>
                <c:pt idx="157">
                  <c:v>58.17907690221746</c:v>
                </c:pt>
                <c:pt idx="158">
                  <c:v>58.17907690221746</c:v>
                </c:pt>
                <c:pt idx="159">
                  <c:v>58.17907690221746</c:v>
                </c:pt>
                <c:pt idx="160">
                  <c:v>58.17907690221746</c:v>
                </c:pt>
                <c:pt idx="161">
                  <c:v>58.17907690221746</c:v>
                </c:pt>
                <c:pt idx="162">
                  <c:v>58.17907690221746</c:v>
                </c:pt>
                <c:pt idx="163">
                  <c:v>58.17907690221746</c:v>
                </c:pt>
                <c:pt idx="164">
                  <c:v>58.17907690221746</c:v>
                </c:pt>
                <c:pt idx="165">
                  <c:v>58.17907690221746</c:v>
                </c:pt>
                <c:pt idx="166">
                  <c:v>58.17907690221746</c:v>
                </c:pt>
                <c:pt idx="167">
                  <c:v>58.17907690221746</c:v>
                </c:pt>
                <c:pt idx="168">
                  <c:v>58.17907690221746</c:v>
                </c:pt>
                <c:pt idx="169">
                  <c:v>58.17907690221746</c:v>
                </c:pt>
                <c:pt idx="170">
                  <c:v>58.17907690221746</c:v>
                </c:pt>
                <c:pt idx="171">
                  <c:v>58.17907690221746</c:v>
                </c:pt>
                <c:pt idx="172">
                  <c:v>58.17907690221746</c:v>
                </c:pt>
                <c:pt idx="173">
                  <c:v>58.17907690221746</c:v>
                </c:pt>
                <c:pt idx="174">
                  <c:v>58.17907690221746</c:v>
                </c:pt>
                <c:pt idx="175">
                  <c:v>58.17907690221746</c:v>
                </c:pt>
                <c:pt idx="176">
                  <c:v>58.17907690221746</c:v>
                </c:pt>
                <c:pt idx="177">
                  <c:v>58.17907690221746</c:v>
                </c:pt>
                <c:pt idx="178">
                  <c:v>58.17907690221746</c:v>
                </c:pt>
                <c:pt idx="179">
                  <c:v>58.17907690221746</c:v>
                </c:pt>
                <c:pt idx="180">
                  <c:v>58.17907690221746</c:v>
                </c:pt>
                <c:pt idx="181">
                  <c:v>58.17907690221746</c:v>
                </c:pt>
                <c:pt idx="182">
                  <c:v>58.17907690221746</c:v>
                </c:pt>
                <c:pt idx="183">
                  <c:v>58.17907690221746</c:v>
                </c:pt>
                <c:pt idx="184">
                  <c:v>58.17907690221746</c:v>
                </c:pt>
                <c:pt idx="185">
                  <c:v>58.17907690221746</c:v>
                </c:pt>
                <c:pt idx="186">
                  <c:v>58.17907690221746</c:v>
                </c:pt>
                <c:pt idx="187">
                  <c:v>58.17907690221746</c:v>
                </c:pt>
                <c:pt idx="188">
                  <c:v>58.17907690221746</c:v>
                </c:pt>
                <c:pt idx="189">
                  <c:v>58.17907690221746</c:v>
                </c:pt>
                <c:pt idx="190">
                  <c:v>58.17907690221746</c:v>
                </c:pt>
                <c:pt idx="191">
                  <c:v>58.17907690221746</c:v>
                </c:pt>
                <c:pt idx="192">
                  <c:v>58.17907690221746</c:v>
                </c:pt>
                <c:pt idx="193">
                  <c:v>58.17907690221746</c:v>
                </c:pt>
                <c:pt idx="194">
                  <c:v>58.17907690221746</c:v>
                </c:pt>
                <c:pt idx="195">
                  <c:v>58.17907690221746</c:v>
                </c:pt>
                <c:pt idx="196">
                  <c:v>58.17907690221746</c:v>
                </c:pt>
                <c:pt idx="197">
                  <c:v>58.17907690221746</c:v>
                </c:pt>
                <c:pt idx="198">
                  <c:v>58.17907690221746</c:v>
                </c:pt>
                <c:pt idx="199">
                  <c:v>58.17907690221746</c:v>
                </c:pt>
                <c:pt idx="200">
                  <c:v>58.17907690221746</c:v>
                </c:pt>
                <c:pt idx="201">
                  <c:v>58.17907690221746</c:v>
                </c:pt>
                <c:pt idx="202">
                  <c:v>58.17907690221746</c:v>
                </c:pt>
                <c:pt idx="203">
                  <c:v>58.17907690221746</c:v>
                </c:pt>
                <c:pt idx="204">
                  <c:v>58.17907690221746</c:v>
                </c:pt>
                <c:pt idx="205">
                  <c:v>58.17907690221746</c:v>
                </c:pt>
                <c:pt idx="206">
                  <c:v>58.17907690221746</c:v>
                </c:pt>
                <c:pt idx="207">
                  <c:v>58.17907690221746</c:v>
                </c:pt>
                <c:pt idx="208">
                  <c:v>58.17907690221746</c:v>
                </c:pt>
                <c:pt idx="209">
                  <c:v>58.17907690221746</c:v>
                </c:pt>
                <c:pt idx="210">
                  <c:v>58.17907690221746</c:v>
                </c:pt>
                <c:pt idx="211">
                  <c:v>58.17907690221746</c:v>
                </c:pt>
                <c:pt idx="212">
                  <c:v>58.17907690221746</c:v>
                </c:pt>
                <c:pt idx="213">
                  <c:v>58.17907690221746</c:v>
                </c:pt>
                <c:pt idx="214">
                  <c:v>58.17907690221746</c:v>
                </c:pt>
                <c:pt idx="215">
                  <c:v>58.17907690221746</c:v>
                </c:pt>
                <c:pt idx="216">
                  <c:v>58.17907690221746</c:v>
                </c:pt>
                <c:pt idx="217">
                  <c:v>58.17907690221746</c:v>
                </c:pt>
                <c:pt idx="218">
                  <c:v>58.17907690221746</c:v>
                </c:pt>
                <c:pt idx="219">
                  <c:v>58.17907690221746</c:v>
                </c:pt>
                <c:pt idx="220">
                  <c:v>58.17907690221746</c:v>
                </c:pt>
                <c:pt idx="221">
                  <c:v>58.17907690221746</c:v>
                </c:pt>
                <c:pt idx="222">
                  <c:v>58.17907690221746</c:v>
                </c:pt>
                <c:pt idx="223">
                  <c:v>58.17907690221746</c:v>
                </c:pt>
                <c:pt idx="224">
                  <c:v>58.17907690221746</c:v>
                </c:pt>
                <c:pt idx="225">
                  <c:v>58.17907690221746</c:v>
                </c:pt>
                <c:pt idx="226">
                  <c:v>58.17907690221746</c:v>
                </c:pt>
                <c:pt idx="227">
                  <c:v>58.17907690221746</c:v>
                </c:pt>
                <c:pt idx="228">
                  <c:v>58.17907690221746</c:v>
                </c:pt>
                <c:pt idx="229">
                  <c:v>58.17907690221746</c:v>
                </c:pt>
                <c:pt idx="230">
                  <c:v>58.17907690221746</c:v>
                </c:pt>
                <c:pt idx="231">
                  <c:v>58.17907690221746</c:v>
                </c:pt>
                <c:pt idx="232">
                  <c:v>58.17907690221746</c:v>
                </c:pt>
                <c:pt idx="233">
                  <c:v>58.17907690221746</c:v>
                </c:pt>
                <c:pt idx="234">
                  <c:v>58.17907690221746</c:v>
                </c:pt>
                <c:pt idx="235">
                  <c:v>58.17907690221746</c:v>
                </c:pt>
                <c:pt idx="236">
                  <c:v>58.17907690221746</c:v>
                </c:pt>
                <c:pt idx="237">
                  <c:v>58.17907690221746</c:v>
                </c:pt>
                <c:pt idx="238">
                  <c:v>58.17907690221746</c:v>
                </c:pt>
                <c:pt idx="239">
                  <c:v>58.17907690221746</c:v>
                </c:pt>
                <c:pt idx="240">
                  <c:v>58.17907690221746</c:v>
                </c:pt>
                <c:pt idx="241">
                  <c:v>58.17907690221746</c:v>
                </c:pt>
                <c:pt idx="242">
                  <c:v>58.17907690221746</c:v>
                </c:pt>
                <c:pt idx="243">
                  <c:v>58.17907690221746</c:v>
                </c:pt>
                <c:pt idx="244">
                  <c:v>58.17907690221746</c:v>
                </c:pt>
                <c:pt idx="245">
                  <c:v>58.17907690221746</c:v>
                </c:pt>
                <c:pt idx="246">
                  <c:v>58.17907690221746</c:v>
                </c:pt>
                <c:pt idx="247">
                  <c:v>58.17907690221746</c:v>
                </c:pt>
                <c:pt idx="248">
                  <c:v>58.17907690221746</c:v>
                </c:pt>
                <c:pt idx="249">
                  <c:v>58.17907690221746</c:v>
                </c:pt>
                <c:pt idx="250">
                  <c:v>58.17907690221746</c:v>
                </c:pt>
                <c:pt idx="251">
                  <c:v>58.17907690221746</c:v>
                </c:pt>
                <c:pt idx="252">
                  <c:v>58.17907690221746</c:v>
                </c:pt>
                <c:pt idx="253">
                  <c:v>58.17907690221746</c:v>
                </c:pt>
                <c:pt idx="254">
                  <c:v>58.17907690221746</c:v>
                </c:pt>
                <c:pt idx="255">
                  <c:v>58.17907690221746</c:v>
                </c:pt>
                <c:pt idx="256">
                  <c:v>58.17907690221746</c:v>
                </c:pt>
                <c:pt idx="257">
                  <c:v>58.17907690221746</c:v>
                </c:pt>
                <c:pt idx="258">
                  <c:v>58.17907690221746</c:v>
                </c:pt>
                <c:pt idx="259">
                  <c:v>58.17907690221746</c:v>
                </c:pt>
                <c:pt idx="260">
                  <c:v>58.17907690221746</c:v>
                </c:pt>
                <c:pt idx="261">
                  <c:v>58.17907690221746</c:v>
                </c:pt>
                <c:pt idx="262">
                  <c:v>58.17907690221746</c:v>
                </c:pt>
                <c:pt idx="263">
                  <c:v>58.17907690221746</c:v>
                </c:pt>
                <c:pt idx="264">
                  <c:v>58.17907690221746</c:v>
                </c:pt>
                <c:pt idx="265">
                  <c:v>58.17907690221746</c:v>
                </c:pt>
                <c:pt idx="266">
                  <c:v>58.17907690221746</c:v>
                </c:pt>
                <c:pt idx="267">
                  <c:v>58.17907690221746</c:v>
                </c:pt>
                <c:pt idx="268">
                  <c:v>58.17907690221746</c:v>
                </c:pt>
                <c:pt idx="269">
                  <c:v>58.17907690221746</c:v>
                </c:pt>
                <c:pt idx="270">
                  <c:v>58.17907690221746</c:v>
                </c:pt>
                <c:pt idx="271">
                  <c:v>58.17907690221746</c:v>
                </c:pt>
                <c:pt idx="272">
                  <c:v>58.17907690221746</c:v>
                </c:pt>
                <c:pt idx="273">
                  <c:v>58.17907690221746</c:v>
                </c:pt>
                <c:pt idx="274">
                  <c:v>58.17907690221746</c:v>
                </c:pt>
                <c:pt idx="275">
                  <c:v>58.17907690221746</c:v>
                </c:pt>
                <c:pt idx="276">
                  <c:v>58.17907690221746</c:v>
                </c:pt>
                <c:pt idx="277">
                  <c:v>58.17907690221746</c:v>
                </c:pt>
                <c:pt idx="278">
                  <c:v>58.17907690221746</c:v>
                </c:pt>
                <c:pt idx="279">
                  <c:v>58.17907690221746</c:v>
                </c:pt>
                <c:pt idx="280">
                  <c:v>58.17907690221746</c:v>
                </c:pt>
                <c:pt idx="281">
                  <c:v>58.17907690221746</c:v>
                </c:pt>
                <c:pt idx="282">
                  <c:v>58.17907690221746</c:v>
                </c:pt>
                <c:pt idx="283">
                  <c:v>58.17907690221746</c:v>
                </c:pt>
                <c:pt idx="284">
                  <c:v>58.17907690221746</c:v>
                </c:pt>
                <c:pt idx="285">
                  <c:v>58.17907690221746</c:v>
                </c:pt>
                <c:pt idx="286">
                  <c:v>58.17907690221746</c:v>
                </c:pt>
                <c:pt idx="287">
                  <c:v>58.17907690221746</c:v>
                </c:pt>
                <c:pt idx="288">
                  <c:v>58.17907690221746</c:v>
                </c:pt>
                <c:pt idx="289">
                  <c:v>58.17907690221746</c:v>
                </c:pt>
                <c:pt idx="290">
                  <c:v>58.17907690221746</c:v>
                </c:pt>
                <c:pt idx="291">
                  <c:v>58.17907690221746</c:v>
                </c:pt>
                <c:pt idx="292">
                  <c:v>58.17907690221746</c:v>
                </c:pt>
                <c:pt idx="293">
                  <c:v>58.17907690221746</c:v>
                </c:pt>
                <c:pt idx="294">
                  <c:v>58.17907690221746</c:v>
                </c:pt>
                <c:pt idx="295">
                  <c:v>58.17907690221746</c:v>
                </c:pt>
                <c:pt idx="296">
                  <c:v>58.17907690221746</c:v>
                </c:pt>
                <c:pt idx="297">
                  <c:v>58.17907690221746</c:v>
                </c:pt>
                <c:pt idx="298">
                  <c:v>58.17907690221746</c:v>
                </c:pt>
                <c:pt idx="299">
                  <c:v>58.17907690221746</c:v>
                </c:pt>
                <c:pt idx="300">
                  <c:v>58.17907690221746</c:v>
                </c:pt>
                <c:pt idx="301">
                  <c:v>58.17907690221746</c:v>
                </c:pt>
                <c:pt idx="302">
                  <c:v>58.17907690221746</c:v>
                </c:pt>
                <c:pt idx="303">
                  <c:v>58.17907690221746</c:v>
                </c:pt>
                <c:pt idx="304">
                  <c:v>58.17907690221746</c:v>
                </c:pt>
                <c:pt idx="305">
                  <c:v>58.17907690221746</c:v>
                </c:pt>
                <c:pt idx="306">
                  <c:v>58.17907690221746</c:v>
                </c:pt>
                <c:pt idx="307">
                  <c:v>58.17907690221746</c:v>
                </c:pt>
                <c:pt idx="308">
                  <c:v>58.17907690221746</c:v>
                </c:pt>
                <c:pt idx="309">
                  <c:v>58.17907690221746</c:v>
                </c:pt>
                <c:pt idx="310">
                  <c:v>58.17907690221746</c:v>
                </c:pt>
                <c:pt idx="311">
                  <c:v>58.17907690221746</c:v>
                </c:pt>
                <c:pt idx="312">
                  <c:v>58.17907690221746</c:v>
                </c:pt>
                <c:pt idx="313">
                  <c:v>58.17907690221746</c:v>
                </c:pt>
                <c:pt idx="314">
                  <c:v>58.17907690221746</c:v>
                </c:pt>
                <c:pt idx="315">
                  <c:v>58.17907690221746</c:v>
                </c:pt>
                <c:pt idx="316">
                  <c:v>58.17907690221746</c:v>
                </c:pt>
                <c:pt idx="317">
                  <c:v>58.17907690221746</c:v>
                </c:pt>
                <c:pt idx="318">
                  <c:v>58.17907690221746</c:v>
                </c:pt>
                <c:pt idx="319">
                  <c:v>58.17907690221746</c:v>
                </c:pt>
                <c:pt idx="320">
                  <c:v>58.17907690221746</c:v>
                </c:pt>
                <c:pt idx="321">
                  <c:v>58.17907690221746</c:v>
                </c:pt>
                <c:pt idx="322">
                  <c:v>58.17907690221746</c:v>
                </c:pt>
                <c:pt idx="323">
                  <c:v>58.17907690221746</c:v>
                </c:pt>
                <c:pt idx="324">
                  <c:v>58.17907690221746</c:v>
                </c:pt>
                <c:pt idx="325">
                  <c:v>58.17907690221746</c:v>
                </c:pt>
                <c:pt idx="326">
                  <c:v>58.17907690221746</c:v>
                </c:pt>
                <c:pt idx="327">
                  <c:v>58.17907690221746</c:v>
                </c:pt>
                <c:pt idx="328">
                  <c:v>58.17907690221746</c:v>
                </c:pt>
                <c:pt idx="329">
                  <c:v>58.17907690221746</c:v>
                </c:pt>
                <c:pt idx="330">
                  <c:v>58.17907690221746</c:v>
                </c:pt>
                <c:pt idx="331">
                  <c:v>58.17907690221746</c:v>
                </c:pt>
                <c:pt idx="332">
                  <c:v>58.17907690221746</c:v>
                </c:pt>
                <c:pt idx="333">
                  <c:v>58.17907690221746</c:v>
                </c:pt>
                <c:pt idx="334">
                  <c:v>58.17907690221746</c:v>
                </c:pt>
                <c:pt idx="335">
                  <c:v>58.17907690221746</c:v>
                </c:pt>
                <c:pt idx="336">
                  <c:v>58.17907690221746</c:v>
                </c:pt>
                <c:pt idx="337">
                  <c:v>58.17907690221746</c:v>
                </c:pt>
                <c:pt idx="338">
                  <c:v>58.17907690221746</c:v>
                </c:pt>
                <c:pt idx="339">
                  <c:v>58.17907690221746</c:v>
                </c:pt>
                <c:pt idx="340">
                  <c:v>58.17907690221746</c:v>
                </c:pt>
                <c:pt idx="341">
                  <c:v>58.17907690221746</c:v>
                </c:pt>
                <c:pt idx="342">
                  <c:v>58.17907690221746</c:v>
                </c:pt>
                <c:pt idx="343">
                  <c:v>58.17907690221746</c:v>
                </c:pt>
                <c:pt idx="344">
                  <c:v>58.17907690221746</c:v>
                </c:pt>
                <c:pt idx="345">
                  <c:v>58.17907690221746</c:v>
                </c:pt>
                <c:pt idx="346">
                  <c:v>58.17907690221746</c:v>
                </c:pt>
                <c:pt idx="347">
                  <c:v>58.17907690221746</c:v>
                </c:pt>
                <c:pt idx="348">
                  <c:v>58.17907690221746</c:v>
                </c:pt>
                <c:pt idx="349">
                  <c:v>58.17907690221746</c:v>
                </c:pt>
                <c:pt idx="350">
                  <c:v>58.17907690221746</c:v>
                </c:pt>
                <c:pt idx="351">
                  <c:v>58.17907690221746</c:v>
                </c:pt>
                <c:pt idx="352">
                  <c:v>58.17907690221746</c:v>
                </c:pt>
                <c:pt idx="353">
                  <c:v>58.17907690221746</c:v>
                </c:pt>
                <c:pt idx="354">
                  <c:v>58.17907690221746</c:v>
                </c:pt>
                <c:pt idx="355">
                  <c:v>58.17907690221746</c:v>
                </c:pt>
                <c:pt idx="356">
                  <c:v>58.17907690221746</c:v>
                </c:pt>
                <c:pt idx="357">
                  <c:v>58.17907690221746</c:v>
                </c:pt>
                <c:pt idx="358">
                  <c:v>58.17907690221746</c:v>
                </c:pt>
                <c:pt idx="359">
                  <c:v>58.17907690221746</c:v>
                </c:pt>
                <c:pt idx="360">
                  <c:v>58.17907690221746</c:v>
                </c:pt>
                <c:pt idx="361">
                  <c:v>58.17907690221746</c:v>
                </c:pt>
                <c:pt idx="362">
                  <c:v>58.17907690221746</c:v>
                </c:pt>
                <c:pt idx="363">
                  <c:v>58.17907690221746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03-4C99-9FA4-6A62B116CCDB}"/>
            </c:ext>
          </c:extLst>
        </c:ser>
        <c:ser>
          <c:idx val="2"/>
          <c:order val="2"/>
          <c:tx>
            <c:v>field capacity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Bilan_hydrique!$A$2:$A$366</c:f>
              <c:numCache>
                <c:formatCode>m/d/yyyy</c:formatCode>
                <c:ptCount val="365"/>
                <c:pt idx="0">
                  <c:v>42050</c:v>
                </c:pt>
                <c:pt idx="1">
                  <c:v>42051</c:v>
                </c:pt>
                <c:pt idx="2">
                  <c:v>42052</c:v>
                </c:pt>
                <c:pt idx="3">
                  <c:v>42053</c:v>
                </c:pt>
                <c:pt idx="4">
                  <c:v>42054</c:v>
                </c:pt>
                <c:pt idx="5">
                  <c:v>42055</c:v>
                </c:pt>
                <c:pt idx="6">
                  <c:v>42056</c:v>
                </c:pt>
                <c:pt idx="7">
                  <c:v>42057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42063</c:v>
                </c:pt>
                <c:pt idx="14">
                  <c:v>42064</c:v>
                </c:pt>
                <c:pt idx="15">
                  <c:v>42065</c:v>
                </c:pt>
                <c:pt idx="16">
                  <c:v>42066</c:v>
                </c:pt>
                <c:pt idx="17">
                  <c:v>42067</c:v>
                </c:pt>
                <c:pt idx="18">
                  <c:v>42068</c:v>
                </c:pt>
                <c:pt idx="19">
                  <c:v>42069</c:v>
                </c:pt>
                <c:pt idx="20">
                  <c:v>42070</c:v>
                </c:pt>
                <c:pt idx="21">
                  <c:v>42071</c:v>
                </c:pt>
                <c:pt idx="22">
                  <c:v>42072</c:v>
                </c:pt>
                <c:pt idx="23">
                  <c:v>42073</c:v>
                </c:pt>
                <c:pt idx="24">
                  <c:v>42074</c:v>
                </c:pt>
                <c:pt idx="25">
                  <c:v>42075</c:v>
                </c:pt>
                <c:pt idx="26">
                  <c:v>42076</c:v>
                </c:pt>
                <c:pt idx="27">
                  <c:v>42077</c:v>
                </c:pt>
                <c:pt idx="28">
                  <c:v>42078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42084</c:v>
                </c:pt>
                <c:pt idx="35">
                  <c:v>42085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42091</c:v>
                </c:pt>
                <c:pt idx="42">
                  <c:v>42092</c:v>
                </c:pt>
                <c:pt idx="43">
                  <c:v>42093</c:v>
                </c:pt>
                <c:pt idx="44">
                  <c:v>42094</c:v>
                </c:pt>
                <c:pt idx="45">
                  <c:v>42095</c:v>
                </c:pt>
                <c:pt idx="46">
                  <c:v>42096</c:v>
                </c:pt>
                <c:pt idx="47">
                  <c:v>42097</c:v>
                </c:pt>
                <c:pt idx="48">
                  <c:v>42098</c:v>
                </c:pt>
                <c:pt idx="49">
                  <c:v>42099</c:v>
                </c:pt>
                <c:pt idx="50">
                  <c:v>42100</c:v>
                </c:pt>
                <c:pt idx="51">
                  <c:v>42101</c:v>
                </c:pt>
                <c:pt idx="52">
                  <c:v>42102</c:v>
                </c:pt>
                <c:pt idx="53">
                  <c:v>42103</c:v>
                </c:pt>
                <c:pt idx="54">
                  <c:v>42104</c:v>
                </c:pt>
                <c:pt idx="55">
                  <c:v>42105</c:v>
                </c:pt>
                <c:pt idx="56">
                  <c:v>42106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42112</c:v>
                </c:pt>
                <c:pt idx="63">
                  <c:v>42113</c:v>
                </c:pt>
                <c:pt idx="64">
                  <c:v>42114</c:v>
                </c:pt>
                <c:pt idx="65">
                  <c:v>42115</c:v>
                </c:pt>
                <c:pt idx="66">
                  <c:v>42116</c:v>
                </c:pt>
                <c:pt idx="67">
                  <c:v>42117</c:v>
                </c:pt>
                <c:pt idx="68">
                  <c:v>42118</c:v>
                </c:pt>
                <c:pt idx="69">
                  <c:v>42119</c:v>
                </c:pt>
                <c:pt idx="70">
                  <c:v>42120</c:v>
                </c:pt>
                <c:pt idx="71">
                  <c:v>42121</c:v>
                </c:pt>
                <c:pt idx="72">
                  <c:v>42122</c:v>
                </c:pt>
                <c:pt idx="73">
                  <c:v>42123</c:v>
                </c:pt>
                <c:pt idx="74">
                  <c:v>42124</c:v>
                </c:pt>
                <c:pt idx="75">
                  <c:v>42125</c:v>
                </c:pt>
                <c:pt idx="76">
                  <c:v>42126</c:v>
                </c:pt>
                <c:pt idx="77">
                  <c:v>42127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42133</c:v>
                </c:pt>
                <c:pt idx="84">
                  <c:v>42134</c:v>
                </c:pt>
                <c:pt idx="85">
                  <c:v>42135</c:v>
                </c:pt>
                <c:pt idx="86">
                  <c:v>42136</c:v>
                </c:pt>
                <c:pt idx="87">
                  <c:v>42137</c:v>
                </c:pt>
                <c:pt idx="88">
                  <c:v>42138</c:v>
                </c:pt>
                <c:pt idx="89">
                  <c:v>42139</c:v>
                </c:pt>
                <c:pt idx="90">
                  <c:v>42140</c:v>
                </c:pt>
                <c:pt idx="91">
                  <c:v>42141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42144</c:v>
                </c:pt>
                <c:pt idx="96">
                  <c:v>42144</c:v>
                </c:pt>
                <c:pt idx="97">
                  <c:v>42144</c:v>
                </c:pt>
                <c:pt idx="98">
                  <c:v>42144</c:v>
                </c:pt>
                <c:pt idx="99">
                  <c:v>42144</c:v>
                </c:pt>
                <c:pt idx="100">
                  <c:v>42144</c:v>
                </c:pt>
                <c:pt idx="101">
                  <c:v>42144</c:v>
                </c:pt>
                <c:pt idx="102">
                  <c:v>42144</c:v>
                </c:pt>
                <c:pt idx="103">
                  <c:v>42144</c:v>
                </c:pt>
                <c:pt idx="104">
                  <c:v>42144</c:v>
                </c:pt>
                <c:pt idx="105">
                  <c:v>42144</c:v>
                </c:pt>
                <c:pt idx="106">
                  <c:v>42144</c:v>
                </c:pt>
                <c:pt idx="107">
                  <c:v>42144</c:v>
                </c:pt>
                <c:pt idx="108">
                  <c:v>42144</c:v>
                </c:pt>
                <c:pt idx="109">
                  <c:v>42144</c:v>
                </c:pt>
                <c:pt idx="110">
                  <c:v>42144</c:v>
                </c:pt>
                <c:pt idx="111">
                  <c:v>42144</c:v>
                </c:pt>
                <c:pt idx="112">
                  <c:v>42144</c:v>
                </c:pt>
                <c:pt idx="113">
                  <c:v>42144</c:v>
                </c:pt>
                <c:pt idx="114">
                  <c:v>42144</c:v>
                </c:pt>
                <c:pt idx="115">
                  <c:v>42144</c:v>
                </c:pt>
                <c:pt idx="116">
                  <c:v>42144</c:v>
                </c:pt>
                <c:pt idx="117">
                  <c:v>42144</c:v>
                </c:pt>
                <c:pt idx="118">
                  <c:v>42144</c:v>
                </c:pt>
                <c:pt idx="119">
                  <c:v>42144</c:v>
                </c:pt>
                <c:pt idx="120">
                  <c:v>42144</c:v>
                </c:pt>
                <c:pt idx="121">
                  <c:v>42144</c:v>
                </c:pt>
                <c:pt idx="122">
                  <c:v>42144</c:v>
                </c:pt>
                <c:pt idx="123">
                  <c:v>42144</c:v>
                </c:pt>
                <c:pt idx="124">
                  <c:v>42144</c:v>
                </c:pt>
                <c:pt idx="125">
                  <c:v>42144</c:v>
                </c:pt>
                <c:pt idx="126">
                  <c:v>42144</c:v>
                </c:pt>
                <c:pt idx="127">
                  <c:v>42144</c:v>
                </c:pt>
                <c:pt idx="128">
                  <c:v>42144</c:v>
                </c:pt>
                <c:pt idx="129">
                  <c:v>42144</c:v>
                </c:pt>
                <c:pt idx="130">
                  <c:v>42144</c:v>
                </c:pt>
                <c:pt idx="131">
                  <c:v>42144</c:v>
                </c:pt>
                <c:pt idx="132">
                  <c:v>42144</c:v>
                </c:pt>
                <c:pt idx="133">
                  <c:v>42144</c:v>
                </c:pt>
                <c:pt idx="134">
                  <c:v>42144</c:v>
                </c:pt>
                <c:pt idx="135">
                  <c:v>42144</c:v>
                </c:pt>
                <c:pt idx="136">
                  <c:v>42144</c:v>
                </c:pt>
                <c:pt idx="137">
                  <c:v>42144</c:v>
                </c:pt>
                <c:pt idx="138">
                  <c:v>42144</c:v>
                </c:pt>
                <c:pt idx="139">
                  <c:v>42144</c:v>
                </c:pt>
                <c:pt idx="140">
                  <c:v>42144</c:v>
                </c:pt>
                <c:pt idx="141">
                  <c:v>42144</c:v>
                </c:pt>
                <c:pt idx="142">
                  <c:v>42144</c:v>
                </c:pt>
                <c:pt idx="143">
                  <c:v>42144</c:v>
                </c:pt>
                <c:pt idx="144">
                  <c:v>42144</c:v>
                </c:pt>
                <c:pt idx="145">
                  <c:v>42144</c:v>
                </c:pt>
                <c:pt idx="146">
                  <c:v>42144</c:v>
                </c:pt>
                <c:pt idx="147">
                  <c:v>42144</c:v>
                </c:pt>
                <c:pt idx="148">
                  <c:v>42144</c:v>
                </c:pt>
                <c:pt idx="149">
                  <c:v>42144</c:v>
                </c:pt>
                <c:pt idx="150">
                  <c:v>42144</c:v>
                </c:pt>
                <c:pt idx="151">
                  <c:v>42144</c:v>
                </c:pt>
                <c:pt idx="152">
                  <c:v>42144</c:v>
                </c:pt>
                <c:pt idx="153">
                  <c:v>42144</c:v>
                </c:pt>
                <c:pt idx="154">
                  <c:v>42144</c:v>
                </c:pt>
                <c:pt idx="155">
                  <c:v>42144</c:v>
                </c:pt>
                <c:pt idx="156">
                  <c:v>42144</c:v>
                </c:pt>
                <c:pt idx="157">
                  <c:v>42144</c:v>
                </c:pt>
                <c:pt idx="158">
                  <c:v>42144</c:v>
                </c:pt>
                <c:pt idx="159">
                  <c:v>42144</c:v>
                </c:pt>
                <c:pt idx="160">
                  <c:v>42144</c:v>
                </c:pt>
                <c:pt idx="161">
                  <c:v>42144</c:v>
                </c:pt>
                <c:pt idx="162">
                  <c:v>42144</c:v>
                </c:pt>
                <c:pt idx="163">
                  <c:v>42144</c:v>
                </c:pt>
                <c:pt idx="164">
                  <c:v>42144</c:v>
                </c:pt>
                <c:pt idx="165">
                  <c:v>42144</c:v>
                </c:pt>
                <c:pt idx="166">
                  <c:v>42144</c:v>
                </c:pt>
                <c:pt idx="167">
                  <c:v>42144</c:v>
                </c:pt>
                <c:pt idx="168">
                  <c:v>42144</c:v>
                </c:pt>
                <c:pt idx="169">
                  <c:v>42144</c:v>
                </c:pt>
                <c:pt idx="170">
                  <c:v>42144</c:v>
                </c:pt>
                <c:pt idx="171">
                  <c:v>42144</c:v>
                </c:pt>
                <c:pt idx="172">
                  <c:v>42144</c:v>
                </c:pt>
                <c:pt idx="173">
                  <c:v>42144</c:v>
                </c:pt>
                <c:pt idx="174">
                  <c:v>42144</c:v>
                </c:pt>
                <c:pt idx="175">
                  <c:v>42144</c:v>
                </c:pt>
                <c:pt idx="176">
                  <c:v>42144</c:v>
                </c:pt>
                <c:pt idx="177">
                  <c:v>42144</c:v>
                </c:pt>
                <c:pt idx="178">
                  <c:v>42144</c:v>
                </c:pt>
                <c:pt idx="179">
                  <c:v>42144</c:v>
                </c:pt>
                <c:pt idx="180">
                  <c:v>42144</c:v>
                </c:pt>
                <c:pt idx="181">
                  <c:v>42144</c:v>
                </c:pt>
                <c:pt idx="182">
                  <c:v>42144</c:v>
                </c:pt>
                <c:pt idx="183">
                  <c:v>42144</c:v>
                </c:pt>
                <c:pt idx="184">
                  <c:v>42144</c:v>
                </c:pt>
                <c:pt idx="185">
                  <c:v>42144</c:v>
                </c:pt>
                <c:pt idx="186">
                  <c:v>42144</c:v>
                </c:pt>
                <c:pt idx="187">
                  <c:v>42144</c:v>
                </c:pt>
                <c:pt idx="188">
                  <c:v>42144</c:v>
                </c:pt>
                <c:pt idx="189">
                  <c:v>42144</c:v>
                </c:pt>
                <c:pt idx="190">
                  <c:v>42144</c:v>
                </c:pt>
                <c:pt idx="191">
                  <c:v>42144</c:v>
                </c:pt>
                <c:pt idx="192">
                  <c:v>42144</c:v>
                </c:pt>
                <c:pt idx="193">
                  <c:v>42144</c:v>
                </c:pt>
                <c:pt idx="194">
                  <c:v>42144</c:v>
                </c:pt>
                <c:pt idx="195">
                  <c:v>42144</c:v>
                </c:pt>
                <c:pt idx="196">
                  <c:v>42144</c:v>
                </c:pt>
                <c:pt idx="197">
                  <c:v>42144</c:v>
                </c:pt>
                <c:pt idx="198">
                  <c:v>42144</c:v>
                </c:pt>
                <c:pt idx="199">
                  <c:v>42144</c:v>
                </c:pt>
                <c:pt idx="200">
                  <c:v>42144</c:v>
                </c:pt>
                <c:pt idx="201">
                  <c:v>42144</c:v>
                </c:pt>
                <c:pt idx="202">
                  <c:v>42144</c:v>
                </c:pt>
                <c:pt idx="203">
                  <c:v>42144</c:v>
                </c:pt>
                <c:pt idx="204">
                  <c:v>42144</c:v>
                </c:pt>
                <c:pt idx="205">
                  <c:v>42144</c:v>
                </c:pt>
                <c:pt idx="206">
                  <c:v>42144</c:v>
                </c:pt>
                <c:pt idx="207">
                  <c:v>42144</c:v>
                </c:pt>
                <c:pt idx="208">
                  <c:v>42144</c:v>
                </c:pt>
                <c:pt idx="209">
                  <c:v>42144</c:v>
                </c:pt>
                <c:pt idx="210">
                  <c:v>42144</c:v>
                </c:pt>
                <c:pt idx="211">
                  <c:v>42144</c:v>
                </c:pt>
                <c:pt idx="212">
                  <c:v>42144</c:v>
                </c:pt>
                <c:pt idx="213">
                  <c:v>42144</c:v>
                </c:pt>
                <c:pt idx="214">
                  <c:v>42144</c:v>
                </c:pt>
                <c:pt idx="215">
                  <c:v>42144</c:v>
                </c:pt>
                <c:pt idx="216">
                  <c:v>42144</c:v>
                </c:pt>
                <c:pt idx="217">
                  <c:v>42144</c:v>
                </c:pt>
                <c:pt idx="218">
                  <c:v>42144</c:v>
                </c:pt>
                <c:pt idx="219">
                  <c:v>42144</c:v>
                </c:pt>
                <c:pt idx="220">
                  <c:v>42144</c:v>
                </c:pt>
                <c:pt idx="221">
                  <c:v>42144</c:v>
                </c:pt>
                <c:pt idx="222">
                  <c:v>42144</c:v>
                </c:pt>
                <c:pt idx="223">
                  <c:v>42144</c:v>
                </c:pt>
                <c:pt idx="224">
                  <c:v>42144</c:v>
                </c:pt>
                <c:pt idx="225">
                  <c:v>42144</c:v>
                </c:pt>
                <c:pt idx="226">
                  <c:v>42144</c:v>
                </c:pt>
                <c:pt idx="227">
                  <c:v>42144</c:v>
                </c:pt>
                <c:pt idx="228">
                  <c:v>42144</c:v>
                </c:pt>
                <c:pt idx="229">
                  <c:v>42144</c:v>
                </c:pt>
                <c:pt idx="230">
                  <c:v>42144</c:v>
                </c:pt>
                <c:pt idx="231">
                  <c:v>42144</c:v>
                </c:pt>
                <c:pt idx="232">
                  <c:v>42144</c:v>
                </c:pt>
                <c:pt idx="233">
                  <c:v>42144</c:v>
                </c:pt>
                <c:pt idx="234">
                  <c:v>42144</c:v>
                </c:pt>
                <c:pt idx="235">
                  <c:v>42144</c:v>
                </c:pt>
                <c:pt idx="236">
                  <c:v>42144</c:v>
                </c:pt>
                <c:pt idx="237">
                  <c:v>42144</c:v>
                </c:pt>
                <c:pt idx="238">
                  <c:v>42144</c:v>
                </c:pt>
                <c:pt idx="239">
                  <c:v>42144</c:v>
                </c:pt>
                <c:pt idx="240">
                  <c:v>42144</c:v>
                </c:pt>
                <c:pt idx="241">
                  <c:v>42144</c:v>
                </c:pt>
                <c:pt idx="242">
                  <c:v>42144</c:v>
                </c:pt>
                <c:pt idx="243">
                  <c:v>42144</c:v>
                </c:pt>
                <c:pt idx="244">
                  <c:v>42144</c:v>
                </c:pt>
                <c:pt idx="245">
                  <c:v>42144</c:v>
                </c:pt>
                <c:pt idx="246">
                  <c:v>42144</c:v>
                </c:pt>
                <c:pt idx="247">
                  <c:v>42144</c:v>
                </c:pt>
                <c:pt idx="248">
                  <c:v>42144</c:v>
                </c:pt>
                <c:pt idx="249">
                  <c:v>42144</c:v>
                </c:pt>
                <c:pt idx="250">
                  <c:v>42144</c:v>
                </c:pt>
                <c:pt idx="251">
                  <c:v>42144</c:v>
                </c:pt>
                <c:pt idx="252">
                  <c:v>42144</c:v>
                </c:pt>
                <c:pt idx="253">
                  <c:v>42144</c:v>
                </c:pt>
                <c:pt idx="254">
                  <c:v>42144</c:v>
                </c:pt>
                <c:pt idx="255">
                  <c:v>42144</c:v>
                </c:pt>
                <c:pt idx="256">
                  <c:v>42144</c:v>
                </c:pt>
                <c:pt idx="257">
                  <c:v>42144</c:v>
                </c:pt>
                <c:pt idx="258">
                  <c:v>42144</c:v>
                </c:pt>
                <c:pt idx="259">
                  <c:v>42144</c:v>
                </c:pt>
                <c:pt idx="260">
                  <c:v>42144</c:v>
                </c:pt>
                <c:pt idx="261">
                  <c:v>42144</c:v>
                </c:pt>
                <c:pt idx="262">
                  <c:v>42144</c:v>
                </c:pt>
                <c:pt idx="263">
                  <c:v>42144</c:v>
                </c:pt>
                <c:pt idx="264">
                  <c:v>42144</c:v>
                </c:pt>
                <c:pt idx="265">
                  <c:v>42144</c:v>
                </c:pt>
                <c:pt idx="266">
                  <c:v>42144</c:v>
                </c:pt>
                <c:pt idx="267">
                  <c:v>42144</c:v>
                </c:pt>
                <c:pt idx="268">
                  <c:v>42144</c:v>
                </c:pt>
                <c:pt idx="269">
                  <c:v>42144</c:v>
                </c:pt>
                <c:pt idx="270">
                  <c:v>42144</c:v>
                </c:pt>
                <c:pt idx="271">
                  <c:v>42144</c:v>
                </c:pt>
                <c:pt idx="272">
                  <c:v>42144</c:v>
                </c:pt>
                <c:pt idx="273">
                  <c:v>42144</c:v>
                </c:pt>
                <c:pt idx="274">
                  <c:v>42144</c:v>
                </c:pt>
                <c:pt idx="275">
                  <c:v>42144</c:v>
                </c:pt>
                <c:pt idx="276">
                  <c:v>42144</c:v>
                </c:pt>
                <c:pt idx="277">
                  <c:v>42144</c:v>
                </c:pt>
                <c:pt idx="278">
                  <c:v>42144</c:v>
                </c:pt>
                <c:pt idx="279">
                  <c:v>42144</c:v>
                </c:pt>
                <c:pt idx="280">
                  <c:v>42144</c:v>
                </c:pt>
                <c:pt idx="281">
                  <c:v>42144</c:v>
                </c:pt>
                <c:pt idx="282">
                  <c:v>42144</c:v>
                </c:pt>
                <c:pt idx="283">
                  <c:v>42144</c:v>
                </c:pt>
                <c:pt idx="284">
                  <c:v>42144</c:v>
                </c:pt>
                <c:pt idx="285">
                  <c:v>42144</c:v>
                </c:pt>
                <c:pt idx="286">
                  <c:v>42144</c:v>
                </c:pt>
                <c:pt idx="287">
                  <c:v>42144</c:v>
                </c:pt>
                <c:pt idx="288">
                  <c:v>42144</c:v>
                </c:pt>
                <c:pt idx="289">
                  <c:v>42144</c:v>
                </c:pt>
                <c:pt idx="290">
                  <c:v>42144</c:v>
                </c:pt>
                <c:pt idx="291">
                  <c:v>42144</c:v>
                </c:pt>
                <c:pt idx="292">
                  <c:v>42144</c:v>
                </c:pt>
                <c:pt idx="293">
                  <c:v>42144</c:v>
                </c:pt>
                <c:pt idx="294">
                  <c:v>42144</c:v>
                </c:pt>
                <c:pt idx="295">
                  <c:v>42144</c:v>
                </c:pt>
                <c:pt idx="296">
                  <c:v>42144</c:v>
                </c:pt>
                <c:pt idx="297">
                  <c:v>42144</c:v>
                </c:pt>
                <c:pt idx="298">
                  <c:v>42144</c:v>
                </c:pt>
                <c:pt idx="299">
                  <c:v>42144</c:v>
                </c:pt>
                <c:pt idx="300">
                  <c:v>42144</c:v>
                </c:pt>
                <c:pt idx="301">
                  <c:v>42144</c:v>
                </c:pt>
                <c:pt idx="302">
                  <c:v>42144</c:v>
                </c:pt>
                <c:pt idx="303">
                  <c:v>42144</c:v>
                </c:pt>
                <c:pt idx="304">
                  <c:v>42144</c:v>
                </c:pt>
                <c:pt idx="305">
                  <c:v>42144</c:v>
                </c:pt>
                <c:pt idx="306">
                  <c:v>42144</c:v>
                </c:pt>
                <c:pt idx="307">
                  <c:v>42144</c:v>
                </c:pt>
                <c:pt idx="308">
                  <c:v>42144</c:v>
                </c:pt>
                <c:pt idx="309">
                  <c:v>42144</c:v>
                </c:pt>
                <c:pt idx="310">
                  <c:v>42144</c:v>
                </c:pt>
                <c:pt idx="311">
                  <c:v>42144</c:v>
                </c:pt>
                <c:pt idx="312">
                  <c:v>42144</c:v>
                </c:pt>
                <c:pt idx="313">
                  <c:v>42144</c:v>
                </c:pt>
                <c:pt idx="314">
                  <c:v>42144</c:v>
                </c:pt>
                <c:pt idx="315">
                  <c:v>42144</c:v>
                </c:pt>
                <c:pt idx="316">
                  <c:v>42144</c:v>
                </c:pt>
                <c:pt idx="317">
                  <c:v>42144</c:v>
                </c:pt>
                <c:pt idx="318">
                  <c:v>42144</c:v>
                </c:pt>
                <c:pt idx="319">
                  <c:v>42144</c:v>
                </c:pt>
                <c:pt idx="320">
                  <c:v>42144</c:v>
                </c:pt>
                <c:pt idx="321">
                  <c:v>42144</c:v>
                </c:pt>
                <c:pt idx="322">
                  <c:v>42144</c:v>
                </c:pt>
                <c:pt idx="323">
                  <c:v>42144</c:v>
                </c:pt>
                <c:pt idx="324">
                  <c:v>42144</c:v>
                </c:pt>
                <c:pt idx="325">
                  <c:v>42144</c:v>
                </c:pt>
                <c:pt idx="326">
                  <c:v>42144</c:v>
                </c:pt>
                <c:pt idx="327">
                  <c:v>42144</c:v>
                </c:pt>
                <c:pt idx="328">
                  <c:v>42144</c:v>
                </c:pt>
                <c:pt idx="329">
                  <c:v>42144</c:v>
                </c:pt>
                <c:pt idx="330">
                  <c:v>42144</c:v>
                </c:pt>
                <c:pt idx="331">
                  <c:v>42144</c:v>
                </c:pt>
                <c:pt idx="332">
                  <c:v>42144</c:v>
                </c:pt>
                <c:pt idx="333">
                  <c:v>42144</c:v>
                </c:pt>
                <c:pt idx="334">
                  <c:v>42144</c:v>
                </c:pt>
                <c:pt idx="335">
                  <c:v>42144</c:v>
                </c:pt>
                <c:pt idx="336">
                  <c:v>42144</c:v>
                </c:pt>
                <c:pt idx="337">
                  <c:v>42144</c:v>
                </c:pt>
                <c:pt idx="338">
                  <c:v>42144</c:v>
                </c:pt>
                <c:pt idx="339">
                  <c:v>42144</c:v>
                </c:pt>
                <c:pt idx="340">
                  <c:v>42144</c:v>
                </c:pt>
                <c:pt idx="341">
                  <c:v>42144</c:v>
                </c:pt>
                <c:pt idx="342">
                  <c:v>42144</c:v>
                </c:pt>
                <c:pt idx="343">
                  <c:v>42144</c:v>
                </c:pt>
                <c:pt idx="344">
                  <c:v>42144</c:v>
                </c:pt>
                <c:pt idx="345">
                  <c:v>42144</c:v>
                </c:pt>
                <c:pt idx="346">
                  <c:v>42144</c:v>
                </c:pt>
                <c:pt idx="347">
                  <c:v>42144</c:v>
                </c:pt>
                <c:pt idx="348">
                  <c:v>42144</c:v>
                </c:pt>
                <c:pt idx="349">
                  <c:v>42144</c:v>
                </c:pt>
                <c:pt idx="350">
                  <c:v>42144</c:v>
                </c:pt>
                <c:pt idx="351">
                  <c:v>42144</c:v>
                </c:pt>
                <c:pt idx="352">
                  <c:v>42144</c:v>
                </c:pt>
                <c:pt idx="353">
                  <c:v>42144</c:v>
                </c:pt>
                <c:pt idx="354">
                  <c:v>42144</c:v>
                </c:pt>
                <c:pt idx="355">
                  <c:v>42144</c:v>
                </c:pt>
                <c:pt idx="356">
                  <c:v>42144</c:v>
                </c:pt>
                <c:pt idx="357">
                  <c:v>42144</c:v>
                </c:pt>
                <c:pt idx="358">
                  <c:v>42144</c:v>
                </c:pt>
                <c:pt idx="359">
                  <c:v>42144</c:v>
                </c:pt>
                <c:pt idx="360">
                  <c:v>42144</c:v>
                </c:pt>
                <c:pt idx="361">
                  <c:v>42144</c:v>
                </c:pt>
                <c:pt idx="362">
                  <c:v>42144</c:v>
                </c:pt>
                <c:pt idx="363">
                  <c:v>42144</c:v>
                </c:pt>
                <c:pt idx="364">
                  <c:v>42144</c:v>
                </c:pt>
              </c:numCache>
            </c:numRef>
          </c:cat>
          <c:val>
            <c:numRef>
              <c:f>Bilan_hydrique!$C$2:$C$361</c:f>
              <c:numCache>
                <c:formatCode>General</c:formatCode>
                <c:ptCount val="360"/>
                <c:pt idx="0">
                  <c:v>68.40100000000001</c:v>
                </c:pt>
                <c:pt idx="1">
                  <c:v>68.40100000000001</c:v>
                </c:pt>
                <c:pt idx="2">
                  <c:v>68.40100000000001</c:v>
                </c:pt>
                <c:pt idx="3">
                  <c:v>68.40100000000001</c:v>
                </c:pt>
                <c:pt idx="4">
                  <c:v>68.40100000000001</c:v>
                </c:pt>
                <c:pt idx="5">
                  <c:v>68.40100000000001</c:v>
                </c:pt>
                <c:pt idx="6">
                  <c:v>68.40100000000001</c:v>
                </c:pt>
                <c:pt idx="7">
                  <c:v>68.40100000000001</c:v>
                </c:pt>
                <c:pt idx="8">
                  <c:v>68.40100000000001</c:v>
                </c:pt>
                <c:pt idx="9">
                  <c:v>68.40100000000001</c:v>
                </c:pt>
                <c:pt idx="10">
                  <c:v>68.40100000000001</c:v>
                </c:pt>
                <c:pt idx="11">
                  <c:v>68.40100000000001</c:v>
                </c:pt>
                <c:pt idx="12">
                  <c:v>68.40100000000001</c:v>
                </c:pt>
                <c:pt idx="13">
                  <c:v>68.40100000000001</c:v>
                </c:pt>
                <c:pt idx="14">
                  <c:v>68.40100000000001</c:v>
                </c:pt>
                <c:pt idx="15">
                  <c:v>68.40100000000001</c:v>
                </c:pt>
                <c:pt idx="16">
                  <c:v>68.40100000000001</c:v>
                </c:pt>
                <c:pt idx="17">
                  <c:v>68.40100000000001</c:v>
                </c:pt>
                <c:pt idx="18">
                  <c:v>68.40100000000001</c:v>
                </c:pt>
                <c:pt idx="19">
                  <c:v>68.40100000000001</c:v>
                </c:pt>
                <c:pt idx="20">
                  <c:v>68.40100000000001</c:v>
                </c:pt>
                <c:pt idx="21">
                  <c:v>68.40100000000001</c:v>
                </c:pt>
                <c:pt idx="22">
                  <c:v>68.40100000000001</c:v>
                </c:pt>
                <c:pt idx="23">
                  <c:v>68.40100000000001</c:v>
                </c:pt>
                <c:pt idx="24">
                  <c:v>68.40100000000001</c:v>
                </c:pt>
                <c:pt idx="25">
                  <c:v>68.40100000000001</c:v>
                </c:pt>
                <c:pt idx="26">
                  <c:v>68.40100000000001</c:v>
                </c:pt>
                <c:pt idx="27">
                  <c:v>68.40100000000001</c:v>
                </c:pt>
                <c:pt idx="28">
                  <c:v>68.40100000000001</c:v>
                </c:pt>
                <c:pt idx="29">
                  <c:v>68.40100000000001</c:v>
                </c:pt>
                <c:pt idx="30">
                  <c:v>68.40100000000001</c:v>
                </c:pt>
                <c:pt idx="31">
                  <c:v>68.40100000000001</c:v>
                </c:pt>
                <c:pt idx="32">
                  <c:v>68.40100000000001</c:v>
                </c:pt>
                <c:pt idx="33">
                  <c:v>68.40100000000001</c:v>
                </c:pt>
                <c:pt idx="34">
                  <c:v>68.40100000000001</c:v>
                </c:pt>
                <c:pt idx="35">
                  <c:v>68.40100000000001</c:v>
                </c:pt>
                <c:pt idx="36">
                  <c:v>68.40100000000001</c:v>
                </c:pt>
                <c:pt idx="37">
                  <c:v>68.40100000000001</c:v>
                </c:pt>
                <c:pt idx="38">
                  <c:v>68.40100000000001</c:v>
                </c:pt>
                <c:pt idx="39">
                  <c:v>68.40100000000001</c:v>
                </c:pt>
                <c:pt idx="40">
                  <c:v>68.40100000000001</c:v>
                </c:pt>
                <c:pt idx="41">
                  <c:v>68.40100000000001</c:v>
                </c:pt>
                <c:pt idx="42">
                  <c:v>68.40100000000001</c:v>
                </c:pt>
                <c:pt idx="43">
                  <c:v>68.40100000000001</c:v>
                </c:pt>
                <c:pt idx="44">
                  <c:v>68.40100000000001</c:v>
                </c:pt>
                <c:pt idx="45">
                  <c:v>68.40100000000001</c:v>
                </c:pt>
                <c:pt idx="46">
                  <c:v>68.40100000000001</c:v>
                </c:pt>
                <c:pt idx="47">
                  <c:v>68.40100000000001</c:v>
                </c:pt>
                <c:pt idx="48">
                  <c:v>68.40100000000001</c:v>
                </c:pt>
                <c:pt idx="49">
                  <c:v>68.40100000000001</c:v>
                </c:pt>
                <c:pt idx="50">
                  <c:v>68.40100000000001</c:v>
                </c:pt>
                <c:pt idx="51">
                  <c:v>68.40100000000001</c:v>
                </c:pt>
                <c:pt idx="52">
                  <c:v>68.40100000000001</c:v>
                </c:pt>
                <c:pt idx="53">
                  <c:v>68.40100000000001</c:v>
                </c:pt>
                <c:pt idx="54">
                  <c:v>68.40100000000001</c:v>
                </c:pt>
                <c:pt idx="55">
                  <c:v>68.40100000000001</c:v>
                </c:pt>
                <c:pt idx="56">
                  <c:v>68.40100000000001</c:v>
                </c:pt>
                <c:pt idx="57">
                  <c:v>68.40100000000001</c:v>
                </c:pt>
                <c:pt idx="58">
                  <c:v>68.40100000000001</c:v>
                </c:pt>
                <c:pt idx="59">
                  <c:v>68.40100000000001</c:v>
                </c:pt>
                <c:pt idx="60">
                  <c:v>68.40100000000001</c:v>
                </c:pt>
                <c:pt idx="61">
                  <c:v>68.40100000000001</c:v>
                </c:pt>
                <c:pt idx="62">
                  <c:v>68.40100000000001</c:v>
                </c:pt>
                <c:pt idx="63">
                  <c:v>68.40100000000001</c:v>
                </c:pt>
                <c:pt idx="64">
                  <c:v>68.40100000000001</c:v>
                </c:pt>
                <c:pt idx="65">
                  <c:v>68.40100000000001</c:v>
                </c:pt>
                <c:pt idx="66">
                  <c:v>68.40100000000001</c:v>
                </c:pt>
                <c:pt idx="67">
                  <c:v>68.40100000000001</c:v>
                </c:pt>
                <c:pt idx="68">
                  <c:v>68.40100000000001</c:v>
                </c:pt>
                <c:pt idx="69">
                  <c:v>68.40100000000001</c:v>
                </c:pt>
                <c:pt idx="70">
                  <c:v>68.40100000000001</c:v>
                </c:pt>
                <c:pt idx="71">
                  <c:v>68.40100000000001</c:v>
                </c:pt>
                <c:pt idx="72">
                  <c:v>68.40100000000001</c:v>
                </c:pt>
                <c:pt idx="73">
                  <c:v>68.40100000000001</c:v>
                </c:pt>
                <c:pt idx="74">
                  <c:v>68.40100000000001</c:v>
                </c:pt>
                <c:pt idx="75">
                  <c:v>68.40100000000001</c:v>
                </c:pt>
                <c:pt idx="76">
                  <c:v>68.40100000000001</c:v>
                </c:pt>
                <c:pt idx="77">
                  <c:v>68.40100000000001</c:v>
                </c:pt>
                <c:pt idx="78">
                  <c:v>68.40100000000001</c:v>
                </c:pt>
                <c:pt idx="79">
                  <c:v>68.40100000000001</c:v>
                </c:pt>
                <c:pt idx="80">
                  <c:v>68.40100000000001</c:v>
                </c:pt>
                <c:pt idx="81">
                  <c:v>68.40100000000001</c:v>
                </c:pt>
                <c:pt idx="82">
                  <c:v>68.40100000000001</c:v>
                </c:pt>
                <c:pt idx="83">
                  <c:v>68.40100000000001</c:v>
                </c:pt>
                <c:pt idx="84">
                  <c:v>68.40100000000001</c:v>
                </c:pt>
                <c:pt idx="85">
                  <c:v>68.40100000000001</c:v>
                </c:pt>
                <c:pt idx="86">
                  <c:v>68.40100000000001</c:v>
                </c:pt>
                <c:pt idx="87">
                  <c:v>68.40100000000001</c:v>
                </c:pt>
                <c:pt idx="88">
                  <c:v>68.40100000000001</c:v>
                </c:pt>
                <c:pt idx="89">
                  <c:v>68.40100000000001</c:v>
                </c:pt>
                <c:pt idx="90">
                  <c:v>68.40100000000001</c:v>
                </c:pt>
                <c:pt idx="91">
                  <c:v>68.40100000000001</c:v>
                </c:pt>
                <c:pt idx="92">
                  <c:v>68.40100000000001</c:v>
                </c:pt>
                <c:pt idx="93">
                  <c:v>68.40100000000001</c:v>
                </c:pt>
                <c:pt idx="94">
                  <c:v>68.40100000000001</c:v>
                </c:pt>
                <c:pt idx="95">
                  <c:v>68.40100000000001</c:v>
                </c:pt>
                <c:pt idx="96">
                  <c:v>68.40100000000001</c:v>
                </c:pt>
                <c:pt idx="97">
                  <c:v>68.40100000000001</c:v>
                </c:pt>
                <c:pt idx="98">
                  <c:v>68.40100000000001</c:v>
                </c:pt>
                <c:pt idx="99">
                  <c:v>68.40100000000001</c:v>
                </c:pt>
                <c:pt idx="100">
                  <c:v>68.40100000000001</c:v>
                </c:pt>
                <c:pt idx="101">
                  <c:v>68.40100000000001</c:v>
                </c:pt>
                <c:pt idx="102">
                  <c:v>68.40100000000001</c:v>
                </c:pt>
                <c:pt idx="103">
                  <c:v>68.40100000000001</c:v>
                </c:pt>
                <c:pt idx="104">
                  <c:v>68.40100000000001</c:v>
                </c:pt>
                <c:pt idx="105">
                  <c:v>68.40100000000001</c:v>
                </c:pt>
                <c:pt idx="106">
                  <c:v>68.40100000000001</c:v>
                </c:pt>
                <c:pt idx="107">
                  <c:v>68.40100000000001</c:v>
                </c:pt>
                <c:pt idx="108">
                  <c:v>68.40100000000001</c:v>
                </c:pt>
                <c:pt idx="109">
                  <c:v>68.40100000000001</c:v>
                </c:pt>
                <c:pt idx="110">
                  <c:v>68.40100000000001</c:v>
                </c:pt>
                <c:pt idx="111">
                  <c:v>68.40100000000001</c:v>
                </c:pt>
                <c:pt idx="112">
                  <c:v>68.40100000000001</c:v>
                </c:pt>
                <c:pt idx="113">
                  <c:v>68.40100000000001</c:v>
                </c:pt>
                <c:pt idx="114">
                  <c:v>68.40100000000001</c:v>
                </c:pt>
                <c:pt idx="115">
                  <c:v>68.40100000000001</c:v>
                </c:pt>
                <c:pt idx="116">
                  <c:v>68.40100000000001</c:v>
                </c:pt>
                <c:pt idx="117">
                  <c:v>68.40100000000001</c:v>
                </c:pt>
                <c:pt idx="118">
                  <c:v>68.40100000000001</c:v>
                </c:pt>
                <c:pt idx="119">
                  <c:v>68.40100000000001</c:v>
                </c:pt>
                <c:pt idx="120">
                  <c:v>68.40100000000001</c:v>
                </c:pt>
                <c:pt idx="121">
                  <c:v>68.40100000000001</c:v>
                </c:pt>
                <c:pt idx="122">
                  <c:v>68.40100000000001</c:v>
                </c:pt>
                <c:pt idx="123">
                  <c:v>68.40100000000001</c:v>
                </c:pt>
                <c:pt idx="124">
                  <c:v>68.40100000000001</c:v>
                </c:pt>
                <c:pt idx="125">
                  <c:v>68.40100000000001</c:v>
                </c:pt>
                <c:pt idx="126">
                  <c:v>68.40100000000001</c:v>
                </c:pt>
                <c:pt idx="127">
                  <c:v>68.40100000000001</c:v>
                </c:pt>
                <c:pt idx="128">
                  <c:v>68.40100000000001</c:v>
                </c:pt>
                <c:pt idx="129">
                  <c:v>68.40100000000001</c:v>
                </c:pt>
                <c:pt idx="130">
                  <c:v>68.40100000000001</c:v>
                </c:pt>
                <c:pt idx="131">
                  <c:v>68.40100000000001</c:v>
                </c:pt>
                <c:pt idx="132">
                  <c:v>68.40100000000001</c:v>
                </c:pt>
                <c:pt idx="133">
                  <c:v>68.40100000000001</c:v>
                </c:pt>
                <c:pt idx="134">
                  <c:v>68.40100000000001</c:v>
                </c:pt>
                <c:pt idx="135">
                  <c:v>68.40100000000001</c:v>
                </c:pt>
                <c:pt idx="136">
                  <c:v>68.40100000000001</c:v>
                </c:pt>
                <c:pt idx="137">
                  <c:v>68.40100000000001</c:v>
                </c:pt>
                <c:pt idx="138">
                  <c:v>68.40100000000001</c:v>
                </c:pt>
                <c:pt idx="139">
                  <c:v>68.40100000000001</c:v>
                </c:pt>
                <c:pt idx="140">
                  <c:v>68.40100000000001</c:v>
                </c:pt>
                <c:pt idx="141">
                  <c:v>68.40100000000001</c:v>
                </c:pt>
                <c:pt idx="142">
                  <c:v>68.40100000000001</c:v>
                </c:pt>
                <c:pt idx="143">
                  <c:v>68.40100000000001</c:v>
                </c:pt>
                <c:pt idx="144">
                  <c:v>68.40100000000001</c:v>
                </c:pt>
                <c:pt idx="145">
                  <c:v>68.40100000000001</c:v>
                </c:pt>
                <c:pt idx="146">
                  <c:v>68.40100000000001</c:v>
                </c:pt>
                <c:pt idx="147">
                  <c:v>68.40100000000001</c:v>
                </c:pt>
                <c:pt idx="148">
                  <c:v>68.40100000000001</c:v>
                </c:pt>
                <c:pt idx="149">
                  <c:v>68.40100000000001</c:v>
                </c:pt>
                <c:pt idx="150">
                  <c:v>68.40100000000001</c:v>
                </c:pt>
                <c:pt idx="151">
                  <c:v>68.40100000000001</c:v>
                </c:pt>
                <c:pt idx="152">
                  <c:v>68.40100000000001</c:v>
                </c:pt>
                <c:pt idx="153">
                  <c:v>68.40100000000001</c:v>
                </c:pt>
                <c:pt idx="154">
                  <c:v>68.40100000000001</c:v>
                </c:pt>
                <c:pt idx="155">
                  <c:v>68.40100000000001</c:v>
                </c:pt>
                <c:pt idx="156">
                  <c:v>68.40100000000001</c:v>
                </c:pt>
                <c:pt idx="157">
                  <c:v>68.40100000000001</c:v>
                </c:pt>
                <c:pt idx="158">
                  <c:v>68.40100000000001</c:v>
                </c:pt>
                <c:pt idx="159">
                  <c:v>68.40100000000001</c:v>
                </c:pt>
                <c:pt idx="160">
                  <c:v>68.40100000000001</c:v>
                </c:pt>
                <c:pt idx="161">
                  <c:v>68.40100000000001</c:v>
                </c:pt>
                <c:pt idx="162">
                  <c:v>68.40100000000001</c:v>
                </c:pt>
                <c:pt idx="163">
                  <c:v>68.40100000000001</c:v>
                </c:pt>
                <c:pt idx="164">
                  <c:v>68.40100000000001</c:v>
                </c:pt>
                <c:pt idx="165">
                  <c:v>68.40100000000001</c:v>
                </c:pt>
                <c:pt idx="166">
                  <c:v>68.40100000000001</c:v>
                </c:pt>
                <c:pt idx="167">
                  <c:v>68.40100000000001</c:v>
                </c:pt>
                <c:pt idx="168">
                  <c:v>68.40100000000001</c:v>
                </c:pt>
                <c:pt idx="169">
                  <c:v>68.40100000000001</c:v>
                </c:pt>
                <c:pt idx="170">
                  <c:v>68.40100000000001</c:v>
                </c:pt>
                <c:pt idx="171">
                  <c:v>68.40100000000001</c:v>
                </c:pt>
                <c:pt idx="172">
                  <c:v>68.40100000000001</c:v>
                </c:pt>
                <c:pt idx="173">
                  <c:v>68.40100000000001</c:v>
                </c:pt>
                <c:pt idx="174">
                  <c:v>68.40100000000001</c:v>
                </c:pt>
                <c:pt idx="175">
                  <c:v>68.40100000000001</c:v>
                </c:pt>
                <c:pt idx="176">
                  <c:v>68.40100000000001</c:v>
                </c:pt>
                <c:pt idx="177">
                  <c:v>68.40100000000001</c:v>
                </c:pt>
                <c:pt idx="178">
                  <c:v>68.40100000000001</c:v>
                </c:pt>
                <c:pt idx="179">
                  <c:v>68.40100000000001</c:v>
                </c:pt>
                <c:pt idx="180">
                  <c:v>68.40100000000001</c:v>
                </c:pt>
                <c:pt idx="181">
                  <c:v>68.40100000000001</c:v>
                </c:pt>
                <c:pt idx="182">
                  <c:v>68.40100000000001</c:v>
                </c:pt>
                <c:pt idx="183">
                  <c:v>68.40100000000001</c:v>
                </c:pt>
                <c:pt idx="184">
                  <c:v>68.40100000000001</c:v>
                </c:pt>
                <c:pt idx="185">
                  <c:v>68.40100000000001</c:v>
                </c:pt>
                <c:pt idx="186">
                  <c:v>68.40100000000001</c:v>
                </c:pt>
                <c:pt idx="187">
                  <c:v>68.40100000000001</c:v>
                </c:pt>
                <c:pt idx="188">
                  <c:v>68.40100000000001</c:v>
                </c:pt>
                <c:pt idx="189">
                  <c:v>68.40100000000001</c:v>
                </c:pt>
                <c:pt idx="190">
                  <c:v>68.40100000000001</c:v>
                </c:pt>
                <c:pt idx="191">
                  <c:v>68.40100000000001</c:v>
                </c:pt>
                <c:pt idx="192">
                  <c:v>68.40100000000001</c:v>
                </c:pt>
                <c:pt idx="193">
                  <c:v>68.40100000000001</c:v>
                </c:pt>
                <c:pt idx="194">
                  <c:v>68.40100000000001</c:v>
                </c:pt>
                <c:pt idx="195">
                  <c:v>68.40100000000001</c:v>
                </c:pt>
                <c:pt idx="196">
                  <c:v>68.40100000000001</c:v>
                </c:pt>
                <c:pt idx="197">
                  <c:v>68.40100000000001</c:v>
                </c:pt>
                <c:pt idx="198">
                  <c:v>68.40100000000001</c:v>
                </c:pt>
                <c:pt idx="199">
                  <c:v>68.40100000000001</c:v>
                </c:pt>
                <c:pt idx="200">
                  <c:v>68.40100000000001</c:v>
                </c:pt>
                <c:pt idx="201">
                  <c:v>68.40100000000001</c:v>
                </c:pt>
                <c:pt idx="202">
                  <c:v>68.40100000000001</c:v>
                </c:pt>
                <c:pt idx="203">
                  <c:v>68.40100000000001</c:v>
                </c:pt>
                <c:pt idx="204">
                  <c:v>68.40100000000001</c:v>
                </c:pt>
                <c:pt idx="205">
                  <c:v>68.40100000000001</c:v>
                </c:pt>
                <c:pt idx="206">
                  <c:v>68.40100000000001</c:v>
                </c:pt>
                <c:pt idx="207">
                  <c:v>68.40100000000001</c:v>
                </c:pt>
                <c:pt idx="208">
                  <c:v>68.40100000000001</c:v>
                </c:pt>
                <c:pt idx="209">
                  <c:v>68.40100000000001</c:v>
                </c:pt>
                <c:pt idx="210">
                  <c:v>68.40100000000001</c:v>
                </c:pt>
                <c:pt idx="211">
                  <c:v>68.40100000000001</c:v>
                </c:pt>
                <c:pt idx="212">
                  <c:v>68.40100000000001</c:v>
                </c:pt>
                <c:pt idx="213">
                  <c:v>68.40100000000001</c:v>
                </c:pt>
                <c:pt idx="214">
                  <c:v>68.40100000000001</c:v>
                </c:pt>
                <c:pt idx="215">
                  <c:v>68.40100000000001</c:v>
                </c:pt>
                <c:pt idx="216">
                  <c:v>68.40100000000001</c:v>
                </c:pt>
                <c:pt idx="217">
                  <c:v>68.40100000000001</c:v>
                </c:pt>
                <c:pt idx="218">
                  <c:v>68.40100000000001</c:v>
                </c:pt>
                <c:pt idx="219">
                  <c:v>68.40100000000001</c:v>
                </c:pt>
                <c:pt idx="220">
                  <c:v>68.40100000000001</c:v>
                </c:pt>
                <c:pt idx="221">
                  <c:v>68.40100000000001</c:v>
                </c:pt>
                <c:pt idx="222">
                  <c:v>68.40100000000001</c:v>
                </c:pt>
                <c:pt idx="223">
                  <c:v>68.40100000000001</c:v>
                </c:pt>
                <c:pt idx="224">
                  <c:v>68.40100000000001</c:v>
                </c:pt>
                <c:pt idx="225">
                  <c:v>68.40100000000001</c:v>
                </c:pt>
                <c:pt idx="226">
                  <c:v>68.40100000000001</c:v>
                </c:pt>
                <c:pt idx="227">
                  <c:v>68.40100000000001</c:v>
                </c:pt>
                <c:pt idx="228">
                  <c:v>68.40100000000001</c:v>
                </c:pt>
                <c:pt idx="229">
                  <c:v>68.40100000000001</c:v>
                </c:pt>
                <c:pt idx="230">
                  <c:v>68.40100000000001</c:v>
                </c:pt>
                <c:pt idx="231">
                  <c:v>68.40100000000001</c:v>
                </c:pt>
                <c:pt idx="232">
                  <c:v>68.40100000000001</c:v>
                </c:pt>
                <c:pt idx="233">
                  <c:v>68.40100000000001</c:v>
                </c:pt>
                <c:pt idx="234">
                  <c:v>68.40100000000001</c:v>
                </c:pt>
                <c:pt idx="235">
                  <c:v>68.40100000000001</c:v>
                </c:pt>
                <c:pt idx="236">
                  <c:v>68.40100000000001</c:v>
                </c:pt>
                <c:pt idx="237">
                  <c:v>68.40100000000001</c:v>
                </c:pt>
                <c:pt idx="238">
                  <c:v>68.40100000000001</c:v>
                </c:pt>
                <c:pt idx="239">
                  <c:v>68.40100000000001</c:v>
                </c:pt>
                <c:pt idx="240">
                  <c:v>68.40100000000001</c:v>
                </c:pt>
                <c:pt idx="241">
                  <c:v>68.40100000000001</c:v>
                </c:pt>
                <c:pt idx="242">
                  <c:v>68.40100000000001</c:v>
                </c:pt>
                <c:pt idx="243">
                  <c:v>68.40100000000001</c:v>
                </c:pt>
                <c:pt idx="244">
                  <c:v>68.40100000000001</c:v>
                </c:pt>
                <c:pt idx="245">
                  <c:v>68.40100000000001</c:v>
                </c:pt>
                <c:pt idx="246">
                  <c:v>68.40100000000001</c:v>
                </c:pt>
                <c:pt idx="247">
                  <c:v>68.40100000000001</c:v>
                </c:pt>
                <c:pt idx="248">
                  <c:v>68.40100000000001</c:v>
                </c:pt>
                <c:pt idx="249">
                  <c:v>68.40100000000001</c:v>
                </c:pt>
                <c:pt idx="250">
                  <c:v>68.40100000000001</c:v>
                </c:pt>
                <c:pt idx="251">
                  <c:v>68.40100000000001</c:v>
                </c:pt>
                <c:pt idx="252">
                  <c:v>68.40100000000001</c:v>
                </c:pt>
                <c:pt idx="253">
                  <c:v>68.40100000000001</c:v>
                </c:pt>
                <c:pt idx="254">
                  <c:v>68.40100000000001</c:v>
                </c:pt>
                <c:pt idx="255">
                  <c:v>68.40100000000001</c:v>
                </c:pt>
                <c:pt idx="256">
                  <c:v>68.40100000000001</c:v>
                </c:pt>
                <c:pt idx="257">
                  <c:v>68.40100000000001</c:v>
                </c:pt>
                <c:pt idx="258">
                  <c:v>68.40100000000001</c:v>
                </c:pt>
                <c:pt idx="259">
                  <c:v>68.40100000000001</c:v>
                </c:pt>
                <c:pt idx="260">
                  <c:v>68.40100000000001</c:v>
                </c:pt>
                <c:pt idx="261">
                  <c:v>68.40100000000001</c:v>
                </c:pt>
                <c:pt idx="262">
                  <c:v>68.40100000000001</c:v>
                </c:pt>
                <c:pt idx="263">
                  <c:v>68.40100000000001</c:v>
                </c:pt>
                <c:pt idx="264">
                  <c:v>68.40100000000001</c:v>
                </c:pt>
                <c:pt idx="265">
                  <c:v>68.40100000000001</c:v>
                </c:pt>
                <c:pt idx="266">
                  <c:v>68.40100000000001</c:v>
                </c:pt>
                <c:pt idx="267">
                  <c:v>68.40100000000001</c:v>
                </c:pt>
                <c:pt idx="268">
                  <c:v>68.40100000000001</c:v>
                </c:pt>
                <c:pt idx="269">
                  <c:v>68.40100000000001</c:v>
                </c:pt>
                <c:pt idx="270">
                  <c:v>68.40100000000001</c:v>
                </c:pt>
                <c:pt idx="271">
                  <c:v>68.40100000000001</c:v>
                </c:pt>
                <c:pt idx="272">
                  <c:v>68.40100000000001</c:v>
                </c:pt>
                <c:pt idx="273">
                  <c:v>68.40100000000001</c:v>
                </c:pt>
                <c:pt idx="274">
                  <c:v>68.40100000000001</c:v>
                </c:pt>
                <c:pt idx="275">
                  <c:v>68.40100000000001</c:v>
                </c:pt>
                <c:pt idx="276">
                  <c:v>68.40100000000001</c:v>
                </c:pt>
                <c:pt idx="277">
                  <c:v>68.40100000000001</c:v>
                </c:pt>
                <c:pt idx="278">
                  <c:v>68.40100000000001</c:v>
                </c:pt>
                <c:pt idx="279">
                  <c:v>68.40100000000001</c:v>
                </c:pt>
                <c:pt idx="280">
                  <c:v>68.40100000000001</c:v>
                </c:pt>
                <c:pt idx="281">
                  <c:v>68.40100000000001</c:v>
                </c:pt>
                <c:pt idx="282">
                  <c:v>68.40100000000001</c:v>
                </c:pt>
                <c:pt idx="283">
                  <c:v>68.40100000000001</c:v>
                </c:pt>
                <c:pt idx="284">
                  <c:v>68.40100000000001</c:v>
                </c:pt>
                <c:pt idx="285">
                  <c:v>68.40100000000001</c:v>
                </c:pt>
                <c:pt idx="286">
                  <c:v>68.40100000000001</c:v>
                </c:pt>
                <c:pt idx="287">
                  <c:v>68.40100000000001</c:v>
                </c:pt>
                <c:pt idx="288">
                  <c:v>68.40100000000001</c:v>
                </c:pt>
                <c:pt idx="289">
                  <c:v>68.40100000000001</c:v>
                </c:pt>
                <c:pt idx="290">
                  <c:v>68.40100000000001</c:v>
                </c:pt>
                <c:pt idx="291">
                  <c:v>68.40100000000001</c:v>
                </c:pt>
                <c:pt idx="292">
                  <c:v>68.40100000000001</c:v>
                </c:pt>
                <c:pt idx="293">
                  <c:v>68.40100000000001</c:v>
                </c:pt>
                <c:pt idx="294">
                  <c:v>68.40100000000001</c:v>
                </c:pt>
                <c:pt idx="295">
                  <c:v>68.40100000000001</c:v>
                </c:pt>
                <c:pt idx="296">
                  <c:v>68.40100000000001</c:v>
                </c:pt>
                <c:pt idx="297">
                  <c:v>68.40100000000001</c:v>
                </c:pt>
                <c:pt idx="298">
                  <c:v>68.40100000000001</c:v>
                </c:pt>
                <c:pt idx="299">
                  <c:v>68.40100000000001</c:v>
                </c:pt>
                <c:pt idx="300">
                  <c:v>68.40100000000001</c:v>
                </c:pt>
                <c:pt idx="301">
                  <c:v>68.40100000000001</c:v>
                </c:pt>
                <c:pt idx="302">
                  <c:v>68.40100000000001</c:v>
                </c:pt>
                <c:pt idx="303">
                  <c:v>68.40100000000001</c:v>
                </c:pt>
                <c:pt idx="304">
                  <c:v>68.40100000000001</c:v>
                </c:pt>
                <c:pt idx="305">
                  <c:v>68.40100000000001</c:v>
                </c:pt>
                <c:pt idx="306">
                  <c:v>68.40100000000001</c:v>
                </c:pt>
                <c:pt idx="307">
                  <c:v>68.40100000000001</c:v>
                </c:pt>
                <c:pt idx="308">
                  <c:v>68.40100000000001</c:v>
                </c:pt>
                <c:pt idx="309">
                  <c:v>68.40100000000001</c:v>
                </c:pt>
                <c:pt idx="310">
                  <c:v>68.40100000000001</c:v>
                </c:pt>
                <c:pt idx="311">
                  <c:v>68.40100000000001</c:v>
                </c:pt>
                <c:pt idx="312">
                  <c:v>68.40100000000001</c:v>
                </c:pt>
                <c:pt idx="313">
                  <c:v>68.40100000000001</c:v>
                </c:pt>
                <c:pt idx="314">
                  <c:v>68.40100000000001</c:v>
                </c:pt>
                <c:pt idx="315">
                  <c:v>68.40100000000001</c:v>
                </c:pt>
                <c:pt idx="316">
                  <c:v>68.40100000000001</c:v>
                </c:pt>
                <c:pt idx="317">
                  <c:v>68.40100000000001</c:v>
                </c:pt>
                <c:pt idx="318">
                  <c:v>68.40100000000001</c:v>
                </c:pt>
                <c:pt idx="319">
                  <c:v>68.40100000000001</c:v>
                </c:pt>
                <c:pt idx="320">
                  <c:v>68.40100000000001</c:v>
                </c:pt>
                <c:pt idx="321">
                  <c:v>68.40100000000001</c:v>
                </c:pt>
                <c:pt idx="322">
                  <c:v>68.40100000000001</c:v>
                </c:pt>
                <c:pt idx="323">
                  <c:v>68.40100000000001</c:v>
                </c:pt>
                <c:pt idx="324">
                  <c:v>68.40100000000001</c:v>
                </c:pt>
                <c:pt idx="325">
                  <c:v>68.40100000000001</c:v>
                </c:pt>
                <c:pt idx="326">
                  <c:v>68.40100000000001</c:v>
                </c:pt>
                <c:pt idx="327">
                  <c:v>68.40100000000001</c:v>
                </c:pt>
                <c:pt idx="328">
                  <c:v>68.40100000000001</c:v>
                </c:pt>
                <c:pt idx="329">
                  <c:v>68.40100000000001</c:v>
                </c:pt>
                <c:pt idx="330">
                  <c:v>68.40100000000001</c:v>
                </c:pt>
                <c:pt idx="331">
                  <c:v>68.40100000000001</c:v>
                </c:pt>
                <c:pt idx="332">
                  <c:v>68.40100000000001</c:v>
                </c:pt>
                <c:pt idx="333">
                  <c:v>68.40100000000001</c:v>
                </c:pt>
                <c:pt idx="334">
                  <c:v>68.40100000000001</c:v>
                </c:pt>
                <c:pt idx="335">
                  <c:v>68.40100000000001</c:v>
                </c:pt>
                <c:pt idx="336">
                  <c:v>68.40100000000001</c:v>
                </c:pt>
                <c:pt idx="337">
                  <c:v>68.40100000000001</c:v>
                </c:pt>
                <c:pt idx="338">
                  <c:v>68.40100000000001</c:v>
                </c:pt>
                <c:pt idx="339">
                  <c:v>68.40100000000001</c:v>
                </c:pt>
                <c:pt idx="340">
                  <c:v>68.40100000000001</c:v>
                </c:pt>
                <c:pt idx="341">
                  <c:v>68.40100000000001</c:v>
                </c:pt>
                <c:pt idx="342">
                  <c:v>68.40100000000001</c:v>
                </c:pt>
                <c:pt idx="343">
                  <c:v>68.40100000000001</c:v>
                </c:pt>
                <c:pt idx="344">
                  <c:v>68.40100000000001</c:v>
                </c:pt>
                <c:pt idx="345">
                  <c:v>68.40100000000001</c:v>
                </c:pt>
                <c:pt idx="346">
                  <c:v>68.40100000000001</c:v>
                </c:pt>
                <c:pt idx="347">
                  <c:v>68.40100000000001</c:v>
                </c:pt>
                <c:pt idx="348">
                  <c:v>68.40100000000001</c:v>
                </c:pt>
                <c:pt idx="349">
                  <c:v>68.40100000000001</c:v>
                </c:pt>
                <c:pt idx="350">
                  <c:v>68.40100000000001</c:v>
                </c:pt>
                <c:pt idx="351">
                  <c:v>68.40100000000001</c:v>
                </c:pt>
                <c:pt idx="352">
                  <c:v>68.40100000000001</c:v>
                </c:pt>
                <c:pt idx="353">
                  <c:v>68.40100000000001</c:v>
                </c:pt>
                <c:pt idx="354">
                  <c:v>68.40100000000001</c:v>
                </c:pt>
                <c:pt idx="355">
                  <c:v>68.40100000000001</c:v>
                </c:pt>
                <c:pt idx="356">
                  <c:v>68.40100000000001</c:v>
                </c:pt>
                <c:pt idx="357">
                  <c:v>68.40100000000001</c:v>
                </c:pt>
                <c:pt idx="358">
                  <c:v>68.40100000000001</c:v>
                </c:pt>
                <c:pt idx="359">
                  <c:v>68.40100000000001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03-4C99-9FA4-6A62B116CCDB}"/>
            </c:ext>
          </c:extLst>
        </c:ser>
        <c:ser>
          <c:idx val="3"/>
          <c:order val="3"/>
          <c:tx>
            <c:v>temporary wilting point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Bilan_hydrique!$A$2:$A$366</c:f>
              <c:numCache>
                <c:formatCode>m/d/yyyy</c:formatCode>
                <c:ptCount val="365"/>
                <c:pt idx="0">
                  <c:v>42050</c:v>
                </c:pt>
                <c:pt idx="1">
                  <c:v>42051</c:v>
                </c:pt>
                <c:pt idx="2">
                  <c:v>42052</c:v>
                </c:pt>
                <c:pt idx="3">
                  <c:v>42053</c:v>
                </c:pt>
                <c:pt idx="4">
                  <c:v>42054</c:v>
                </c:pt>
                <c:pt idx="5">
                  <c:v>42055</c:v>
                </c:pt>
                <c:pt idx="6">
                  <c:v>42056</c:v>
                </c:pt>
                <c:pt idx="7">
                  <c:v>42057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42063</c:v>
                </c:pt>
                <c:pt idx="14">
                  <c:v>42064</c:v>
                </c:pt>
                <c:pt idx="15">
                  <c:v>42065</c:v>
                </c:pt>
                <c:pt idx="16">
                  <c:v>42066</c:v>
                </c:pt>
                <c:pt idx="17">
                  <c:v>42067</c:v>
                </c:pt>
                <c:pt idx="18">
                  <c:v>42068</c:v>
                </c:pt>
                <c:pt idx="19">
                  <c:v>42069</c:v>
                </c:pt>
                <c:pt idx="20">
                  <c:v>42070</c:v>
                </c:pt>
                <c:pt idx="21">
                  <c:v>42071</c:v>
                </c:pt>
                <c:pt idx="22">
                  <c:v>42072</c:v>
                </c:pt>
                <c:pt idx="23">
                  <c:v>42073</c:v>
                </c:pt>
                <c:pt idx="24">
                  <c:v>42074</c:v>
                </c:pt>
                <c:pt idx="25">
                  <c:v>42075</c:v>
                </c:pt>
                <c:pt idx="26">
                  <c:v>42076</c:v>
                </c:pt>
                <c:pt idx="27">
                  <c:v>42077</c:v>
                </c:pt>
                <c:pt idx="28">
                  <c:v>42078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42084</c:v>
                </c:pt>
                <c:pt idx="35">
                  <c:v>42085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42091</c:v>
                </c:pt>
                <c:pt idx="42">
                  <c:v>42092</c:v>
                </c:pt>
                <c:pt idx="43">
                  <c:v>42093</c:v>
                </c:pt>
                <c:pt idx="44">
                  <c:v>42094</c:v>
                </c:pt>
                <c:pt idx="45">
                  <c:v>42095</c:v>
                </c:pt>
                <c:pt idx="46">
                  <c:v>42096</c:v>
                </c:pt>
                <c:pt idx="47">
                  <c:v>42097</c:v>
                </c:pt>
                <c:pt idx="48">
                  <c:v>42098</c:v>
                </c:pt>
                <c:pt idx="49">
                  <c:v>42099</c:v>
                </c:pt>
                <c:pt idx="50">
                  <c:v>42100</c:v>
                </c:pt>
                <c:pt idx="51">
                  <c:v>42101</c:v>
                </c:pt>
                <c:pt idx="52">
                  <c:v>42102</c:v>
                </c:pt>
                <c:pt idx="53">
                  <c:v>42103</c:v>
                </c:pt>
                <c:pt idx="54">
                  <c:v>42104</c:v>
                </c:pt>
                <c:pt idx="55">
                  <c:v>42105</c:v>
                </c:pt>
                <c:pt idx="56">
                  <c:v>42106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42112</c:v>
                </c:pt>
                <c:pt idx="63">
                  <c:v>42113</c:v>
                </c:pt>
                <c:pt idx="64">
                  <c:v>42114</c:v>
                </c:pt>
                <c:pt idx="65">
                  <c:v>42115</c:v>
                </c:pt>
                <c:pt idx="66">
                  <c:v>42116</c:v>
                </c:pt>
                <c:pt idx="67">
                  <c:v>42117</c:v>
                </c:pt>
                <c:pt idx="68">
                  <c:v>42118</c:v>
                </c:pt>
                <c:pt idx="69">
                  <c:v>42119</c:v>
                </c:pt>
                <c:pt idx="70">
                  <c:v>42120</c:v>
                </c:pt>
                <c:pt idx="71">
                  <c:v>42121</c:v>
                </c:pt>
                <c:pt idx="72">
                  <c:v>42122</c:v>
                </c:pt>
                <c:pt idx="73">
                  <c:v>42123</c:v>
                </c:pt>
                <c:pt idx="74">
                  <c:v>42124</c:v>
                </c:pt>
                <c:pt idx="75">
                  <c:v>42125</c:v>
                </c:pt>
                <c:pt idx="76">
                  <c:v>42126</c:v>
                </c:pt>
                <c:pt idx="77">
                  <c:v>42127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42133</c:v>
                </c:pt>
                <c:pt idx="84">
                  <c:v>42134</c:v>
                </c:pt>
                <c:pt idx="85">
                  <c:v>42135</c:v>
                </c:pt>
                <c:pt idx="86">
                  <c:v>42136</c:v>
                </c:pt>
                <c:pt idx="87">
                  <c:v>42137</c:v>
                </c:pt>
                <c:pt idx="88">
                  <c:v>42138</c:v>
                </c:pt>
                <c:pt idx="89">
                  <c:v>42139</c:v>
                </c:pt>
                <c:pt idx="90">
                  <c:v>42140</c:v>
                </c:pt>
                <c:pt idx="91">
                  <c:v>42141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42144</c:v>
                </c:pt>
                <c:pt idx="96">
                  <c:v>42144</c:v>
                </c:pt>
                <c:pt idx="97">
                  <c:v>42144</c:v>
                </c:pt>
                <c:pt idx="98">
                  <c:v>42144</c:v>
                </c:pt>
                <c:pt idx="99">
                  <c:v>42144</c:v>
                </c:pt>
                <c:pt idx="100">
                  <c:v>42144</c:v>
                </c:pt>
                <c:pt idx="101">
                  <c:v>42144</c:v>
                </c:pt>
                <c:pt idx="102">
                  <c:v>42144</c:v>
                </c:pt>
                <c:pt idx="103">
                  <c:v>42144</c:v>
                </c:pt>
                <c:pt idx="104">
                  <c:v>42144</c:v>
                </c:pt>
                <c:pt idx="105">
                  <c:v>42144</c:v>
                </c:pt>
                <c:pt idx="106">
                  <c:v>42144</c:v>
                </c:pt>
                <c:pt idx="107">
                  <c:v>42144</c:v>
                </c:pt>
                <c:pt idx="108">
                  <c:v>42144</c:v>
                </c:pt>
                <c:pt idx="109">
                  <c:v>42144</c:v>
                </c:pt>
                <c:pt idx="110">
                  <c:v>42144</c:v>
                </c:pt>
                <c:pt idx="111">
                  <c:v>42144</c:v>
                </c:pt>
                <c:pt idx="112">
                  <c:v>42144</c:v>
                </c:pt>
                <c:pt idx="113">
                  <c:v>42144</c:v>
                </c:pt>
                <c:pt idx="114">
                  <c:v>42144</c:v>
                </c:pt>
                <c:pt idx="115">
                  <c:v>42144</c:v>
                </c:pt>
                <c:pt idx="116">
                  <c:v>42144</c:v>
                </c:pt>
                <c:pt idx="117">
                  <c:v>42144</c:v>
                </c:pt>
                <c:pt idx="118">
                  <c:v>42144</c:v>
                </c:pt>
                <c:pt idx="119">
                  <c:v>42144</c:v>
                </c:pt>
                <c:pt idx="120">
                  <c:v>42144</c:v>
                </c:pt>
                <c:pt idx="121">
                  <c:v>42144</c:v>
                </c:pt>
                <c:pt idx="122">
                  <c:v>42144</c:v>
                </c:pt>
                <c:pt idx="123">
                  <c:v>42144</c:v>
                </c:pt>
                <c:pt idx="124">
                  <c:v>42144</c:v>
                </c:pt>
                <c:pt idx="125">
                  <c:v>42144</c:v>
                </c:pt>
                <c:pt idx="126">
                  <c:v>42144</c:v>
                </c:pt>
                <c:pt idx="127">
                  <c:v>42144</c:v>
                </c:pt>
                <c:pt idx="128">
                  <c:v>42144</c:v>
                </c:pt>
                <c:pt idx="129">
                  <c:v>42144</c:v>
                </c:pt>
                <c:pt idx="130">
                  <c:v>42144</c:v>
                </c:pt>
                <c:pt idx="131">
                  <c:v>42144</c:v>
                </c:pt>
                <c:pt idx="132">
                  <c:v>42144</c:v>
                </c:pt>
                <c:pt idx="133">
                  <c:v>42144</c:v>
                </c:pt>
                <c:pt idx="134">
                  <c:v>42144</c:v>
                </c:pt>
                <c:pt idx="135">
                  <c:v>42144</c:v>
                </c:pt>
                <c:pt idx="136">
                  <c:v>42144</c:v>
                </c:pt>
                <c:pt idx="137">
                  <c:v>42144</c:v>
                </c:pt>
                <c:pt idx="138">
                  <c:v>42144</c:v>
                </c:pt>
                <c:pt idx="139">
                  <c:v>42144</c:v>
                </c:pt>
                <c:pt idx="140">
                  <c:v>42144</c:v>
                </c:pt>
                <c:pt idx="141">
                  <c:v>42144</c:v>
                </c:pt>
                <c:pt idx="142">
                  <c:v>42144</c:v>
                </c:pt>
                <c:pt idx="143">
                  <c:v>42144</c:v>
                </c:pt>
                <c:pt idx="144">
                  <c:v>42144</c:v>
                </c:pt>
                <c:pt idx="145">
                  <c:v>42144</c:v>
                </c:pt>
                <c:pt idx="146">
                  <c:v>42144</c:v>
                </c:pt>
                <c:pt idx="147">
                  <c:v>42144</c:v>
                </c:pt>
                <c:pt idx="148">
                  <c:v>42144</c:v>
                </c:pt>
                <c:pt idx="149">
                  <c:v>42144</c:v>
                </c:pt>
                <c:pt idx="150">
                  <c:v>42144</c:v>
                </c:pt>
                <c:pt idx="151">
                  <c:v>42144</c:v>
                </c:pt>
                <c:pt idx="152">
                  <c:v>42144</c:v>
                </c:pt>
                <c:pt idx="153">
                  <c:v>42144</c:v>
                </c:pt>
                <c:pt idx="154">
                  <c:v>42144</c:v>
                </c:pt>
                <c:pt idx="155">
                  <c:v>42144</c:v>
                </c:pt>
                <c:pt idx="156">
                  <c:v>42144</c:v>
                </c:pt>
                <c:pt idx="157">
                  <c:v>42144</c:v>
                </c:pt>
                <c:pt idx="158">
                  <c:v>42144</c:v>
                </c:pt>
                <c:pt idx="159">
                  <c:v>42144</c:v>
                </c:pt>
                <c:pt idx="160">
                  <c:v>42144</c:v>
                </c:pt>
                <c:pt idx="161">
                  <c:v>42144</c:v>
                </c:pt>
                <c:pt idx="162">
                  <c:v>42144</c:v>
                </c:pt>
                <c:pt idx="163">
                  <c:v>42144</c:v>
                </c:pt>
                <c:pt idx="164">
                  <c:v>42144</c:v>
                </c:pt>
                <c:pt idx="165">
                  <c:v>42144</c:v>
                </c:pt>
                <c:pt idx="166">
                  <c:v>42144</c:v>
                </c:pt>
                <c:pt idx="167">
                  <c:v>42144</c:v>
                </c:pt>
                <c:pt idx="168">
                  <c:v>42144</c:v>
                </c:pt>
                <c:pt idx="169">
                  <c:v>42144</c:v>
                </c:pt>
                <c:pt idx="170">
                  <c:v>42144</c:v>
                </c:pt>
                <c:pt idx="171">
                  <c:v>42144</c:v>
                </c:pt>
                <c:pt idx="172">
                  <c:v>42144</c:v>
                </c:pt>
                <c:pt idx="173">
                  <c:v>42144</c:v>
                </c:pt>
                <c:pt idx="174">
                  <c:v>42144</c:v>
                </c:pt>
                <c:pt idx="175">
                  <c:v>42144</c:v>
                </c:pt>
                <c:pt idx="176">
                  <c:v>42144</c:v>
                </c:pt>
                <c:pt idx="177">
                  <c:v>42144</c:v>
                </c:pt>
                <c:pt idx="178">
                  <c:v>42144</c:v>
                </c:pt>
                <c:pt idx="179">
                  <c:v>42144</c:v>
                </c:pt>
                <c:pt idx="180">
                  <c:v>42144</c:v>
                </c:pt>
                <c:pt idx="181">
                  <c:v>42144</c:v>
                </c:pt>
                <c:pt idx="182">
                  <c:v>42144</c:v>
                </c:pt>
                <c:pt idx="183">
                  <c:v>42144</c:v>
                </c:pt>
                <c:pt idx="184">
                  <c:v>42144</c:v>
                </c:pt>
                <c:pt idx="185">
                  <c:v>42144</c:v>
                </c:pt>
                <c:pt idx="186">
                  <c:v>42144</c:v>
                </c:pt>
                <c:pt idx="187">
                  <c:v>42144</c:v>
                </c:pt>
                <c:pt idx="188">
                  <c:v>42144</c:v>
                </c:pt>
                <c:pt idx="189">
                  <c:v>42144</c:v>
                </c:pt>
                <c:pt idx="190">
                  <c:v>42144</c:v>
                </c:pt>
                <c:pt idx="191">
                  <c:v>42144</c:v>
                </c:pt>
                <c:pt idx="192">
                  <c:v>42144</c:v>
                </c:pt>
                <c:pt idx="193">
                  <c:v>42144</c:v>
                </c:pt>
                <c:pt idx="194">
                  <c:v>42144</c:v>
                </c:pt>
                <c:pt idx="195">
                  <c:v>42144</c:v>
                </c:pt>
                <c:pt idx="196">
                  <c:v>42144</c:v>
                </c:pt>
                <c:pt idx="197">
                  <c:v>42144</c:v>
                </c:pt>
                <c:pt idx="198">
                  <c:v>42144</c:v>
                </c:pt>
                <c:pt idx="199">
                  <c:v>42144</c:v>
                </c:pt>
                <c:pt idx="200">
                  <c:v>42144</c:v>
                </c:pt>
                <c:pt idx="201">
                  <c:v>42144</c:v>
                </c:pt>
                <c:pt idx="202">
                  <c:v>42144</c:v>
                </c:pt>
                <c:pt idx="203">
                  <c:v>42144</c:v>
                </c:pt>
                <c:pt idx="204">
                  <c:v>42144</c:v>
                </c:pt>
                <c:pt idx="205">
                  <c:v>42144</c:v>
                </c:pt>
                <c:pt idx="206">
                  <c:v>42144</c:v>
                </c:pt>
                <c:pt idx="207">
                  <c:v>42144</c:v>
                </c:pt>
                <c:pt idx="208">
                  <c:v>42144</c:v>
                </c:pt>
                <c:pt idx="209">
                  <c:v>42144</c:v>
                </c:pt>
                <c:pt idx="210">
                  <c:v>42144</c:v>
                </c:pt>
                <c:pt idx="211">
                  <c:v>42144</c:v>
                </c:pt>
                <c:pt idx="212">
                  <c:v>42144</c:v>
                </c:pt>
                <c:pt idx="213">
                  <c:v>42144</c:v>
                </c:pt>
                <c:pt idx="214">
                  <c:v>42144</c:v>
                </c:pt>
                <c:pt idx="215">
                  <c:v>42144</c:v>
                </c:pt>
                <c:pt idx="216">
                  <c:v>42144</c:v>
                </c:pt>
                <c:pt idx="217">
                  <c:v>42144</c:v>
                </c:pt>
                <c:pt idx="218">
                  <c:v>42144</c:v>
                </c:pt>
                <c:pt idx="219">
                  <c:v>42144</c:v>
                </c:pt>
                <c:pt idx="220">
                  <c:v>42144</c:v>
                </c:pt>
                <c:pt idx="221">
                  <c:v>42144</c:v>
                </c:pt>
                <c:pt idx="222">
                  <c:v>42144</c:v>
                </c:pt>
                <c:pt idx="223">
                  <c:v>42144</c:v>
                </c:pt>
                <c:pt idx="224">
                  <c:v>42144</c:v>
                </c:pt>
                <c:pt idx="225">
                  <c:v>42144</c:v>
                </c:pt>
                <c:pt idx="226">
                  <c:v>42144</c:v>
                </c:pt>
                <c:pt idx="227">
                  <c:v>42144</c:v>
                </c:pt>
                <c:pt idx="228">
                  <c:v>42144</c:v>
                </c:pt>
                <c:pt idx="229">
                  <c:v>42144</c:v>
                </c:pt>
                <c:pt idx="230">
                  <c:v>42144</c:v>
                </c:pt>
                <c:pt idx="231">
                  <c:v>42144</c:v>
                </c:pt>
                <c:pt idx="232">
                  <c:v>42144</c:v>
                </c:pt>
                <c:pt idx="233">
                  <c:v>42144</c:v>
                </c:pt>
                <c:pt idx="234">
                  <c:v>42144</c:v>
                </c:pt>
                <c:pt idx="235">
                  <c:v>42144</c:v>
                </c:pt>
                <c:pt idx="236">
                  <c:v>42144</c:v>
                </c:pt>
                <c:pt idx="237">
                  <c:v>42144</c:v>
                </c:pt>
                <c:pt idx="238">
                  <c:v>42144</c:v>
                </c:pt>
                <c:pt idx="239">
                  <c:v>42144</c:v>
                </c:pt>
                <c:pt idx="240">
                  <c:v>42144</c:v>
                </c:pt>
                <c:pt idx="241">
                  <c:v>42144</c:v>
                </c:pt>
                <c:pt idx="242">
                  <c:v>42144</c:v>
                </c:pt>
                <c:pt idx="243">
                  <c:v>42144</c:v>
                </c:pt>
                <c:pt idx="244">
                  <c:v>42144</c:v>
                </c:pt>
                <c:pt idx="245">
                  <c:v>42144</c:v>
                </c:pt>
                <c:pt idx="246">
                  <c:v>42144</c:v>
                </c:pt>
                <c:pt idx="247">
                  <c:v>42144</c:v>
                </c:pt>
                <c:pt idx="248">
                  <c:v>42144</c:v>
                </c:pt>
                <c:pt idx="249">
                  <c:v>42144</c:v>
                </c:pt>
                <c:pt idx="250">
                  <c:v>42144</c:v>
                </c:pt>
                <c:pt idx="251">
                  <c:v>42144</c:v>
                </c:pt>
                <c:pt idx="252">
                  <c:v>42144</c:v>
                </c:pt>
                <c:pt idx="253">
                  <c:v>42144</c:v>
                </c:pt>
                <c:pt idx="254">
                  <c:v>42144</c:v>
                </c:pt>
                <c:pt idx="255">
                  <c:v>42144</c:v>
                </c:pt>
                <c:pt idx="256">
                  <c:v>42144</c:v>
                </c:pt>
                <c:pt idx="257">
                  <c:v>42144</c:v>
                </c:pt>
                <c:pt idx="258">
                  <c:v>42144</c:v>
                </c:pt>
                <c:pt idx="259">
                  <c:v>42144</c:v>
                </c:pt>
                <c:pt idx="260">
                  <c:v>42144</c:v>
                </c:pt>
                <c:pt idx="261">
                  <c:v>42144</c:v>
                </c:pt>
                <c:pt idx="262">
                  <c:v>42144</c:v>
                </c:pt>
                <c:pt idx="263">
                  <c:v>42144</c:v>
                </c:pt>
                <c:pt idx="264">
                  <c:v>42144</c:v>
                </c:pt>
                <c:pt idx="265">
                  <c:v>42144</c:v>
                </c:pt>
                <c:pt idx="266">
                  <c:v>42144</c:v>
                </c:pt>
                <c:pt idx="267">
                  <c:v>42144</c:v>
                </c:pt>
                <c:pt idx="268">
                  <c:v>42144</c:v>
                </c:pt>
                <c:pt idx="269">
                  <c:v>42144</c:v>
                </c:pt>
                <c:pt idx="270">
                  <c:v>42144</c:v>
                </c:pt>
                <c:pt idx="271">
                  <c:v>42144</c:v>
                </c:pt>
                <c:pt idx="272">
                  <c:v>42144</c:v>
                </c:pt>
                <c:pt idx="273">
                  <c:v>42144</c:v>
                </c:pt>
                <c:pt idx="274">
                  <c:v>42144</c:v>
                </c:pt>
                <c:pt idx="275">
                  <c:v>42144</c:v>
                </c:pt>
                <c:pt idx="276">
                  <c:v>42144</c:v>
                </c:pt>
                <c:pt idx="277">
                  <c:v>42144</c:v>
                </c:pt>
                <c:pt idx="278">
                  <c:v>42144</c:v>
                </c:pt>
                <c:pt idx="279">
                  <c:v>42144</c:v>
                </c:pt>
                <c:pt idx="280">
                  <c:v>42144</c:v>
                </c:pt>
                <c:pt idx="281">
                  <c:v>42144</c:v>
                </c:pt>
                <c:pt idx="282">
                  <c:v>42144</c:v>
                </c:pt>
                <c:pt idx="283">
                  <c:v>42144</c:v>
                </c:pt>
                <c:pt idx="284">
                  <c:v>42144</c:v>
                </c:pt>
                <c:pt idx="285">
                  <c:v>42144</c:v>
                </c:pt>
                <c:pt idx="286">
                  <c:v>42144</c:v>
                </c:pt>
                <c:pt idx="287">
                  <c:v>42144</c:v>
                </c:pt>
                <c:pt idx="288">
                  <c:v>42144</c:v>
                </c:pt>
                <c:pt idx="289">
                  <c:v>42144</c:v>
                </c:pt>
                <c:pt idx="290">
                  <c:v>42144</c:v>
                </c:pt>
                <c:pt idx="291">
                  <c:v>42144</c:v>
                </c:pt>
                <c:pt idx="292">
                  <c:v>42144</c:v>
                </c:pt>
                <c:pt idx="293">
                  <c:v>42144</c:v>
                </c:pt>
                <c:pt idx="294">
                  <c:v>42144</c:v>
                </c:pt>
                <c:pt idx="295">
                  <c:v>42144</c:v>
                </c:pt>
                <c:pt idx="296">
                  <c:v>42144</c:v>
                </c:pt>
                <c:pt idx="297">
                  <c:v>42144</c:v>
                </c:pt>
                <c:pt idx="298">
                  <c:v>42144</c:v>
                </c:pt>
                <c:pt idx="299">
                  <c:v>42144</c:v>
                </c:pt>
                <c:pt idx="300">
                  <c:v>42144</c:v>
                </c:pt>
                <c:pt idx="301">
                  <c:v>42144</c:v>
                </c:pt>
                <c:pt idx="302">
                  <c:v>42144</c:v>
                </c:pt>
                <c:pt idx="303">
                  <c:v>42144</c:v>
                </c:pt>
                <c:pt idx="304">
                  <c:v>42144</c:v>
                </c:pt>
                <c:pt idx="305">
                  <c:v>42144</c:v>
                </c:pt>
                <c:pt idx="306">
                  <c:v>42144</c:v>
                </c:pt>
                <c:pt idx="307">
                  <c:v>42144</c:v>
                </c:pt>
                <c:pt idx="308">
                  <c:v>42144</c:v>
                </c:pt>
                <c:pt idx="309">
                  <c:v>42144</c:v>
                </c:pt>
                <c:pt idx="310">
                  <c:v>42144</c:v>
                </c:pt>
                <c:pt idx="311">
                  <c:v>42144</c:v>
                </c:pt>
                <c:pt idx="312">
                  <c:v>42144</c:v>
                </c:pt>
                <c:pt idx="313">
                  <c:v>42144</c:v>
                </c:pt>
                <c:pt idx="314">
                  <c:v>42144</c:v>
                </c:pt>
                <c:pt idx="315">
                  <c:v>42144</c:v>
                </c:pt>
                <c:pt idx="316">
                  <c:v>42144</c:v>
                </c:pt>
                <c:pt idx="317">
                  <c:v>42144</c:v>
                </c:pt>
                <c:pt idx="318">
                  <c:v>42144</c:v>
                </c:pt>
                <c:pt idx="319">
                  <c:v>42144</c:v>
                </c:pt>
                <c:pt idx="320">
                  <c:v>42144</c:v>
                </c:pt>
                <c:pt idx="321">
                  <c:v>42144</c:v>
                </c:pt>
                <c:pt idx="322">
                  <c:v>42144</c:v>
                </c:pt>
                <c:pt idx="323">
                  <c:v>42144</c:v>
                </c:pt>
                <c:pt idx="324">
                  <c:v>42144</c:v>
                </c:pt>
                <c:pt idx="325">
                  <c:v>42144</c:v>
                </c:pt>
                <c:pt idx="326">
                  <c:v>42144</c:v>
                </c:pt>
                <c:pt idx="327">
                  <c:v>42144</c:v>
                </c:pt>
                <c:pt idx="328">
                  <c:v>42144</c:v>
                </c:pt>
                <c:pt idx="329">
                  <c:v>42144</c:v>
                </c:pt>
                <c:pt idx="330">
                  <c:v>42144</c:v>
                </c:pt>
                <c:pt idx="331">
                  <c:v>42144</c:v>
                </c:pt>
                <c:pt idx="332">
                  <c:v>42144</c:v>
                </c:pt>
                <c:pt idx="333">
                  <c:v>42144</c:v>
                </c:pt>
                <c:pt idx="334">
                  <c:v>42144</c:v>
                </c:pt>
                <c:pt idx="335">
                  <c:v>42144</c:v>
                </c:pt>
                <c:pt idx="336">
                  <c:v>42144</c:v>
                </c:pt>
                <c:pt idx="337">
                  <c:v>42144</c:v>
                </c:pt>
                <c:pt idx="338">
                  <c:v>42144</c:v>
                </c:pt>
                <c:pt idx="339">
                  <c:v>42144</c:v>
                </c:pt>
                <c:pt idx="340">
                  <c:v>42144</c:v>
                </c:pt>
                <c:pt idx="341">
                  <c:v>42144</c:v>
                </c:pt>
                <c:pt idx="342">
                  <c:v>42144</c:v>
                </c:pt>
                <c:pt idx="343">
                  <c:v>42144</c:v>
                </c:pt>
                <c:pt idx="344">
                  <c:v>42144</c:v>
                </c:pt>
                <c:pt idx="345">
                  <c:v>42144</c:v>
                </c:pt>
                <c:pt idx="346">
                  <c:v>42144</c:v>
                </c:pt>
                <c:pt idx="347">
                  <c:v>42144</c:v>
                </c:pt>
                <c:pt idx="348">
                  <c:v>42144</c:v>
                </c:pt>
                <c:pt idx="349">
                  <c:v>42144</c:v>
                </c:pt>
                <c:pt idx="350">
                  <c:v>42144</c:v>
                </c:pt>
                <c:pt idx="351">
                  <c:v>42144</c:v>
                </c:pt>
                <c:pt idx="352">
                  <c:v>42144</c:v>
                </c:pt>
                <c:pt idx="353">
                  <c:v>42144</c:v>
                </c:pt>
                <c:pt idx="354">
                  <c:v>42144</c:v>
                </c:pt>
                <c:pt idx="355">
                  <c:v>42144</c:v>
                </c:pt>
                <c:pt idx="356">
                  <c:v>42144</c:v>
                </c:pt>
                <c:pt idx="357">
                  <c:v>42144</c:v>
                </c:pt>
                <c:pt idx="358">
                  <c:v>42144</c:v>
                </c:pt>
                <c:pt idx="359">
                  <c:v>42144</c:v>
                </c:pt>
                <c:pt idx="360">
                  <c:v>42144</c:v>
                </c:pt>
                <c:pt idx="361">
                  <c:v>42144</c:v>
                </c:pt>
                <c:pt idx="362">
                  <c:v>42144</c:v>
                </c:pt>
                <c:pt idx="363">
                  <c:v>42144</c:v>
                </c:pt>
                <c:pt idx="364">
                  <c:v>42144</c:v>
                </c:pt>
              </c:numCache>
            </c:numRef>
          </c:cat>
          <c:val>
            <c:numRef>
              <c:f>Bilan_hydrique!$D$2:$D$361</c:f>
              <c:numCache>
                <c:formatCode>General</c:formatCode>
                <c:ptCount val="360"/>
                <c:pt idx="0">
                  <c:v>22.800333333333334</c:v>
                </c:pt>
                <c:pt idx="1">
                  <c:v>22.800333333333334</c:v>
                </c:pt>
                <c:pt idx="2">
                  <c:v>22.800333333333334</c:v>
                </c:pt>
                <c:pt idx="3">
                  <c:v>22.800333333333334</c:v>
                </c:pt>
                <c:pt idx="4">
                  <c:v>22.800333333333334</c:v>
                </c:pt>
                <c:pt idx="5">
                  <c:v>22.800333333333334</c:v>
                </c:pt>
                <c:pt idx="6">
                  <c:v>22.800333333333334</c:v>
                </c:pt>
                <c:pt idx="7">
                  <c:v>22.800333333333334</c:v>
                </c:pt>
                <c:pt idx="8">
                  <c:v>22.800333333333334</c:v>
                </c:pt>
                <c:pt idx="9">
                  <c:v>22.800333333333334</c:v>
                </c:pt>
                <c:pt idx="10">
                  <c:v>22.800333333333334</c:v>
                </c:pt>
                <c:pt idx="11">
                  <c:v>22.800333333333334</c:v>
                </c:pt>
                <c:pt idx="12">
                  <c:v>22.800333333333334</c:v>
                </c:pt>
                <c:pt idx="13">
                  <c:v>22.800333333333334</c:v>
                </c:pt>
                <c:pt idx="14">
                  <c:v>22.800333333333334</c:v>
                </c:pt>
                <c:pt idx="15">
                  <c:v>22.800333333333334</c:v>
                </c:pt>
                <c:pt idx="16">
                  <c:v>22.800333333333334</c:v>
                </c:pt>
                <c:pt idx="17">
                  <c:v>22.800333333333334</c:v>
                </c:pt>
                <c:pt idx="18">
                  <c:v>22.800333333333334</c:v>
                </c:pt>
                <c:pt idx="19">
                  <c:v>22.800333333333334</c:v>
                </c:pt>
                <c:pt idx="20">
                  <c:v>22.800333333333334</c:v>
                </c:pt>
                <c:pt idx="21">
                  <c:v>22.800333333333334</c:v>
                </c:pt>
                <c:pt idx="22">
                  <c:v>22.800333333333334</c:v>
                </c:pt>
                <c:pt idx="23">
                  <c:v>22.800333333333334</c:v>
                </c:pt>
                <c:pt idx="24">
                  <c:v>22.800333333333334</c:v>
                </c:pt>
                <c:pt idx="25">
                  <c:v>22.800333333333334</c:v>
                </c:pt>
                <c:pt idx="26">
                  <c:v>22.800333333333334</c:v>
                </c:pt>
                <c:pt idx="27">
                  <c:v>22.800333333333334</c:v>
                </c:pt>
                <c:pt idx="28">
                  <c:v>22.800333333333334</c:v>
                </c:pt>
                <c:pt idx="29">
                  <c:v>22.800333333333334</c:v>
                </c:pt>
                <c:pt idx="30">
                  <c:v>22.800333333333334</c:v>
                </c:pt>
                <c:pt idx="31">
                  <c:v>22.800333333333334</c:v>
                </c:pt>
                <c:pt idx="32">
                  <c:v>22.800333333333334</c:v>
                </c:pt>
                <c:pt idx="33">
                  <c:v>22.800333333333334</c:v>
                </c:pt>
                <c:pt idx="34">
                  <c:v>22.800333333333334</c:v>
                </c:pt>
                <c:pt idx="35">
                  <c:v>22.800333333333334</c:v>
                </c:pt>
                <c:pt idx="36">
                  <c:v>22.800333333333334</c:v>
                </c:pt>
                <c:pt idx="37">
                  <c:v>22.800333333333334</c:v>
                </c:pt>
                <c:pt idx="38">
                  <c:v>22.800333333333334</c:v>
                </c:pt>
                <c:pt idx="39">
                  <c:v>22.800333333333334</c:v>
                </c:pt>
                <c:pt idx="40">
                  <c:v>22.800333333333334</c:v>
                </c:pt>
                <c:pt idx="41">
                  <c:v>22.800333333333334</c:v>
                </c:pt>
                <c:pt idx="42">
                  <c:v>22.800333333333334</c:v>
                </c:pt>
                <c:pt idx="43">
                  <c:v>22.800333333333334</c:v>
                </c:pt>
                <c:pt idx="44">
                  <c:v>22.800333333333334</c:v>
                </c:pt>
                <c:pt idx="45">
                  <c:v>22.800333333333334</c:v>
                </c:pt>
                <c:pt idx="46">
                  <c:v>22.800333333333334</c:v>
                </c:pt>
                <c:pt idx="47">
                  <c:v>22.800333333333334</c:v>
                </c:pt>
                <c:pt idx="48">
                  <c:v>22.800333333333334</c:v>
                </c:pt>
                <c:pt idx="49">
                  <c:v>22.800333333333334</c:v>
                </c:pt>
                <c:pt idx="50">
                  <c:v>22.800333333333334</c:v>
                </c:pt>
                <c:pt idx="51">
                  <c:v>22.800333333333334</c:v>
                </c:pt>
                <c:pt idx="52">
                  <c:v>22.800333333333334</c:v>
                </c:pt>
                <c:pt idx="53">
                  <c:v>22.800333333333334</c:v>
                </c:pt>
                <c:pt idx="54">
                  <c:v>22.800333333333334</c:v>
                </c:pt>
                <c:pt idx="55">
                  <c:v>22.800333333333334</c:v>
                </c:pt>
                <c:pt idx="56">
                  <c:v>22.800333333333334</c:v>
                </c:pt>
                <c:pt idx="57">
                  <c:v>22.800333333333334</c:v>
                </c:pt>
                <c:pt idx="58">
                  <c:v>22.800333333333334</c:v>
                </c:pt>
                <c:pt idx="59">
                  <c:v>22.800333333333334</c:v>
                </c:pt>
                <c:pt idx="60">
                  <c:v>22.800333333333334</c:v>
                </c:pt>
                <c:pt idx="61">
                  <c:v>22.800333333333334</c:v>
                </c:pt>
                <c:pt idx="62">
                  <c:v>22.800333333333334</c:v>
                </c:pt>
                <c:pt idx="63">
                  <c:v>22.800333333333334</c:v>
                </c:pt>
                <c:pt idx="64">
                  <c:v>22.800333333333334</c:v>
                </c:pt>
                <c:pt idx="65">
                  <c:v>22.800333333333334</c:v>
                </c:pt>
                <c:pt idx="66">
                  <c:v>22.800333333333334</c:v>
                </c:pt>
                <c:pt idx="67">
                  <c:v>22.800333333333334</c:v>
                </c:pt>
                <c:pt idx="68">
                  <c:v>22.800333333333334</c:v>
                </c:pt>
                <c:pt idx="69">
                  <c:v>22.800333333333334</c:v>
                </c:pt>
                <c:pt idx="70">
                  <c:v>22.800333333333334</c:v>
                </c:pt>
                <c:pt idx="71">
                  <c:v>22.800333333333334</c:v>
                </c:pt>
                <c:pt idx="72">
                  <c:v>22.800333333333334</c:v>
                </c:pt>
                <c:pt idx="73">
                  <c:v>22.800333333333334</c:v>
                </c:pt>
                <c:pt idx="74">
                  <c:v>22.800333333333334</c:v>
                </c:pt>
                <c:pt idx="75">
                  <c:v>22.800333333333334</c:v>
                </c:pt>
                <c:pt idx="76">
                  <c:v>22.800333333333334</c:v>
                </c:pt>
                <c:pt idx="77">
                  <c:v>22.800333333333334</c:v>
                </c:pt>
                <c:pt idx="78">
                  <c:v>22.800333333333334</c:v>
                </c:pt>
                <c:pt idx="79">
                  <c:v>22.800333333333334</c:v>
                </c:pt>
                <c:pt idx="80">
                  <c:v>22.800333333333334</c:v>
                </c:pt>
                <c:pt idx="81">
                  <c:v>22.800333333333334</c:v>
                </c:pt>
                <c:pt idx="82">
                  <c:v>22.800333333333334</c:v>
                </c:pt>
                <c:pt idx="83">
                  <c:v>22.800333333333334</c:v>
                </c:pt>
                <c:pt idx="84">
                  <c:v>22.800333333333334</c:v>
                </c:pt>
                <c:pt idx="85">
                  <c:v>22.800333333333334</c:v>
                </c:pt>
                <c:pt idx="86">
                  <c:v>22.800333333333334</c:v>
                </c:pt>
                <c:pt idx="87">
                  <c:v>22.800333333333334</c:v>
                </c:pt>
                <c:pt idx="88">
                  <c:v>22.800333333333334</c:v>
                </c:pt>
                <c:pt idx="89">
                  <c:v>22.800333333333334</c:v>
                </c:pt>
                <c:pt idx="90">
                  <c:v>22.800333333333334</c:v>
                </c:pt>
                <c:pt idx="91">
                  <c:v>22.800333333333334</c:v>
                </c:pt>
                <c:pt idx="92">
                  <c:v>22.800333333333334</c:v>
                </c:pt>
                <c:pt idx="93">
                  <c:v>22.800333333333334</c:v>
                </c:pt>
                <c:pt idx="94">
                  <c:v>22.800333333333334</c:v>
                </c:pt>
                <c:pt idx="95">
                  <c:v>22.800333333333334</c:v>
                </c:pt>
                <c:pt idx="96">
                  <c:v>22.800333333333334</c:v>
                </c:pt>
                <c:pt idx="97">
                  <c:v>22.800333333333334</c:v>
                </c:pt>
                <c:pt idx="98">
                  <c:v>22.800333333333334</c:v>
                </c:pt>
                <c:pt idx="99">
                  <c:v>22.800333333333334</c:v>
                </c:pt>
                <c:pt idx="100">
                  <c:v>22.800333333333334</c:v>
                </c:pt>
                <c:pt idx="101">
                  <c:v>22.800333333333334</c:v>
                </c:pt>
                <c:pt idx="102">
                  <c:v>22.800333333333334</c:v>
                </c:pt>
                <c:pt idx="103">
                  <c:v>22.800333333333334</c:v>
                </c:pt>
                <c:pt idx="104">
                  <c:v>22.800333333333334</c:v>
                </c:pt>
                <c:pt idx="105">
                  <c:v>22.800333333333334</c:v>
                </c:pt>
                <c:pt idx="106">
                  <c:v>22.800333333333334</c:v>
                </c:pt>
                <c:pt idx="107">
                  <c:v>22.800333333333334</c:v>
                </c:pt>
                <c:pt idx="108">
                  <c:v>22.800333333333334</c:v>
                </c:pt>
                <c:pt idx="109">
                  <c:v>22.800333333333334</c:v>
                </c:pt>
                <c:pt idx="110">
                  <c:v>22.800333333333334</c:v>
                </c:pt>
                <c:pt idx="111">
                  <c:v>22.800333333333334</c:v>
                </c:pt>
                <c:pt idx="112">
                  <c:v>22.800333333333334</c:v>
                </c:pt>
                <c:pt idx="113">
                  <c:v>22.800333333333334</c:v>
                </c:pt>
                <c:pt idx="114">
                  <c:v>22.800333333333334</c:v>
                </c:pt>
                <c:pt idx="115">
                  <c:v>22.800333333333334</c:v>
                </c:pt>
                <c:pt idx="116">
                  <c:v>22.800333333333334</c:v>
                </c:pt>
                <c:pt idx="117">
                  <c:v>22.800333333333334</c:v>
                </c:pt>
                <c:pt idx="118">
                  <c:v>22.800333333333334</c:v>
                </c:pt>
                <c:pt idx="119">
                  <c:v>22.800333333333334</c:v>
                </c:pt>
                <c:pt idx="120">
                  <c:v>22.800333333333334</c:v>
                </c:pt>
                <c:pt idx="121">
                  <c:v>22.800333333333334</c:v>
                </c:pt>
                <c:pt idx="122">
                  <c:v>22.800333333333334</c:v>
                </c:pt>
                <c:pt idx="123">
                  <c:v>22.800333333333334</c:v>
                </c:pt>
                <c:pt idx="124">
                  <c:v>22.800333333333334</c:v>
                </c:pt>
                <c:pt idx="125">
                  <c:v>22.800333333333334</c:v>
                </c:pt>
                <c:pt idx="126">
                  <c:v>22.800333333333334</c:v>
                </c:pt>
                <c:pt idx="127">
                  <c:v>22.800333333333334</c:v>
                </c:pt>
                <c:pt idx="128">
                  <c:v>22.800333333333334</c:v>
                </c:pt>
                <c:pt idx="129">
                  <c:v>22.800333333333334</c:v>
                </c:pt>
                <c:pt idx="130">
                  <c:v>22.800333333333334</c:v>
                </c:pt>
                <c:pt idx="131">
                  <c:v>22.800333333333334</c:v>
                </c:pt>
                <c:pt idx="132">
                  <c:v>22.800333333333334</c:v>
                </c:pt>
                <c:pt idx="133">
                  <c:v>22.800333333333334</c:v>
                </c:pt>
                <c:pt idx="134">
                  <c:v>22.800333333333334</c:v>
                </c:pt>
                <c:pt idx="135">
                  <c:v>22.800333333333334</c:v>
                </c:pt>
                <c:pt idx="136">
                  <c:v>22.800333333333334</c:v>
                </c:pt>
                <c:pt idx="137">
                  <c:v>22.800333333333334</c:v>
                </c:pt>
                <c:pt idx="138">
                  <c:v>22.800333333333334</c:v>
                </c:pt>
                <c:pt idx="139">
                  <c:v>22.800333333333334</c:v>
                </c:pt>
                <c:pt idx="140">
                  <c:v>22.800333333333334</c:v>
                </c:pt>
                <c:pt idx="141">
                  <c:v>22.800333333333334</c:v>
                </c:pt>
                <c:pt idx="142">
                  <c:v>22.800333333333334</c:v>
                </c:pt>
                <c:pt idx="143">
                  <c:v>22.800333333333334</c:v>
                </c:pt>
                <c:pt idx="144">
                  <c:v>22.800333333333334</c:v>
                </c:pt>
                <c:pt idx="145">
                  <c:v>22.800333333333334</c:v>
                </c:pt>
                <c:pt idx="146">
                  <c:v>22.800333333333334</c:v>
                </c:pt>
                <c:pt idx="147">
                  <c:v>22.800333333333334</c:v>
                </c:pt>
                <c:pt idx="148">
                  <c:v>22.800333333333334</c:v>
                </c:pt>
                <c:pt idx="149">
                  <c:v>22.800333333333334</c:v>
                </c:pt>
                <c:pt idx="150">
                  <c:v>22.800333333333334</c:v>
                </c:pt>
                <c:pt idx="151">
                  <c:v>22.800333333333334</c:v>
                </c:pt>
                <c:pt idx="152">
                  <c:v>22.800333333333334</c:v>
                </c:pt>
                <c:pt idx="153">
                  <c:v>22.800333333333334</c:v>
                </c:pt>
                <c:pt idx="154">
                  <c:v>22.800333333333334</c:v>
                </c:pt>
                <c:pt idx="155">
                  <c:v>22.800333333333334</c:v>
                </c:pt>
                <c:pt idx="156">
                  <c:v>22.800333333333334</c:v>
                </c:pt>
                <c:pt idx="157">
                  <c:v>22.800333333333334</c:v>
                </c:pt>
                <c:pt idx="158">
                  <c:v>22.800333333333334</c:v>
                </c:pt>
                <c:pt idx="159">
                  <c:v>22.800333333333334</c:v>
                </c:pt>
                <c:pt idx="160">
                  <c:v>22.800333333333334</c:v>
                </c:pt>
                <c:pt idx="161">
                  <c:v>22.800333333333334</c:v>
                </c:pt>
                <c:pt idx="162">
                  <c:v>22.800333333333334</c:v>
                </c:pt>
                <c:pt idx="163">
                  <c:v>22.800333333333334</c:v>
                </c:pt>
                <c:pt idx="164">
                  <c:v>22.800333333333334</c:v>
                </c:pt>
                <c:pt idx="165">
                  <c:v>22.800333333333334</c:v>
                </c:pt>
                <c:pt idx="166">
                  <c:v>22.800333333333334</c:v>
                </c:pt>
                <c:pt idx="167">
                  <c:v>22.800333333333334</c:v>
                </c:pt>
                <c:pt idx="168">
                  <c:v>22.800333333333334</c:v>
                </c:pt>
                <c:pt idx="169">
                  <c:v>22.800333333333334</c:v>
                </c:pt>
                <c:pt idx="170">
                  <c:v>22.800333333333334</c:v>
                </c:pt>
                <c:pt idx="171">
                  <c:v>22.800333333333334</c:v>
                </c:pt>
                <c:pt idx="172">
                  <c:v>22.800333333333334</c:v>
                </c:pt>
                <c:pt idx="173">
                  <c:v>22.800333333333334</c:v>
                </c:pt>
                <c:pt idx="174">
                  <c:v>22.800333333333334</c:v>
                </c:pt>
                <c:pt idx="175">
                  <c:v>22.800333333333334</c:v>
                </c:pt>
                <c:pt idx="176">
                  <c:v>22.800333333333334</c:v>
                </c:pt>
                <c:pt idx="177">
                  <c:v>22.800333333333334</c:v>
                </c:pt>
                <c:pt idx="178">
                  <c:v>22.800333333333334</c:v>
                </c:pt>
                <c:pt idx="179">
                  <c:v>22.800333333333334</c:v>
                </c:pt>
                <c:pt idx="180">
                  <c:v>22.800333333333334</c:v>
                </c:pt>
                <c:pt idx="181">
                  <c:v>22.800333333333334</c:v>
                </c:pt>
                <c:pt idx="182">
                  <c:v>22.800333333333334</c:v>
                </c:pt>
                <c:pt idx="183">
                  <c:v>22.800333333333334</c:v>
                </c:pt>
                <c:pt idx="184">
                  <c:v>22.800333333333334</c:v>
                </c:pt>
                <c:pt idx="185">
                  <c:v>22.800333333333334</c:v>
                </c:pt>
                <c:pt idx="186">
                  <c:v>22.800333333333334</c:v>
                </c:pt>
                <c:pt idx="187">
                  <c:v>22.800333333333334</c:v>
                </c:pt>
                <c:pt idx="188">
                  <c:v>22.800333333333334</c:v>
                </c:pt>
                <c:pt idx="189">
                  <c:v>22.800333333333334</c:v>
                </c:pt>
                <c:pt idx="190">
                  <c:v>22.800333333333334</c:v>
                </c:pt>
                <c:pt idx="191">
                  <c:v>22.800333333333334</c:v>
                </c:pt>
                <c:pt idx="192">
                  <c:v>22.800333333333334</c:v>
                </c:pt>
                <c:pt idx="193">
                  <c:v>22.800333333333334</c:v>
                </c:pt>
                <c:pt idx="194">
                  <c:v>22.800333333333334</c:v>
                </c:pt>
                <c:pt idx="195">
                  <c:v>22.800333333333334</c:v>
                </c:pt>
                <c:pt idx="196">
                  <c:v>22.800333333333334</c:v>
                </c:pt>
                <c:pt idx="197">
                  <c:v>22.800333333333334</c:v>
                </c:pt>
                <c:pt idx="198">
                  <c:v>22.800333333333334</c:v>
                </c:pt>
                <c:pt idx="199">
                  <c:v>22.800333333333334</c:v>
                </c:pt>
                <c:pt idx="200">
                  <c:v>22.800333333333334</c:v>
                </c:pt>
                <c:pt idx="201">
                  <c:v>22.800333333333334</c:v>
                </c:pt>
                <c:pt idx="202">
                  <c:v>22.800333333333334</c:v>
                </c:pt>
                <c:pt idx="203">
                  <c:v>22.800333333333334</c:v>
                </c:pt>
                <c:pt idx="204">
                  <c:v>22.800333333333334</c:v>
                </c:pt>
                <c:pt idx="205">
                  <c:v>22.800333333333334</c:v>
                </c:pt>
                <c:pt idx="206">
                  <c:v>22.800333333333334</c:v>
                </c:pt>
                <c:pt idx="207">
                  <c:v>22.800333333333334</c:v>
                </c:pt>
                <c:pt idx="208">
                  <c:v>22.800333333333334</c:v>
                </c:pt>
                <c:pt idx="209">
                  <c:v>22.800333333333334</c:v>
                </c:pt>
                <c:pt idx="210">
                  <c:v>22.800333333333334</c:v>
                </c:pt>
                <c:pt idx="211">
                  <c:v>22.800333333333334</c:v>
                </c:pt>
                <c:pt idx="212">
                  <c:v>22.800333333333334</c:v>
                </c:pt>
                <c:pt idx="213">
                  <c:v>22.800333333333334</c:v>
                </c:pt>
                <c:pt idx="214">
                  <c:v>22.800333333333334</c:v>
                </c:pt>
                <c:pt idx="215">
                  <c:v>22.800333333333334</c:v>
                </c:pt>
                <c:pt idx="216">
                  <c:v>22.800333333333334</c:v>
                </c:pt>
                <c:pt idx="217">
                  <c:v>22.800333333333334</c:v>
                </c:pt>
                <c:pt idx="218">
                  <c:v>22.800333333333334</c:v>
                </c:pt>
                <c:pt idx="219">
                  <c:v>22.800333333333334</c:v>
                </c:pt>
                <c:pt idx="220">
                  <c:v>22.800333333333334</c:v>
                </c:pt>
                <c:pt idx="221">
                  <c:v>22.800333333333334</c:v>
                </c:pt>
                <c:pt idx="222">
                  <c:v>22.800333333333334</c:v>
                </c:pt>
                <c:pt idx="223">
                  <c:v>22.800333333333334</c:v>
                </c:pt>
                <c:pt idx="224">
                  <c:v>22.800333333333334</c:v>
                </c:pt>
                <c:pt idx="225">
                  <c:v>22.800333333333334</c:v>
                </c:pt>
                <c:pt idx="226">
                  <c:v>22.800333333333334</c:v>
                </c:pt>
                <c:pt idx="227">
                  <c:v>22.800333333333334</c:v>
                </c:pt>
                <c:pt idx="228">
                  <c:v>22.800333333333334</c:v>
                </c:pt>
                <c:pt idx="229">
                  <c:v>22.800333333333334</c:v>
                </c:pt>
                <c:pt idx="230">
                  <c:v>22.800333333333334</c:v>
                </c:pt>
                <c:pt idx="231">
                  <c:v>22.800333333333334</c:v>
                </c:pt>
                <c:pt idx="232">
                  <c:v>22.800333333333334</c:v>
                </c:pt>
                <c:pt idx="233">
                  <c:v>22.800333333333334</c:v>
                </c:pt>
                <c:pt idx="234">
                  <c:v>22.800333333333334</c:v>
                </c:pt>
                <c:pt idx="235">
                  <c:v>22.800333333333334</c:v>
                </c:pt>
                <c:pt idx="236">
                  <c:v>22.800333333333334</c:v>
                </c:pt>
                <c:pt idx="237">
                  <c:v>22.800333333333334</c:v>
                </c:pt>
                <c:pt idx="238">
                  <c:v>22.800333333333334</c:v>
                </c:pt>
                <c:pt idx="239">
                  <c:v>22.800333333333334</c:v>
                </c:pt>
                <c:pt idx="240">
                  <c:v>22.800333333333334</c:v>
                </c:pt>
                <c:pt idx="241">
                  <c:v>22.800333333333334</c:v>
                </c:pt>
                <c:pt idx="242">
                  <c:v>22.800333333333334</c:v>
                </c:pt>
                <c:pt idx="243">
                  <c:v>22.800333333333334</c:v>
                </c:pt>
                <c:pt idx="244">
                  <c:v>22.800333333333334</c:v>
                </c:pt>
                <c:pt idx="245">
                  <c:v>22.800333333333334</c:v>
                </c:pt>
                <c:pt idx="246">
                  <c:v>22.800333333333334</c:v>
                </c:pt>
                <c:pt idx="247">
                  <c:v>22.800333333333334</c:v>
                </c:pt>
                <c:pt idx="248">
                  <c:v>22.800333333333334</c:v>
                </c:pt>
                <c:pt idx="249">
                  <c:v>22.800333333333334</c:v>
                </c:pt>
                <c:pt idx="250">
                  <c:v>22.800333333333334</c:v>
                </c:pt>
                <c:pt idx="251">
                  <c:v>22.800333333333334</c:v>
                </c:pt>
                <c:pt idx="252">
                  <c:v>22.800333333333334</c:v>
                </c:pt>
                <c:pt idx="253">
                  <c:v>22.800333333333334</c:v>
                </c:pt>
                <c:pt idx="254">
                  <c:v>22.800333333333334</c:v>
                </c:pt>
                <c:pt idx="255">
                  <c:v>22.800333333333334</c:v>
                </c:pt>
                <c:pt idx="256">
                  <c:v>22.800333333333334</c:v>
                </c:pt>
                <c:pt idx="257">
                  <c:v>22.800333333333334</c:v>
                </c:pt>
                <c:pt idx="258">
                  <c:v>22.800333333333334</c:v>
                </c:pt>
                <c:pt idx="259">
                  <c:v>22.800333333333334</c:v>
                </c:pt>
                <c:pt idx="260">
                  <c:v>22.800333333333334</c:v>
                </c:pt>
                <c:pt idx="261">
                  <c:v>22.800333333333334</c:v>
                </c:pt>
                <c:pt idx="262">
                  <c:v>22.800333333333334</c:v>
                </c:pt>
                <c:pt idx="263">
                  <c:v>22.800333333333334</c:v>
                </c:pt>
                <c:pt idx="264">
                  <c:v>22.800333333333334</c:v>
                </c:pt>
                <c:pt idx="265">
                  <c:v>22.800333333333334</c:v>
                </c:pt>
                <c:pt idx="266">
                  <c:v>22.800333333333334</c:v>
                </c:pt>
                <c:pt idx="267">
                  <c:v>22.800333333333334</c:v>
                </c:pt>
                <c:pt idx="268">
                  <c:v>22.800333333333334</c:v>
                </c:pt>
                <c:pt idx="269">
                  <c:v>22.800333333333334</c:v>
                </c:pt>
                <c:pt idx="270">
                  <c:v>22.800333333333334</c:v>
                </c:pt>
                <c:pt idx="271">
                  <c:v>22.800333333333334</c:v>
                </c:pt>
                <c:pt idx="272">
                  <c:v>22.800333333333334</c:v>
                </c:pt>
                <c:pt idx="273">
                  <c:v>22.800333333333334</c:v>
                </c:pt>
                <c:pt idx="274">
                  <c:v>22.800333333333334</c:v>
                </c:pt>
                <c:pt idx="275">
                  <c:v>22.800333333333334</c:v>
                </c:pt>
                <c:pt idx="276">
                  <c:v>22.800333333333334</c:v>
                </c:pt>
                <c:pt idx="277">
                  <c:v>22.800333333333334</c:v>
                </c:pt>
                <c:pt idx="278">
                  <c:v>22.800333333333334</c:v>
                </c:pt>
                <c:pt idx="279">
                  <c:v>22.800333333333334</c:v>
                </c:pt>
                <c:pt idx="280">
                  <c:v>22.800333333333334</c:v>
                </c:pt>
                <c:pt idx="281">
                  <c:v>22.800333333333334</c:v>
                </c:pt>
                <c:pt idx="282">
                  <c:v>22.800333333333334</c:v>
                </c:pt>
                <c:pt idx="283">
                  <c:v>22.800333333333334</c:v>
                </c:pt>
                <c:pt idx="284">
                  <c:v>22.800333333333334</c:v>
                </c:pt>
                <c:pt idx="285">
                  <c:v>22.800333333333334</c:v>
                </c:pt>
                <c:pt idx="286">
                  <c:v>22.800333333333334</c:v>
                </c:pt>
                <c:pt idx="287">
                  <c:v>22.800333333333334</c:v>
                </c:pt>
                <c:pt idx="288">
                  <c:v>22.800333333333334</c:v>
                </c:pt>
                <c:pt idx="289">
                  <c:v>22.800333333333334</c:v>
                </c:pt>
                <c:pt idx="290">
                  <c:v>22.800333333333334</c:v>
                </c:pt>
                <c:pt idx="291">
                  <c:v>22.800333333333334</c:v>
                </c:pt>
                <c:pt idx="292">
                  <c:v>22.800333333333334</c:v>
                </c:pt>
                <c:pt idx="293">
                  <c:v>22.800333333333334</c:v>
                </c:pt>
                <c:pt idx="294">
                  <c:v>22.800333333333334</c:v>
                </c:pt>
                <c:pt idx="295">
                  <c:v>22.800333333333334</c:v>
                </c:pt>
                <c:pt idx="296">
                  <c:v>22.800333333333334</c:v>
                </c:pt>
                <c:pt idx="297">
                  <c:v>22.800333333333334</c:v>
                </c:pt>
                <c:pt idx="298">
                  <c:v>22.800333333333334</c:v>
                </c:pt>
                <c:pt idx="299">
                  <c:v>22.800333333333334</c:v>
                </c:pt>
                <c:pt idx="300">
                  <c:v>22.800333333333334</c:v>
                </c:pt>
                <c:pt idx="301">
                  <c:v>22.800333333333334</c:v>
                </c:pt>
                <c:pt idx="302">
                  <c:v>22.800333333333334</c:v>
                </c:pt>
                <c:pt idx="303">
                  <c:v>22.800333333333334</c:v>
                </c:pt>
                <c:pt idx="304">
                  <c:v>22.800333333333334</c:v>
                </c:pt>
                <c:pt idx="305">
                  <c:v>22.800333333333334</c:v>
                </c:pt>
                <c:pt idx="306">
                  <c:v>22.800333333333334</c:v>
                </c:pt>
                <c:pt idx="307">
                  <c:v>22.800333333333334</c:v>
                </c:pt>
                <c:pt idx="308">
                  <c:v>22.800333333333334</c:v>
                </c:pt>
                <c:pt idx="309">
                  <c:v>22.800333333333334</c:v>
                </c:pt>
                <c:pt idx="310">
                  <c:v>22.800333333333334</c:v>
                </c:pt>
                <c:pt idx="311">
                  <c:v>22.800333333333334</c:v>
                </c:pt>
                <c:pt idx="312">
                  <c:v>22.800333333333334</c:v>
                </c:pt>
                <c:pt idx="313">
                  <c:v>22.800333333333334</c:v>
                </c:pt>
                <c:pt idx="314">
                  <c:v>22.800333333333334</c:v>
                </c:pt>
                <c:pt idx="315">
                  <c:v>22.800333333333334</c:v>
                </c:pt>
                <c:pt idx="316">
                  <c:v>22.800333333333334</c:v>
                </c:pt>
                <c:pt idx="317">
                  <c:v>22.800333333333334</c:v>
                </c:pt>
                <c:pt idx="318">
                  <c:v>22.800333333333334</c:v>
                </c:pt>
                <c:pt idx="319">
                  <c:v>22.800333333333334</c:v>
                </c:pt>
                <c:pt idx="320">
                  <c:v>22.800333333333334</c:v>
                </c:pt>
                <c:pt idx="321">
                  <c:v>22.800333333333334</c:v>
                </c:pt>
                <c:pt idx="322">
                  <c:v>22.800333333333334</c:v>
                </c:pt>
                <c:pt idx="323">
                  <c:v>22.800333333333334</c:v>
                </c:pt>
                <c:pt idx="324">
                  <c:v>22.800333333333334</c:v>
                </c:pt>
                <c:pt idx="325">
                  <c:v>22.800333333333334</c:v>
                </c:pt>
                <c:pt idx="326">
                  <c:v>22.800333333333334</c:v>
                </c:pt>
                <c:pt idx="327">
                  <c:v>22.800333333333334</c:v>
                </c:pt>
                <c:pt idx="328">
                  <c:v>22.800333333333334</c:v>
                </c:pt>
                <c:pt idx="329">
                  <c:v>22.800333333333334</c:v>
                </c:pt>
                <c:pt idx="330">
                  <c:v>22.800333333333334</c:v>
                </c:pt>
                <c:pt idx="331">
                  <c:v>22.800333333333334</c:v>
                </c:pt>
                <c:pt idx="332">
                  <c:v>22.800333333333334</c:v>
                </c:pt>
                <c:pt idx="333">
                  <c:v>22.800333333333334</c:v>
                </c:pt>
                <c:pt idx="334">
                  <c:v>22.800333333333334</c:v>
                </c:pt>
                <c:pt idx="335">
                  <c:v>22.800333333333334</c:v>
                </c:pt>
                <c:pt idx="336">
                  <c:v>22.800333333333334</c:v>
                </c:pt>
                <c:pt idx="337">
                  <c:v>22.800333333333334</c:v>
                </c:pt>
                <c:pt idx="338">
                  <c:v>22.800333333333334</c:v>
                </c:pt>
                <c:pt idx="339">
                  <c:v>22.800333333333334</c:v>
                </c:pt>
                <c:pt idx="340">
                  <c:v>22.800333333333334</c:v>
                </c:pt>
                <c:pt idx="341">
                  <c:v>22.800333333333334</c:v>
                </c:pt>
                <c:pt idx="342">
                  <c:v>22.800333333333334</c:v>
                </c:pt>
                <c:pt idx="343">
                  <c:v>22.800333333333334</c:v>
                </c:pt>
                <c:pt idx="344">
                  <c:v>22.800333333333334</c:v>
                </c:pt>
                <c:pt idx="345">
                  <c:v>22.800333333333334</c:v>
                </c:pt>
                <c:pt idx="346">
                  <c:v>22.800333333333334</c:v>
                </c:pt>
                <c:pt idx="347">
                  <c:v>22.800333333333334</c:v>
                </c:pt>
                <c:pt idx="348">
                  <c:v>22.800333333333334</c:v>
                </c:pt>
                <c:pt idx="349">
                  <c:v>22.800333333333334</c:v>
                </c:pt>
                <c:pt idx="350">
                  <c:v>22.800333333333334</c:v>
                </c:pt>
                <c:pt idx="351">
                  <c:v>22.800333333333334</c:v>
                </c:pt>
                <c:pt idx="352">
                  <c:v>22.800333333333334</c:v>
                </c:pt>
                <c:pt idx="353">
                  <c:v>22.800333333333334</c:v>
                </c:pt>
                <c:pt idx="354">
                  <c:v>22.800333333333334</c:v>
                </c:pt>
                <c:pt idx="355">
                  <c:v>22.800333333333334</c:v>
                </c:pt>
                <c:pt idx="356">
                  <c:v>22.800333333333334</c:v>
                </c:pt>
                <c:pt idx="357">
                  <c:v>22.800333333333334</c:v>
                </c:pt>
                <c:pt idx="358">
                  <c:v>22.800333333333334</c:v>
                </c:pt>
                <c:pt idx="359">
                  <c:v>22.800333333333334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03-4C99-9FA4-6A62B116CCDB}"/>
            </c:ext>
          </c:extLst>
        </c:ser>
        <c:ser>
          <c:idx val="4"/>
          <c:order val="4"/>
          <c:tx>
            <c:v>irrigation without PV</c:v>
          </c:tx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dPt>
            <c:idx val="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0703-4C99-9FA4-6A62B116CCDB}"/>
              </c:ext>
            </c:extLst>
          </c:dPt>
          <c:cat>
            <c:numRef>
              <c:f>Bilan_hydrique!$A$2:$A$366</c:f>
              <c:numCache>
                <c:formatCode>m/d/yyyy</c:formatCode>
                <c:ptCount val="365"/>
                <c:pt idx="0">
                  <c:v>42050</c:v>
                </c:pt>
                <c:pt idx="1">
                  <c:v>42051</c:v>
                </c:pt>
                <c:pt idx="2">
                  <c:v>42052</c:v>
                </c:pt>
                <c:pt idx="3">
                  <c:v>42053</c:v>
                </c:pt>
                <c:pt idx="4">
                  <c:v>42054</c:v>
                </c:pt>
                <c:pt idx="5">
                  <c:v>42055</c:v>
                </c:pt>
                <c:pt idx="6">
                  <c:v>42056</c:v>
                </c:pt>
                <c:pt idx="7">
                  <c:v>42057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42063</c:v>
                </c:pt>
                <c:pt idx="14">
                  <c:v>42064</c:v>
                </c:pt>
                <c:pt idx="15">
                  <c:v>42065</c:v>
                </c:pt>
                <c:pt idx="16">
                  <c:v>42066</c:v>
                </c:pt>
                <c:pt idx="17">
                  <c:v>42067</c:v>
                </c:pt>
                <c:pt idx="18">
                  <c:v>42068</c:v>
                </c:pt>
                <c:pt idx="19">
                  <c:v>42069</c:v>
                </c:pt>
                <c:pt idx="20">
                  <c:v>42070</c:v>
                </c:pt>
                <c:pt idx="21">
                  <c:v>42071</c:v>
                </c:pt>
                <c:pt idx="22">
                  <c:v>42072</c:v>
                </c:pt>
                <c:pt idx="23">
                  <c:v>42073</c:v>
                </c:pt>
                <c:pt idx="24">
                  <c:v>42074</c:v>
                </c:pt>
                <c:pt idx="25">
                  <c:v>42075</c:v>
                </c:pt>
                <c:pt idx="26">
                  <c:v>42076</c:v>
                </c:pt>
                <c:pt idx="27">
                  <c:v>42077</c:v>
                </c:pt>
                <c:pt idx="28">
                  <c:v>42078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42084</c:v>
                </c:pt>
                <c:pt idx="35">
                  <c:v>42085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42091</c:v>
                </c:pt>
                <c:pt idx="42">
                  <c:v>42092</c:v>
                </c:pt>
                <c:pt idx="43">
                  <c:v>42093</c:v>
                </c:pt>
                <c:pt idx="44">
                  <c:v>42094</c:v>
                </c:pt>
                <c:pt idx="45">
                  <c:v>42095</c:v>
                </c:pt>
                <c:pt idx="46">
                  <c:v>42096</c:v>
                </c:pt>
                <c:pt idx="47">
                  <c:v>42097</c:v>
                </c:pt>
                <c:pt idx="48">
                  <c:v>42098</c:v>
                </c:pt>
                <c:pt idx="49">
                  <c:v>42099</c:v>
                </c:pt>
                <c:pt idx="50">
                  <c:v>42100</c:v>
                </c:pt>
                <c:pt idx="51">
                  <c:v>42101</c:v>
                </c:pt>
                <c:pt idx="52">
                  <c:v>42102</c:v>
                </c:pt>
                <c:pt idx="53">
                  <c:v>42103</c:v>
                </c:pt>
                <c:pt idx="54">
                  <c:v>42104</c:v>
                </c:pt>
                <c:pt idx="55">
                  <c:v>42105</c:v>
                </c:pt>
                <c:pt idx="56">
                  <c:v>42106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42112</c:v>
                </c:pt>
                <c:pt idx="63">
                  <c:v>42113</c:v>
                </c:pt>
                <c:pt idx="64">
                  <c:v>42114</c:v>
                </c:pt>
                <c:pt idx="65">
                  <c:v>42115</c:v>
                </c:pt>
                <c:pt idx="66">
                  <c:v>42116</c:v>
                </c:pt>
                <c:pt idx="67">
                  <c:v>42117</c:v>
                </c:pt>
                <c:pt idx="68">
                  <c:v>42118</c:v>
                </c:pt>
                <c:pt idx="69">
                  <c:v>42119</c:v>
                </c:pt>
                <c:pt idx="70">
                  <c:v>42120</c:v>
                </c:pt>
                <c:pt idx="71">
                  <c:v>42121</c:v>
                </c:pt>
                <c:pt idx="72">
                  <c:v>42122</c:v>
                </c:pt>
                <c:pt idx="73">
                  <c:v>42123</c:v>
                </c:pt>
                <c:pt idx="74">
                  <c:v>42124</c:v>
                </c:pt>
                <c:pt idx="75">
                  <c:v>42125</c:v>
                </c:pt>
                <c:pt idx="76">
                  <c:v>42126</c:v>
                </c:pt>
                <c:pt idx="77">
                  <c:v>42127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42133</c:v>
                </c:pt>
                <c:pt idx="84">
                  <c:v>42134</c:v>
                </c:pt>
                <c:pt idx="85">
                  <c:v>42135</c:v>
                </c:pt>
                <c:pt idx="86">
                  <c:v>42136</c:v>
                </c:pt>
                <c:pt idx="87">
                  <c:v>42137</c:v>
                </c:pt>
                <c:pt idx="88">
                  <c:v>42138</c:v>
                </c:pt>
                <c:pt idx="89">
                  <c:v>42139</c:v>
                </c:pt>
                <c:pt idx="90">
                  <c:v>42140</c:v>
                </c:pt>
                <c:pt idx="91">
                  <c:v>42141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42144</c:v>
                </c:pt>
                <c:pt idx="96">
                  <c:v>42144</c:v>
                </c:pt>
                <c:pt idx="97">
                  <c:v>42144</c:v>
                </c:pt>
                <c:pt idx="98">
                  <c:v>42144</c:v>
                </c:pt>
                <c:pt idx="99">
                  <c:v>42144</c:v>
                </c:pt>
                <c:pt idx="100">
                  <c:v>42144</c:v>
                </c:pt>
                <c:pt idx="101">
                  <c:v>42144</c:v>
                </c:pt>
                <c:pt idx="102">
                  <c:v>42144</c:v>
                </c:pt>
                <c:pt idx="103">
                  <c:v>42144</c:v>
                </c:pt>
                <c:pt idx="104">
                  <c:v>42144</c:v>
                </c:pt>
                <c:pt idx="105">
                  <c:v>42144</c:v>
                </c:pt>
                <c:pt idx="106">
                  <c:v>42144</c:v>
                </c:pt>
                <c:pt idx="107">
                  <c:v>42144</c:v>
                </c:pt>
                <c:pt idx="108">
                  <c:v>42144</c:v>
                </c:pt>
                <c:pt idx="109">
                  <c:v>42144</c:v>
                </c:pt>
                <c:pt idx="110">
                  <c:v>42144</c:v>
                </c:pt>
                <c:pt idx="111">
                  <c:v>42144</c:v>
                </c:pt>
                <c:pt idx="112">
                  <c:v>42144</c:v>
                </c:pt>
                <c:pt idx="113">
                  <c:v>42144</c:v>
                </c:pt>
                <c:pt idx="114">
                  <c:v>42144</c:v>
                </c:pt>
                <c:pt idx="115">
                  <c:v>42144</c:v>
                </c:pt>
                <c:pt idx="116">
                  <c:v>42144</c:v>
                </c:pt>
                <c:pt idx="117">
                  <c:v>42144</c:v>
                </c:pt>
                <c:pt idx="118">
                  <c:v>42144</c:v>
                </c:pt>
                <c:pt idx="119">
                  <c:v>42144</c:v>
                </c:pt>
                <c:pt idx="120">
                  <c:v>42144</c:v>
                </c:pt>
                <c:pt idx="121">
                  <c:v>42144</c:v>
                </c:pt>
                <c:pt idx="122">
                  <c:v>42144</c:v>
                </c:pt>
                <c:pt idx="123">
                  <c:v>42144</c:v>
                </c:pt>
                <c:pt idx="124">
                  <c:v>42144</c:v>
                </c:pt>
                <c:pt idx="125">
                  <c:v>42144</c:v>
                </c:pt>
                <c:pt idx="126">
                  <c:v>42144</c:v>
                </c:pt>
                <c:pt idx="127">
                  <c:v>42144</c:v>
                </c:pt>
                <c:pt idx="128">
                  <c:v>42144</c:v>
                </c:pt>
                <c:pt idx="129">
                  <c:v>42144</c:v>
                </c:pt>
                <c:pt idx="130">
                  <c:v>42144</c:v>
                </c:pt>
                <c:pt idx="131">
                  <c:v>42144</c:v>
                </c:pt>
                <c:pt idx="132">
                  <c:v>42144</c:v>
                </c:pt>
                <c:pt idx="133">
                  <c:v>42144</c:v>
                </c:pt>
                <c:pt idx="134">
                  <c:v>42144</c:v>
                </c:pt>
                <c:pt idx="135">
                  <c:v>42144</c:v>
                </c:pt>
                <c:pt idx="136">
                  <c:v>42144</c:v>
                </c:pt>
                <c:pt idx="137">
                  <c:v>42144</c:v>
                </c:pt>
                <c:pt idx="138">
                  <c:v>42144</c:v>
                </c:pt>
                <c:pt idx="139">
                  <c:v>42144</c:v>
                </c:pt>
                <c:pt idx="140">
                  <c:v>42144</c:v>
                </c:pt>
                <c:pt idx="141">
                  <c:v>42144</c:v>
                </c:pt>
                <c:pt idx="142">
                  <c:v>42144</c:v>
                </c:pt>
                <c:pt idx="143">
                  <c:v>42144</c:v>
                </c:pt>
                <c:pt idx="144">
                  <c:v>42144</c:v>
                </c:pt>
                <c:pt idx="145">
                  <c:v>42144</c:v>
                </c:pt>
                <c:pt idx="146">
                  <c:v>42144</c:v>
                </c:pt>
                <c:pt idx="147">
                  <c:v>42144</c:v>
                </c:pt>
                <c:pt idx="148">
                  <c:v>42144</c:v>
                </c:pt>
                <c:pt idx="149">
                  <c:v>42144</c:v>
                </c:pt>
                <c:pt idx="150">
                  <c:v>42144</c:v>
                </c:pt>
                <c:pt idx="151">
                  <c:v>42144</c:v>
                </c:pt>
                <c:pt idx="152">
                  <c:v>42144</c:v>
                </c:pt>
                <c:pt idx="153">
                  <c:v>42144</c:v>
                </c:pt>
                <c:pt idx="154">
                  <c:v>42144</c:v>
                </c:pt>
                <c:pt idx="155">
                  <c:v>42144</c:v>
                </c:pt>
                <c:pt idx="156">
                  <c:v>42144</c:v>
                </c:pt>
                <c:pt idx="157">
                  <c:v>42144</c:v>
                </c:pt>
                <c:pt idx="158">
                  <c:v>42144</c:v>
                </c:pt>
                <c:pt idx="159">
                  <c:v>42144</c:v>
                </c:pt>
                <c:pt idx="160">
                  <c:v>42144</c:v>
                </c:pt>
                <c:pt idx="161">
                  <c:v>42144</c:v>
                </c:pt>
                <c:pt idx="162">
                  <c:v>42144</c:v>
                </c:pt>
                <c:pt idx="163">
                  <c:v>42144</c:v>
                </c:pt>
                <c:pt idx="164">
                  <c:v>42144</c:v>
                </c:pt>
                <c:pt idx="165">
                  <c:v>42144</c:v>
                </c:pt>
                <c:pt idx="166">
                  <c:v>42144</c:v>
                </c:pt>
                <c:pt idx="167">
                  <c:v>42144</c:v>
                </c:pt>
                <c:pt idx="168">
                  <c:v>42144</c:v>
                </c:pt>
                <c:pt idx="169">
                  <c:v>42144</c:v>
                </c:pt>
                <c:pt idx="170">
                  <c:v>42144</c:v>
                </c:pt>
                <c:pt idx="171">
                  <c:v>42144</c:v>
                </c:pt>
                <c:pt idx="172">
                  <c:v>42144</c:v>
                </c:pt>
                <c:pt idx="173">
                  <c:v>42144</c:v>
                </c:pt>
                <c:pt idx="174">
                  <c:v>42144</c:v>
                </c:pt>
                <c:pt idx="175">
                  <c:v>42144</c:v>
                </c:pt>
                <c:pt idx="176">
                  <c:v>42144</c:v>
                </c:pt>
                <c:pt idx="177">
                  <c:v>42144</c:v>
                </c:pt>
                <c:pt idx="178">
                  <c:v>42144</c:v>
                </c:pt>
                <c:pt idx="179">
                  <c:v>42144</c:v>
                </c:pt>
                <c:pt idx="180">
                  <c:v>42144</c:v>
                </c:pt>
                <c:pt idx="181">
                  <c:v>42144</c:v>
                </c:pt>
                <c:pt idx="182">
                  <c:v>42144</c:v>
                </c:pt>
                <c:pt idx="183">
                  <c:v>42144</c:v>
                </c:pt>
                <c:pt idx="184">
                  <c:v>42144</c:v>
                </c:pt>
                <c:pt idx="185">
                  <c:v>42144</c:v>
                </c:pt>
                <c:pt idx="186">
                  <c:v>42144</c:v>
                </c:pt>
                <c:pt idx="187">
                  <c:v>42144</c:v>
                </c:pt>
                <c:pt idx="188">
                  <c:v>42144</c:v>
                </c:pt>
                <c:pt idx="189">
                  <c:v>42144</c:v>
                </c:pt>
                <c:pt idx="190">
                  <c:v>42144</c:v>
                </c:pt>
                <c:pt idx="191">
                  <c:v>42144</c:v>
                </c:pt>
                <c:pt idx="192">
                  <c:v>42144</c:v>
                </c:pt>
                <c:pt idx="193">
                  <c:v>42144</c:v>
                </c:pt>
                <c:pt idx="194">
                  <c:v>42144</c:v>
                </c:pt>
                <c:pt idx="195">
                  <c:v>42144</c:v>
                </c:pt>
                <c:pt idx="196">
                  <c:v>42144</c:v>
                </c:pt>
                <c:pt idx="197">
                  <c:v>42144</c:v>
                </c:pt>
                <c:pt idx="198">
                  <c:v>42144</c:v>
                </c:pt>
                <c:pt idx="199">
                  <c:v>42144</c:v>
                </c:pt>
                <c:pt idx="200">
                  <c:v>42144</c:v>
                </c:pt>
                <c:pt idx="201">
                  <c:v>42144</c:v>
                </c:pt>
                <c:pt idx="202">
                  <c:v>42144</c:v>
                </c:pt>
                <c:pt idx="203">
                  <c:v>42144</c:v>
                </c:pt>
                <c:pt idx="204">
                  <c:v>42144</c:v>
                </c:pt>
                <c:pt idx="205">
                  <c:v>42144</c:v>
                </c:pt>
                <c:pt idx="206">
                  <c:v>42144</c:v>
                </c:pt>
                <c:pt idx="207">
                  <c:v>42144</c:v>
                </c:pt>
                <c:pt idx="208">
                  <c:v>42144</c:v>
                </c:pt>
                <c:pt idx="209">
                  <c:v>42144</c:v>
                </c:pt>
                <c:pt idx="210">
                  <c:v>42144</c:v>
                </c:pt>
                <c:pt idx="211">
                  <c:v>42144</c:v>
                </c:pt>
                <c:pt idx="212">
                  <c:v>42144</c:v>
                </c:pt>
                <c:pt idx="213">
                  <c:v>42144</c:v>
                </c:pt>
                <c:pt idx="214">
                  <c:v>42144</c:v>
                </c:pt>
                <c:pt idx="215">
                  <c:v>42144</c:v>
                </c:pt>
                <c:pt idx="216">
                  <c:v>42144</c:v>
                </c:pt>
                <c:pt idx="217">
                  <c:v>42144</c:v>
                </c:pt>
                <c:pt idx="218">
                  <c:v>42144</c:v>
                </c:pt>
                <c:pt idx="219">
                  <c:v>42144</c:v>
                </c:pt>
                <c:pt idx="220">
                  <c:v>42144</c:v>
                </c:pt>
                <c:pt idx="221">
                  <c:v>42144</c:v>
                </c:pt>
                <c:pt idx="222">
                  <c:v>42144</c:v>
                </c:pt>
                <c:pt idx="223">
                  <c:v>42144</c:v>
                </c:pt>
                <c:pt idx="224">
                  <c:v>42144</c:v>
                </c:pt>
                <c:pt idx="225">
                  <c:v>42144</c:v>
                </c:pt>
                <c:pt idx="226">
                  <c:v>42144</c:v>
                </c:pt>
                <c:pt idx="227">
                  <c:v>42144</c:v>
                </c:pt>
                <c:pt idx="228">
                  <c:v>42144</c:v>
                </c:pt>
                <c:pt idx="229">
                  <c:v>42144</c:v>
                </c:pt>
                <c:pt idx="230">
                  <c:v>42144</c:v>
                </c:pt>
                <c:pt idx="231">
                  <c:v>42144</c:v>
                </c:pt>
                <c:pt idx="232">
                  <c:v>42144</c:v>
                </c:pt>
                <c:pt idx="233">
                  <c:v>42144</c:v>
                </c:pt>
                <c:pt idx="234">
                  <c:v>42144</c:v>
                </c:pt>
                <c:pt idx="235">
                  <c:v>42144</c:v>
                </c:pt>
                <c:pt idx="236">
                  <c:v>42144</c:v>
                </c:pt>
                <c:pt idx="237">
                  <c:v>42144</c:v>
                </c:pt>
                <c:pt idx="238">
                  <c:v>42144</c:v>
                </c:pt>
                <c:pt idx="239">
                  <c:v>42144</c:v>
                </c:pt>
                <c:pt idx="240">
                  <c:v>42144</c:v>
                </c:pt>
                <c:pt idx="241">
                  <c:v>42144</c:v>
                </c:pt>
                <c:pt idx="242">
                  <c:v>42144</c:v>
                </c:pt>
                <c:pt idx="243">
                  <c:v>42144</c:v>
                </c:pt>
                <c:pt idx="244">
                  <c:v>42144</c:v>
                </c:pt>
                <c:pt idx="245">
                  <c:v>42144</c:v>
                </c:pt>
                <c:pt idx="246">
                  <c:v>42144</c:v>
                </c:pt>
                <c:pt idx="247">
                  <c:v>42144</c:v>
                </c:pt>
                <c:pt idx="248">
                  <c:v>42144</c:v>
                </c:pt>
                <c:pt idx="249">
                  <c:v>42144</c:v>
                </c:pt>
                <c:pt idx="250">
                  <c:v>42144</c:v>
                </c:pt>
                <c:pt idx="251">
                  <c:v>42144</c:v>
                </c:pt>
                <c:pt idx="252">
                  <c:v>42144</c:v>
                </c:pt>
                <c:pt idx="253">
                  <c:v>42144</c:v>
                </c:pt>
                <c:pt idx="254">
                  <c:v>42144</c:v>
                </c:pt>
                <c:pt idx="255">
                  <c:v>42144</c:v>
                </c:pt>
                <c:pt idx="256">
                  <c:v>42144</c:v>
                </c:pt>
                <c:pt idx="257">
                  <c:v>42144</c:v>
                </c:pt>
                <c:pt idx="258">
                  <c:v>42144</c:v>
                </c:pt>
                <c:pt idx="259">
                  <c:v>42144</c:v>
                </c:pt>
                <c:pt idx="260">
                  <c:v>42144</c:v>
                </c:pt>
                <c:pt idx="261">
                  <c:v>42144</c:v>
                </c:pt>
                <c:pt idx="262">
                  <c:v>42144</c:v>
                </c:pt>
                <c:pt idx="263">
                  <c:v>42144</c:v>
                </c:pt>
                <c:pt idx="264">
                  <c:v>42144</c:v>
                </c:pt>
                <c:pt idx="265">
                  <c:v>42144</c:v>
                </c:pt>
                <c:pt idx="266">
                  <c:v>42144</c:v>
                </c:pt>
                <c:pt idx="267">
                  <c:v>42144</c:v>
                </c:pt>
                <c:pt idx="268">
                  <c:v>42144</c:v>
                </c:pt>
                <c:pt idx="269">
                  <c:v>42144</c:v>
                </c:pt>
                <c:pt idx="270">
                  <c:v>42144</c:v>
                </c:pt>
                <c:pt idx="271">
                  <c:v>42144</c:v>
                </c:pt>
                <c:pt idx="272">
                  <c:v>42144</c:v>
                </c:pt>
                <c:pt idx="273">
                  <c:v>42144</c:v>
                </c:pt>
                <c:pt idx="274">
                  <c:v>42144</c:v>
                </c:pt>
                <c:pt idx="275">
                  <c:v>42144</c:v>
                </c:pt>
                <c:pt idx="276">
                  <c:v>42144</c:v>
                </c:pt>
                <c:pt idx="277">
                  <c:v>42144</c:v>
                </c:pt>
                <c:pt idx="278">
                  <c:v>42144</c:v>
                </c:pt>
                <c:pt idx="279">
                  <c:v>42144</c:v>
                </c:pt>
                <c:pt idx="280">
                  <c:v>42144</c:v>
                </c:pt>
                <c:pt idx="281">
                  <c:v>42144</c:v>
                </c:pt>
                <c:pt idx="282">
                  <c:v>42144</c:v>
                </c:pt>
                <c:pt idx="283">
                  <c:v>42144</c:v>
                </c:pt>
                <c:pt idx="284">
                  <c:v>42144</c:v>
                </c:pt>
                <c:pt idx="285">
                  <c:v>42144</c:v>
                </c:pt>
                <c:pt idx="286">
                  <c:v>42144</c:v>
                </c:pt>
                <c:pt idx="287">
                  <c:v>42144</c:v>
                </c:pt>
                <c:pt idx="288">
                  <c:v>42144</c:v>
                </c:pt>
                <c:pt idx="289">
                  <c:v>42144</c:v>
                </c:pt>
                <c:pt idx="290">
                  <c:v>42144</c:v>
                </c:pt>
                <c:pt idx="291">
                  <c:v>42144</c:v>
                </c:pt>
                <c:pt idx="292">
                  <c:v>42144</c:v>
                </c:pt>
                <c:pt idx="293">
                  <c:v>42144</c:v>
                </c:pt>
                <c:pt idx="294">
                  <c:v>42144</c:v>
                </c:pt>
                <c:pt idx="295">
                  <c:v>42144</c:v>
                </c:pt>
                <c:pt idx="296">
                  <c:v>42144</c:v>
                </c:pt>
                <c:pt idx="297">
                  <c:v>42144</c:v>
                </c:pt>
                <c:pt idx="298">
                  <c:v>42144</c:v>
                </c:pt>
                <c:pt idx="299">
                  <c:v>42144</c:v>
                </c:pt>
                <c:pt idx="300">
                  <c:v>42144</c:v>
                </c:pt>
                <c:pt idx="301">
                  <c:v>42144</c:v>
                </c:pt>
                <c:pt idx="302">
                  <c:v>42144</c:v>
                </c:pt>
                <c:pt idx="303">
                  <c:v>42144</c:v>
                </c:pt>
                <c:pt idx="304">
                  <c:v>42144</c:v>
                </c:pt>
                <c:pt idx="305">
                  <c:v>42144</c:v>
                </c:pt>
                <c:pt idx="306">
                  <c:v>42144</c:v>
                </c:pt>
                <c:pt idx="307">
                  <c:v>42144</c:v>
                </c:pt>
                <c:pt idx="308">
                  <c:v>42144</c:v>
                </c:pt>
                <c:pt idx="309">
                  <c:v>42144</c:v>
                </c:pt>
                <c:pt idx="310">
                  <c:v>42144</c:v>
                </c:pt>
                <c:pt idx="311">
                  <c:v>42144</c:v>
                </c:pt>
                <c:pt idx="312">
                  <c:v>42144</c:v>
                </c:pt>
                <c:pt idx="313">
                  <c:v>42144</c:v>
                </c:pt>
                <c:pt idx="314">
                  <c:v>42144</c:v>
                </c:pt>
                <c:pt idx="315">
                  <c:v>42144</c:v>
                </c:pt>
                <c:pt idx="316">
                  <c:v>42144</c:v>
                </c:pt>
                <c:pt idx="317">
                  <c:v>42144</c:v>
                </c:pt>
                <c:pt idx="318">
                  <c:v>42144</c:v>
                </c:pt>
                <c:pt idx="319">
                  <c:v>42144</c:v>
                </c:pt>
                <c:pt idx="320">
                  <c:v>42144</c:v>
                </c:pt>
                <c:pt idx="321">
                  <c:v>42144</c:v>
                </c:pt>
                <c:pt idx="322">
                  <c:v>42144</c:v>
                </c:pt>
                <c:pt idx="323">
                  <c:v>42144</c:v>
                </c:pt>
                <c:pt idx="324">
                  <c:v>42144</c:v>
                </c:pt>
                <c:pt idx="325">
                  <c:v>42144</c:v>
                </c:pt>
                <c:pt idx="326">
                  <c:v>42144</c:v>
                </c:pt>
                <c:pt idx="327">
                  <c:v>42144</c:v>
                </c:pt>
                <c:pt idx="328">
                  <c:v>42144</c:v>
                </c:pt>
                <c:pt idx="329">
                  <c:v>42144</c:v>
                </c:pt>
                <c:pt idx="330">
                  <c:v>42144</c:v>
                </c:pt>
                <c:pt idx="331">
                  <c:v>42144</c:v>
                </c:pt>
                <c:pt idx="332">
                  <c:v>42144</c:v>
                </c:pt>
                <c:pt idx="333">
                  <c:v>42144</c:v>
                </c:pt>
                <c:pt idx="334">
                  <c:v>42144</c:v>
                </c:pt>
                <c:pt idx="335">
                  <c:v>42144</c:v>
                </c:pt>
                <c:pt idx="336">
                  <c:v>42144</c:v>
                </c:pt>
                <c:pt idx="337">
                  <c:v>42144</c:v>
                </c:pt>
                <c:pt idx="338">
                  <c:v>42144</c:v>
                </c:pt>
                <c:pt idx="339">
                  <c:v>42144</c:v>
                </c:pt>
                <c:pt idx="340">
                  <c:v>42144</c:v>
                </c:pt>
                <c:pt idx="341">
                  <c:v>42144</c:v>
                </c:pt>
                <c:pt idx="342">
                  <c:v>42144</c:v>
                </c:pt>
                <c:pt idx="343">
                  <c:v>42144</c:v>
                </c:pt>
                <c:pt idx="344">
                  <c:v>42144</c:v>
                </c:pt>
                <c:pt idx="345">
                  <c:v>42144</c:v>
                </c:pt>
                <c:pt idx="346">
                  <c:v>42144</c:v>
                </c:pt>
                <c:pt idx="347">
                  <c:v>42144</c:v>
                </c:pt>
                <c:pt idx="348">
                  <c:v>42144</c:v>
                </c:pt>
                <c:pt idx="349">
                  <c:v>42144</c:v>
                </c:pt>
                <c:pt idx="350">
                  <c:v>42144</c:v>
                </c:pt>
                <c:pt idx="351">
                  <c:v>42144</c:v>
                </c:pt>
                <c:pt idx="352">
                  <c:v>42144</c:v>
                </c:pt>
                <c:pt idx="353">
                  <c:v>42144</c:v>
                </c:pt>
                <c:pt idx="354">
                  <c:v>42144</c:v>
                </c:pt>
                <c:pt idx="355">
                  <c:v>42144</c:v>
                </c:pt>
                <c:pt idx="356">
                  <c:v>42144</c:v>
                </c:pt>
                <c:pt idx="357">
                  <c:v>42144</c:v>
                </c:pt>
                <c:pt idx="358">
                  <c:v>42144</c:v>
                </c:pt>
                <c:pt idx="359">
                  <c:v>42144</c:v>
                </c:pt>
                <c:pt idx="360">
                  <c:v>42144</c:v>
                </c:pt>
                <c:pt idx="361">
                  <c:v>42144</c:v>
                </c:pt>
                <c:pt idx="362">
                  <c:v>42144</c:v>
                </c:pt>
                <c:pt idx="363">
                  <c:v>42144</c:v>
                </c:pt>
                <c:pt idx="364">
                  <c:v>42144</c:v>
                </c:pt>
              </c:numCache>
            </c:numRef>
          </c:cat>
          <c:val>
            <c:numRef>
              <c:f>Bilan_hydrique!$L$2:$L$366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03-4C99-9FA4-6A62B116CCDB}"/>
            </c:ext>
          </c:extLst>
        </c:ser>
        <c:ser>
          <c:idx val="5"/>
          <c:order val="5"/>
          <c:tx>
            <c:v>irrigation with PV</c:v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Bilan_hydrique!$Q$2:$Q$366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703-4C99-9FA4-6A62B116C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8522271"/>
        <c:axId val="2128518431"/>
      </c:lineChart>
      <c:dateAx>
        <c:axId val="2128522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28518431"/>
        <c:crosses val="autoZero"/>
        <c:auto val="1"/>
        <c:lblOffset val="100"/>
        <c:baseTimeUnit val="days"/>
      </c:dateAx>
      <c:valAx>
        <c:axId val="212851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Eau Utioe</a:t>
                </a:r>
                <a:r>
                  <a:rPr lang="fr-FR" baseline="0"/>
                  <a:t>(mm)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28522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3486283496586"/>
          <c:y val="0.36697215998109123"/>
          <c:w val="0.17654909812870193"/>
          <c:h val="0.35840968808018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12700</xdr:rowOff>
        </xdr:from>
        <xdr:to>
          <xdr:col>8</xdr:col>
          <xdr:colOff>63500</xdr:colOff>
          <xdr:row>14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les données météo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69850</xdr:rowOff>
        </xdr:from>
        <xdr:to>
          <xdr:col>8</xdr:col>
          <xdr:colOff>31750</xdr:colOff>
          <xdr:row>8</xdr:row>
          <xdr:rowOff>44450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Récuperer la teneur en eau du sol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114300</xdr:rowOff>
        </xdr:from>
        <xdr:to>
          <xdr:col>8</xdr:col>
          <xdr:colOff>50800</xdr:colOff>
          <xdr:row>11</xdr:row>
          <xdr:rowOff>158750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Selection de la culture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29</xdr:row>
      <xdr:rowOff>12701</xdr:rowOff>
    </xdr:from>
    <xdr:to>
      <xdr:col>8</xdr:col>
      <xdr:colOff>253999</xdr:colOff>
      <xdr:row>48</xdr:row>
      <xdr:rowOff>107950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203994</xdr:colOff>
      <xdr:row>57</xdr:row>
      <xdr:rowOff>37836</xdr:rowOff>
    </xdr:from>
    <xdr:to>
      <xdr:col>10</xdr:col>
      <xdr:colOff>487129</xdr:colOff>
      <xdr:row>76</xdr:row>
      <xdr:rowOff>126735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615950</xdr:colOff>
          <xdr:row>52</xdr:row>
          <xdr:rowOff>25400</xdr:rowOff>
        </xdr:from>
        <xdr:to>
          <xdr:col>7</xdr:col>
          <xdr:colOff>717550</xdr:colOff>
          <xdr:row>55</xdr:row>
          <xdr:rowOff>12700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Bilan hydrique du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438150</xdr:colOff>
      <xdr:row>10</xdr:row>
      <xdr:rowOff>69849</xdr:rowOff>
    </xdr:from>
    <xdr:to>
      <xdr:col>7</xdr:col>
      <xdr:colOff>444500</xdr:colOff>
      <xdr:row>25</xdr:row>
      <xdr:rowOff>73024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666750</xdr:colOff>
      <xdr:row>10</xdr:row>
      <xdr:rowOff>107950</xdr:rowOff>
    </xdr:from>
    <xdr:to>
      <xdr:col>22</xdr:col>
      <xdr:colOff>101600</xdr:colOff>
      <xdr:row>25</xdr:row>
      <xdr:rowOff>111125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628650</xdr:colOff>
      <xdr:row>28</xdr:row>
      <xdr:rowOff>88900</xdr:rowOff>
    </xdr:from>
    <xdr:to>
      <xdr:col>22</xdr:col>
      <xdr:colOff>425449</xdr:colOff>
      <xdr:row>47</xdr:row>
      <xdr:rowOff>184149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1428750</xdr:colOff>
          <xdr:row>0</xdr:row>
          <xdr:rowOff>158750</xdr:rowOff>
        </xdr:from>
        <xdr:to>
          <xdr:col>7</xdr:col>
          <xdr:colOff>6350</xdr:colOff>
          <xdr:row>2</xdr:row>
          <xdr:rowOff>165100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MeteoJour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,researchgate,net/profile/Bruand-A/publication/279263071_Estimation_des_proprietes_de_retention_en_eau_des_sols_Utilisation_de_classes_de_pedotransfert_apres_stratifications_texturale_et_texturo-structurale/links/55fa938108aeba1d9f356013/Estimation-des-proprietes-de-retention-en-eau-des-sols-Utilisation-de-classes-de-pedotransfert-apres-stratifications-texturale-et-texturo-structurale,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0D9DE-4C8B-469C-BC4A-5F58912A9B7E}">
  <sheetPr codeName="Feuil1">
    <tabColor theme="0"/>
  </sheetPr>
  <dimension ref="B4:O9"/>
  <sheetViews>
    <sheetView showGridLines="0" zoomScaleNormal="100" workbookViewId="0">
      <selection activeCell="C17" sqref="C17"/>
    </sheetView>
  </sheetViews>
  <sheetFormatPr baseColWidth="10" defaultColWidth="10.81640625" defaultRowHeight="14.5" x14ac:dyDescent="0.35"/>
  <cols>
    <col min="3" max="3" width="28.81640625" customWidth="1"/>
    <col min="4" max="4" width="22.7265625" customWidth="1"/>
    <col min="5" max="5" width="32.1796875" customWidth="1"/>
  </cols>
  <sheetData>
    <row r="4" spans="2:15" s="21" customFormat="1" ht="18" x14ac:dyDescent="0.4">
      <c r="B4" s="22" t="s">
        <v>0</v>
      </c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</row>
    <row r="5" spans="2:15" s="21" customFormat="1" ht="12.5" x14ac:dyDescent="0.25"/>
    <row r="6" spans="2:15" s="21" customFormat="1" ht="14" x14ac:dyDescent="0.3">
      <c r="B6" s="78" t="s">
        <v>1</v>
      </c>
      <c r="C6" s="79"/>
      <c r="D6" s="79"/>
      <c r="E6" s="79"/>
      <c r="F6" s="24"/>
    </row>
    <row r="7" spans="2:15" x14ac:dyDescent="0.35">
      <c r="B7" s="25" t="s">
        <v>2</v>
      </c>
      <c r="C7" s="80" t="s">
        <v>3</v>
      </c>
      <c r="D7" s="81"/>
      <c r="E7" s="81"/>
    </row>
    <row r="8" spans="2:15" x14ac:dyDescent="0.35">
      <c r="B8" s="26" t="s">
        <v>2</v>
      </c>
      <c r="C8" s="80" t="s">
        <v>4</v>
      </c>
      <c r="D8" s="81"/>
      <c r="E8" s="81"/>
    </row>
    <row r="9" spans="2:15" x14ac:dyDescent="0.35">
      <c r="B9" s="27" t="s">
        <v>2</v>
      </c>
      <c r="C9" s="80" t="s">
        <v>5</v>
      </c>
      <c r="D9" s="81"/>
      <c r="E9" s="81"/>
    </row>
  </sheetData>
  <mergeCells count="4">
    <mergeCell ref="B6:E6"/>
    <mergeCell ref="C7:E7"/>
    <mergeCell ref="C8:E8"/>
    <mergeCell ref="C9:E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5DB2E-15D3-4272-82F5-FD1B05E0EA4C}">
  <sheetPr codeName="Feuil2">
    <tabColor theme="4"/>
  </sheetPr>
  <dimension ref="A1:F30"/>
  <sheetViews>
    <sheetView showGridLines="0" tabSelected="1" zoomScaleNormal="100" workbookViewId="0">
      <selection activeCell="C19" sqref="C19"/>
    </sheetView>
  </sheetViews>
  <sheetFormatPr baseColWidth="10" defaultColWidth="10.81640625" defaultRowHeight="14.5" x14ac:dyDescent="0.35"/>
  <cols>
    <col min="1" max="1" width="28.453125" customWidth="1"/>
    <col min="2" max="2" width="41.7265625" customWidth="1"/>
    <col min="3" max="3" width="24.6328125" customWidth="1"/>
    <col min="4" max="4" width="24.54296875" customWidth="1"/>
  </cols>
  <sheetData>
    <row r="1" spans="1:6" x14ac:dyDescent="0.35">
      <c r="A1" s="7"/>
    </row>
    <row r="2" spans="1:6" ht="15" thickBot="1" x14ac:dyDescent="0.4">
      <c r="C2" s="37"/>
    </row>
    <row r="3" spans="1:6" ht="15" thickTop="1" x14ac:dyDescent="0.35">
      <c r="A3" s="10" t="s">
        <v>8</v>
      </c>
      <c r="B3" s="11" t="s">
        <v>9</v>
      </c>
      <c r="C3" s="36" t="s">
        <v>10</v>
      </c>
      <c r="D3" s="12"/>
    </row>
    <row r="4" spans="1:6" ht="15" x14ac:dyDescent="0.4">
      <c r="A4" s="45" t="s">
        <v>12</v>
      </c>
      <c r="B4" s="46" t="s">
        <v>13</v>
      </c>
      <c r="C4" s="36" t="s">
        <v>72</v>
      </c>
      <c r="D4" s="47"/>
    </row>
    <row r="5" spans="1:6" ht="15" x14ac:dyDescent="0.4">
      <c r="A5" s="13" t="s">
        <v>12</v>
      </c>
      <c r="B5" s="9" t="s">
        <v>15</v>
      </c>
      <c r="C5" s="33">
        <v>1.68</v>
      </c>
      <c r="D5" s="14" t="s">
        <v>16</v>
      </c>
    </row>
    <row r="6" spans="1:6" ht="15" x14ac:dyDescent="0.4">
      <c r="A6" s="13" t="s">
        <v>17</v>
      </c>
      <c r="B6" s="9" t="s">
        <v>15</v>
      </c>
      <c r="C6" s="33">
        <v>1.68</v>
      </c>
      <c r="D6" s="14" t="s">
        <v>16</v>
      </c>
    </row>
    <row r="7" spans="1:6" ht="15" x14ac:dyDescent="0.4">
      <c r="A7" s="13" t="s">
        <v>18</v>
      </c>
      <c r="B7" s="9" t="s">
        <v>19</v>
      </c>
      <c r="C7" s="34">
        <v>0.14599999999999999</v>
      </c>
      <c r="D7" s="14" t="s">
        <v>20</v>
      </c>
    </row>
    <row r="8" spans="1:6" x14ac:dyDescent="0.35">
      <c r="A8" s="13" t="s">
        <v>21</v>
      </c>
      <c r="B8" s="9" t="s">
        <v>22</v>
      </c>
      <c r="C8" s="33">
        <v>6.3</v>
      </c>
      <c r="D8" s="14" t="s">
        <v>23</v>
      </c>
    </row>
    <row r="9" spans="1:6" x14ac:dyDescent="0.35">
      <c r="A9" s="13" t="s">
        <v>24</v>
      </c>
      <c r="B9" s="9" t="s">
        <v>25</v>
      </c>
      <c r="C9" s="33">
        <v>50</v>
      </c>
      <c r="D9" s="14" t="s">
        <v>26</v>
      </c>
    </row>
    <row r="10" spans="1:6" x14ac:dyDescent="0.35">
      <c r="A10" s="38"/>
      <c r="B10" s="39"/>
      <c r="C10" s="41"/>
      <c r="D10" s="40"/>
    </row>
    <row r="11" spans="1:6" x14ac:dyDescent="0.35">
      <c r="A11" s="13" t="s">
        <v>27</v>
      </c>
      <c r="B11" s="9"/>
      <c r="C11" s="35">
        <f>((C7)*10000/1000)*C9*(1-C8/100)</f>
        <v>68.40100000000001</v>
      </c>
      <c r="D11" s="14" t="s">
        <v>28</v>
      </c>
      <c r="F11">
        <f>C9*C6*(0.176-0.087)*(100-C8)/100*10000/1000</f>
        <v>70.050120000000007</v>
      </c>
    </row>
    <row r="12" spans="1:6" ht="15" thickBot="1" x14ac:dyDescent="0.4">
      <c r="A12" s="15" t="s">
        <v>29</v>
      </c>
      <c r="B12" s="16"/>
      <c r="C12" s="74">
        <f>1/3*C11</f>
        <v>22.800333333333334</v>
      </c>
      <c r="D12" s="17" t="s">
        <v>28</v>
      </c>
    </row>
    <row r="13" spans="1:6" ht="15" thickBot="1" x14ac:dyDescent="0.4">
      <c r="B13" s="6"/>
    </row>
    <row r="14" spans="1:6" ht="15" x14ac:dyDescent="0.4">
      <c r="A14" s="10" t="s">
        <v>30</v>
      </c>
      <c r="B14" s="11"/>
      <c r="C14" s="60">
        <v>-0.56999999999999995</v>
      </c>
      <c r="D14" s="18"/>
    </row>
    <row r="15" spans="1:6" ht="15.5" thickBot="1" x14ac:dyDescent="0.45">
      <c r="A15" s="15" t="s">
        <v>31</v>
      </c>
      <c r="B15" s="16"/>
      <c r="C15" s="73">
        <v>44.83</v>
      </c>
      <c r="D15" s="20"/>
    </row>
    <row r="16" spans="1:6" ht="15" thickBot="1" x14ac:dyDescent="0.4">
      <c r="B16" s="57"/>
    </row>
    <row r="17" spans="1:4" ht="15" x14ac:dyDescent="0.4">
      <c r="A17" s="10" t="s">
        <v>34</v>
      </c>
      <c r="B17" s="11" t="s">
        <v>110</v>
      </c>
      <c r="C17" s="58">
        <v>2</v>
      </c>
      <c r="D17" s="18" t="s">
        <v>35</v>
      </c>
    </row>
    <row r="18" spans="1:4" ht="15" x14ac:dyDescent="0.4">
      <c r="A18" s="13" t="s">
        <v>36</v>
      </c>
      <c r="B18" s="9" t="s">
        <v>111</v>
      </c>
      <c r="C18" s="33">
        <v>25</v>
      </c>
      <c r="D18" s="19" t="s">
        <v>23</v>
      </c>
    </row>
    <row r="19" spans="1:4" ht="15" thickBot="1" x14ac:dyDescent="0.4">
      <c r="A19" s="15" t="s">
        <v>37</v>
      </c>
      <c r="B19" s="16" t="s">
        <v>100</v>
      </c>
      <c r="C19" s="59">
        <f>C18*0.8-(C17-3.5)*2.95</f>
        <v>24.425000000000001</v>
      </c>
      <c r="D19" s="20" t="s">
        <v>23</v>
      </c>
    </row>
    <row r="20" spans="1:4" ht="15" thickBot="1" x14ac:dyDescent="0.4">
      <c r="B20" s="6"/>
    </row>
    <row r="21" spans="1:4" x14ac:dyDescent="0.35">
      <c r="A21" s="61" t="s">
        <v>32</v>
      </c>
      <c r="B21" s="62"/>
      <c r="C21" s="63" t="s">
        <v>11</v>
      </c>
      <c r="D21" s="64"/>
    </row>
    <row r="22" spans="1:4" x14ac:dyDescent="0.35">
      <c r="A22" s="65"/>
      <c r="B22" s="55" t="s">
        <v>38</v>
      </c>
      <c r="C22" s="55" t="s">
        <v>118</v>
      </c>
      <c r="D22" s="66" t="s">
        <v>33</v>
      </c>
    </row>
    <row r="23" spans="1:4" x14ac:dyDescent="0.35">
      <c r="A23" s="65"/>
      <c r="B23" s="1" t="s">
        <v>40</v>
      </c>
      <c r="C23" s="75">
        <v>42144</v>
      </c>
      <c r="D23" s="67">
        <v>0.5</v>
      </c>
    </row>
    <row r="24" spans="1:4" x14ac:dyDescent="0.35">
      <c r="A24" s="65"/>
      <c r="B24" s="1" t="s">
        <v>42</v>
      </c>
      <c r="C24" s="75">
        <v>42170</v>
      </c>
      <c r="D24" s="67">
        <v>1</v>
      </c>
    </row>
    <row r="25" spans="1:4" x14ac:dyDescent="0.35">
      <c r="A25" s="65"/>
      <c r="B25" s="1" t="s">
        <v>44</v>
      </c>
      <c r="C25" s="51">
        <v>42218</v>
      </c>
      <c r="D25" s="67">
        <v>0.7</v>
      </c>
    </row>
    <row r="26" spans="1:4" x14ac:dyDescent="0.35">
      <c r="A26" s="65"/>
      <c r="B26" s="1" t="s">
        <v>45</v>
      </c>
      <c r="C26" s="51">
        <v>42239</v>
      </c>
      <c r="D26" s="67">
        <v>0</v>
      </c>
    </row>
    <row r="27" spans="1:4" x14ac:dyDescent="0.35">
      <c r="A27" s="65"/>
      <c r="B27" s="1"/>
      <c r="C27" s="76"/>
      <c r="D27" s="67"/>
    </row>
    <row r="28" spans="1:4" x14ac:dyDescent="0.35">
      <c r="A28" s="65"/>
      <c r="B28" s="1"/>
      <c r="C28" s="76"/>
      <c r="D28" s="67"/>
    </row>
    <row r="29" spans="1:4" x14ac:dyDescent="0.35">
      <c r="A29" s="65"/>
      <c r="B29" s="1"/>
      <c r="C29" s="76"/>
      <c r="D29" s="67"/>
    </row>
    <row r="30" spans="1:4" ht="15" thickBot="1" x14ac:dyDescent="0.4">
      <c r="A30" s="68"/>
      <c r="B30" s="69"/>
      <c r="C30" s="77"/>
      <c r="D30" s="70"/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outon_meteo_Cliquer">
                <anchor moveWithCells="1" sizeWithCells="1">
                  <from>
                    <xdr:col>5</xdr:col>
                    <xdr:colOff>25400</xdr:colOff>
                    <xdr:row>13</xdr:row>
                    <xdr:rowOff>12700</xdr:rowOff>
                  </from>
                  <to>
                    <xdr:col>8</xdr:col>
                    <xdr:colOff>63500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BoutonEauAvecDA_Cliquer">
                <anchor moveWithCells="1" sizeWithCells="1">
                  <from>
                    <xdr:col>5</xdr:col>
                    <xdr:colOff>25400</xdr:colOff>
                    <xdr:row>6</xdr:row>
                    <xdr:rowOff>69850</xdr:rowOff>
                  </from>
                  <to>
                    <xdr:col>8</xdr:col>
                    <xdr:colOff>31750</xdr:colOff>
                    <xdr:row>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Bouton_KC_Cliquer">
                <anchor moveWithCells="1" sizeWithCells="1">
                  <from>
                    <xdr:col>5</xdr:col>
                    <xdr:colOff>0</xdr:colOff>
                    <xdr:row>9</xdr:row>
                    <xdr:rowOff>114300</xdr:rowOff>
                  </from>
                  <to>
                    <xdr:col>8</xdr:col>
                    <xdr:colOff>50800</xdr:colOff>
                    <xdr:row>11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ntrée non valide" promptTitle="Texture" prompt="Sélectionner la texture du sol " xr:uid="{F628ADE7-7F84-4B31-B449-9CE4F6413793}">
          <x14:formula1>
            <xm:f>TeneurSol!$J$2:$J$9</xm:f>
          </x14:formula1>
          <xm:sqref>C3</xm:sqref>
        </x14:dataValidation>
        <x14:dataValidation type="list" allowBlank="1" showInputMessage="1" showErrorMessage="1" errorTitle="Entrée non valide" promptTitle="Texture" prompt="Sélectionner la texture du sol " xr:uid="{EC67E622-9BC3-438B-8C88-2059EEE89D1E}">
          <x14:formula1>
            <xm:f>TeneurSol!$J$11:$J$12</xm:f>
          </x14:formula1>
          <xm:sqref>C4</xm:sqref>
        </x14:dataValidation>
        <x14:dataValidation type="list" allowBlank="1" showInputMessage="1" showErrorMessage="1" xr:uid="{3513393B-C8D8-4304-BF23-2D619399D5E8}">
          <x14:formula1>
            <xm:f>BdD_Kc!$F:$F</xm:f>
          </x14:formula1>
          <xm:sqref>C21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07612-FF58-4846-97F4-4799B135CC52}">
  <sheetPr codeName="Feuil3">
    <tabColor theme="4"/>
  </sheetPr>
  <dimension ref="A2:J55"/>
  <sheetViews>
    <sheetView showGridLines="0" zoomScale="96" zoomScaleNormal="25" workbookViewId="0">
      <selection activeCell="I4" sqref="I4"/>
    </sheetView>
  </sheetViews>
  <sheetFormatPr baseColWidth="10" defaultColWidth="10.81640625" defaultRowHeight="14.5" x14ac:dyDescent="0.35"/>
  <cols>
    <col min="1" max="1" width="10.81640625" style="52"/>
    <col min="2" max="2" width="15" customWidth="1"/>
    <col min="3" max="3" width="34.26953125" customWidth="1"/>
    <col min="4" max="4" width="22.453125" customWidth="1"/>
    <col min="5" max="5" width="18.453125" customWidth="1"/>
  </cols>
  <sheetData>
    <row r="2" spans="1:10" x14ac:dyDescent="0.35">
      <c r="A2" s="53"/>
      <c r="B2" s="82" t="s">
        <v>46</v>
      </c>
      <c r="C2" s="83"/>
      <c r="D2" s="83"/>
      <c r="E2" s="83"/>
      <c r="F2" s="83"/>
      <c r="G2" s="83"/>
      <c r="H2" s="83"/>
      <c r="I2" s="83"/>
      <c r="J2" s="83"/>
    </row>
    <row r="4" spans="1:10" x14ac:dyDescent="0.35">
      <c r="C4" s="48" t="s">
        <v>47</v>
      </c>
      <c r="D4" s="41"/>
      <c r="E4" s="50">
        <f>SUM(Bilan_hydrique!L:L)</f>
        <v>0</v>
      </c>
      <c r="F4" s="49" t="s">
        <v>28</v>
      </c>
    </row>
    <row r="6" spans="1:10" x14ac:dyDescent="0.35">
      <c r="C6" s="48" t="s">
        <v>48</v>
      </c>
      <c r="D6" s="41"/>
      <c r="E6" s="50">
        <f>SUM(Bilan_hydrique!Q:Q)</f>
        <v>0</v>
      </c>
      <c r="F6" s="49" t="s">
        <v>28</v>
      </c>
    </row>
    <row r="8" spans="1:10" x14ac:dyDescent="0.35">
      <c r="C8" s="48" t="s">
        <v>49</v>
      </c>
      <c r="D8" s="41"/>
      <c r="E8" s="50">
        <f>E4-E6</f>
        <v>0</v>
      </c>
      <c r="F8" s="49" t="s">
        <v>28</v>
      </c>
    </row>
    <row r="10" spans="1:10" x14ac:dyDescent="0.35">
      <c r="C10" s="48" t="s">
        <v>50</v>
      </c>
      <c r="D10" s="41"/>
      <c r="E10" s="50" t="e">
        <f>(E4-E6)/E4*100</f>
        <v>#DIV/0!</v>
      </c>
      <c r="F10" s="49" t="s">
        <v>23</v>
      </c>
    </row>
    <row r="27" spans="2:10" x14ac:dyDescent="0.35">
      <c r="B27" s="82" t="s">
        <v>51</v>
      </c>
      <c r="C27" s="83"/>
      <c r="D27" s="83"/>
      <c r="E27" s="83"/>
      <c r="F27" s="83"/>
      <c r="G27" s="83"/>
      <c r="H27" s="83"/>
      <c r="I27" s="83"/>
      <c r="J27" s="83"/>
    </row>
    <row r="32" spans="2:10" ht="14.15" customHeight="1" x14ac:dyDescent="0.35"/>
    <row r="51" spans="2:10" x14ac:dyDescent="0.35">
      <c r="B51" s="82" t="s">
        <v>52</v>
      </c>
      <c r="C51" s="83"/>
      <c r="D51" s="83"/>
      <c r="E51" s="83"/>
      <c r="F51" s="83"/>
      <c r="G51" s="83"/>
      <c r="H51" s="83"/>
      <c r="I51" s="83"/>
      <c r="J51" s="83"/>
    </row>
    <row r="53" spans="2:10" x14ac:dyDescent="0.35">
      <c r="C53" s="48" t="s">
        <v>53</v>
      </c>
      <c r="D53" s="39"/>
      <c r="E53" s="51">
        <v>42215</v>
      </c>
    </row>
    <row r="55" spans="2:10" x14ac:dyDescent="0.35">
      <c r="C55" s="48" t="s">
        <v>54</v>
      </c>
      <c r="D55" s="41"/>
      <c r="E55" s="51">
        <v>42229</v>
      </c>
    </row>
  </sheetData>
  <mergeCells count="3">
    <mergeCell ref="B51:J51"/>
    <mergeCell ref="B27:J27"/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Button 6">
              <controlPr defaultSize="0" print="0" autoFill="0" autoPict="0" macro="[0]!BoutonBHM_Cliquer">
                <anchor moveWithCells="1" sizeWithCells="1">
                  <from>
                    <xdr:col>5</xdr:col>
                    <xdr:colOff>615950</xdr:colOff>
                    <xdr:row>52</xdr:row>
                    <xdr:rowOff>25400</xdr:rowOff>
                  </from>
                  <to>
                    <xdr:col>7</xdr:col>
                    <xdr:colOff>717550</xdr:colOff>
                    <xdr:row>55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8C21B3-A0FE-40C4-971F-003E30FEA200}">
          <x14:formula1>
            <xm:f>Bilan_hydrique!$A$2:$A$366</xm:f>
          </x14:formula1>
          <xm:sqref>E53 E55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A3708-F81A-4F09-9EEB-59785D890507}">
  <sheetPr codeName="Feuil4">
    <tabColor theme="5"/>
  </sheetPr>
  <dimension ref="A1:L49"/>
  <sheetViews>
    <sheetView workbookViewId="0">
      <pane ySplit="1" topLeftCell="A2" activePane="bottomLeft" state="frozen"/>
      <selection activeCell="D1" sqref="D1"/>
      <selection pane="bottomLeft" activeCell="I5" sqref="I5"/>
    </sheetView>
  </sheetViews>
  <sheetFormatPr baseColWidth="10" defaultColWidth="10.81640625" defaultRowHeight="14.5" x14ac:dyDescent="0.35"/>
  <cols>
    <col min="1" max="1" width="19.1796875" customWidth="1"/>
    <col min="2" max="2" width="26.1796875" style="3" customWidth="1"/>
    <col min="3" max="3" width="34.81640625" style="3" customWidth="1"/>
    <col min="4" max="4" width="36.453125" customWidth="1"/>
    <col min="5" max="5" width="16.81640625" customWidth="1"/>
    <col min="6" max="6" width="21.54296875" customWidth="1"/>
    <col min="7" max="7" width="9.81640625" customWidth="1"/>
    <col min="8" max="8" width="21.81640625" customWidth="1"/>
    <col min="10" max="10" width="19.81640625" customWidth="1"/>
  </cols>
  <sheetData>
    <row r="1" spans="1:12" s="4" customFormat="1" ht="15" thickBot="1" x14ac:dyDescent="0.4">
      <c r="A1" s="30" t="s">
        <v>8</v>
      </c>
      <c r="B1" s="84" t="s">
        <v>55</v>
      </c>
      <c r="C1" s="85"/>
      <c r="D1" s="31" t="s">
        <v>56</v>
      </c>
      <c r="E1" s="31" t="s">
        <v>57</v>
      </c>
      <c r="F1" s="31" t="s">
        <v>58</v>
      </c>
      <c r="G1" s="32" t="s">
        <v>59</v>
      </c>
      <c r="H1" s="4" t="s">
        <v>20</v>
      </c>
      <c r="J1" s="4" t="s">
        <v>60</v>
      </c>
      <c r="K1" s="4" t="s">
        <v>61</v>
      </c>
      <c r="L1" s="7" t="s">
        <v>62</v>
      </c>
    </row>
    <row r="2" spans="1:12" x14ac:dyDescent="0.35">
      <c r="A2" s="28" t="s">
        <v>63</v>
      </c>
      <c r="B2" s="29">
        <v>1.2</v>
      </c>
      <c r="C2" s="29">
        <v>1.3</v>
      </c>
      <c r="D2" s="28">
        <v>1.25</v>
      </c>
      <c r="E2" s="28">
        <v>0.47299999999999998</v>
      </c>
      <c r="F2" s="28">
        <v>0.33</v>
      </c>
      <c r="G2" s="28">
        <f>E2-F2</f>
        <v>0.14299999999999996</v>
      </c>
      <c r="J2" s="1" t="s">
        <v>63</v>
      </c>
      <c r="L2" t="s">
        <v>64</v>
      </c>
    </row>
    <row r="3" spans="1:12" x14ac:dyDescent="0.35">
      <c r="A3" s="1" t="s">
        <v>63</v>
      </c>
      <c r="B3" s="2">
        <v>1.2</v>
      </c>
      <c r="C3" s="2">
        <v>1.3</v>
      </c>
      <c r="D3" s="1">
        <v>1.1499999999999999</v>
      </c>
      <c r="E3" s="1">
        <v>0.435</v>
      </c>
      <c r="F3" s="1">
        <v>0.30399999999999999</v>
      </c>
      <c r="G3" s="1">
        <f t="shared" ref="G3:G49" si="0">E3-F3</f>
        <v>0.13100000000000001</v>
      </c>
      <c r="J3" s="1" t="s">
        <v>65</v>
      </c>
      <c r="L3" t="s">
        <v>66</v>
      </c>
    </row>
    <row r="4" spans="1:12" x14ac:dyDescent="0.35">
      <c r="A4" s="1" t="s">
        <v>63</v>
      </c>
      <c r="B4" s="2">
        <v>1.3</v>
      </c>
      <c r="C4" s="2">
        <v>1.4</v>
      </c>
      <c r="D4" s="1">
        <v>1.35</v>
      </c>
      <c r="E4" s="1">
        <v>0.42799999999999999</v>
      </c>
      <c r="F4" s="1">
        <v>0.30499999999999999</v>
      </c>
      <c r="G4" s="1">
        <f t="shared" si="0"/>
        <v>0.123</v>
      </c>
      <c r="J4" s="1" t="s">
        <v>67</v>
      </c>
    </row>
    <row r="5" spans="1:12" x14ac:dyDescent="0.35">
      <c r="A5" s="1" t="s">
        <v>63</v>
      </c>
      <c r="B5" s="2">
        <v>1.3</v>
      </c>
      <c r="C5" s="2">
        <v>1.4</v>
      </c>
      <c r="D5" s="1">
        <v>1.25</v>
      </c>
      <c r="E5" s="1">
        <v>0.39600000000000002</v>
      </c>
      <c r="F5" s="1">
        <v>0.28299999999999997</v>
      </c>
      <c r="G5" s="1">
        <f t="shared" si="0"/>
        <v>0.11300000000000004</v>
      </c>
      <c r="J5" s="1" t="s">
        <v>68</v>
      </c>
    </row>
    <row r="6" spans="1:12" x14ac:dyDescent="0.35">
      <c r="A6" s="1" t="s">
        <v>63</v>
      </c>
      <c r="B6" s="2">
        <v>1.4</v>
      </c>
      <c r="C6" s="2">
        <v>1.5</v>
      </c>
      <c r="D6" s="1">
        <v>1.45</v>
      </c>
      <c r="E6" s="1">
        <v>0.434</v>
      </c>
      <c r="F6" s="1">
        <v>0.315</v>
      </c>
      <c r="G6" s="1">
        <f t="shared" si="0"/>
        <v>0.11899999999999999</v>
      </c>
      <c r="J6" s="1" t="s">
        <v>10</v>
      </c>
    </row>
    <row r="7" spans="1:12" x14ac:dyDescent="0.35">
      <c r="A7" s="1" t="s">
        <v>63</v>
      </c>
      <c r="B7" s="2">
        <v>1.4</v>
      </c>
      <c r="C7" s="2">
        <v>1.5</v>
      </c>
      <c r="D7" s="1">
        <v>1.35</v>
      </c>
      <c r="E7" s="1">
        <v>0.40400000000000003</v>
      </c>
      <c r="F7" s="1">
        <v>0.29299999999999998</v>
      </c>
      <c r="G7" s="1">
        <f t="shared" si="0"/>
        <v>0.11100000000000004</v>
      </c>
      <c r="J7" s="1" t="s">
        <v>69</v>
      </c>
    </row>
    <row r="8" spans="1:12" x14ac:dyDescent="0.35">
      <c r="A8" s="1" t="s">
        <v>63</v>
      </c>
      <c r="B8" s="2">
        <v>1.5</v>
      </c>
      <c r="C8" s="2">
        <v>1.6</v>
      </c>
      <c r="D8" s="1">
        <v>1.55</v>
      </c>
      <c r="E8" s="1">
        <v>0.374</v>
      </c>
      <c r="F8" s="1">
        <v>0.28699999999999998</v>
      </c>
      <c r="G8" s="1">
        <f t="shared" si="0"/>
        <v>8.7000000000000022E-2</v>
      </c>
      <c r="J8" s="1" t="s">
        <v>70</v>
      </c>
    </row>
    <row r="9" spans="1:12" x14ac:dyDescent="0.35">
      <c r="A9" s="1" t="s">
        <v>63</v>
      </c>
      <c r="B9" s="2">
        <v>1.5</v>
      </c>
      <c r="C9" s="2">
        <v>1.6</v>
      </c>
      <c r="D9" s="1">
        <v>1.45</v>
      </c>
      <c r="E9" s="1">
        <v>0.35</v>
      </c>
      <c r="F9" s="1">
        <v>0.26800000000000002</v>
      </c>
      <c r="G9" s="1">
        <f t="shared" si="0"/>
        <v>8.1999999999999962E-2</v>
      </c>
      <c r="J9" s="1" t="s">
        <v>71</v>
      </c>
    </row>
    <row r="10" spans="1:12" x14ac:dyDescent="0.35">
      <c r="A10" s="1" t="s">
        <v>63</v>
      </c>
      <c r="B10" s="2">
        <v>1.6</v>
      </c>
      <c r="C10" s="2">
        <v>1.7</v>
      </c>
      <c r="D10" s="1">
        <v>1.65</v>
      </c>
      <c r="E10" s="1">
        <v>0.33300000000000002</v>
      </c>
      <c r="F10" s="1">
        <v>0.26600000000000001</v>
      </c>
      <c r="G10" s="1">
        <f t="shared" si="0"/>
        <v>6.7000000000000004E-2</v>
      </c>
    </row>
    <row r="11" spans="1:12" x14ac:dyDescent="0.35">
      <c r="A11" s="1" t="s">
        <v>63</v>
      </c>
      <c r="B11" s="2">
        <v>1.6</v>
      </c>
      <c r="C11" s="2">
        <v>1.7</v>
      </c>
      <c r="D11" s="1">
        <v>1.55</v>
      </c>
      <c r="E11" s="1">
        <v>0.313</v>
      </c>
      <c r="F11" s="1">
        <v>0.25</v>
      </c>
      <c r="G11" s="1">
        <f t="shared" si="0"/>
        <v>6.3E-2</v>
      </c>
      <c r="J11" t="s">
        <v>72</v>
      </c>
    </row>
    <row r="12" spans="1:12" x14ac:dyDescent="0.35">
      <c r="A12" s="1" t="s">
        <v>65</v>
      </c>
      <c r="B12" s="2">
        <v>1.4</v>
      </c>
      <c r="C12" s="2">
        <v>1.5</v>
      </c>
      <c r="D12" s="1">
        <v>1.45</v>
      </c>
      <c r="E12" s="1">
        <v>0.318</v>
      </c>
      <c r="F12" s="1">
        <v>0.216</v>
      </c>
      <c r="G12" s="1">
        <f t="shared" si="0"/>
        <v>0.10200000000000001</v>
      </c>
      <c r="J12" t="s">
        <v>14</v>
      </c>
    </row>
    <row r="13" spans="1:12" x14ac:dyDescent="0.35">
      <c r="A13" s="1" t="s">
        <v>65</v>
      </c>
      <c r="B13" s="2">
        <v>1.4</v>
      </c>
      <c r="C13" s="2">
        <v>1.5</v>
      </c>
      <c r="D13" s="1">
        <v>1.35</v>
      </c>
      <c r="E13" s="1">
        <v>0.29599999999999999</v>
      </c>
      <c r="F13" s="1">
        <v>0.20100000000000001</v>
      </c>
      <c r="G13" s="1">
        <f t="shared" si="0"/>
        <v>9.4999999999999973E-2</v>
      </c>
    </row>
    <row r="14" spans="1:12" x14ac:dyDescent="0.35">
      <c r="A14" s="1" t="s">
        <v>65</v>
      </c>
      <c r="B14" s="2">
        <v>1.5</v>
      </c>
      <c r="C14" s="2">
        <v>1.6</v>
      </c>
      <c r="D14" s="1">
        <v>1.55</v>
      </c>
      <c r="E14" s="1">
        <v>0.32100000000000001</v>
      </c>
      <c r="F14" s="1">
        <v>0.223</v>
      </c>
      <c r="G14" s="1">
        <f t="shared" si="0"/>
        <v>9.8000000000000004E-2</v>
      </c>
    </row>
    <row r="15" spans="1:12" x14ac:dyDescent="0.35">
      <c r="A15" s="1" t="s">
        <v>65</v>
      </c>
      <c r="B15" s="2">
        <v>1.5</v>
      </c>
      <c r="C15" s="2">
        <v>1.6</v>
      </c>
      <c r="D15" s="1">
        <v>1.45</v>
      </c>
      <c r="E15" s="1">
        <v>0.3</v>
      </c>
      <c r="F15" s="1">
        <v>0.20899999999999999</v>
      </c>
      <c r="G15" s="1">
        <f t="shared" si="0"/>
        <v>9.0999999999999998E-2</v>
      </c>
    </row>
    <row r="16" spans="1:12" x14ac:dyDescent="0.35">
      <c r="A16" s="1" t="s">
        <v>65</v>
      </c>
      <c r="B16" s="2">
        <v>1.6</v>
      </c>
      <c r="C16" s="2">
        <v>1.7</v>
      </c>
      <c r="D16" s="1">
        <v>1.65</v>
      </c>
      <c r="E16" s="1">
        <v>0.32900000000000001</v>
      </c>
      <c r="F16" s="1">
        <v>0.22800000000000001</v>
      </c>
      <c r="G16" s="1">
        <f t="shared" si="0"/>
        <v>0.10100000000000001</v>
      </c>
    </row>
    <row r="17" spans="1:7" x14ac:dyDescent="0.35">
      <c r="A17" s="1" t="s">
        <v>65</v>
      </c>
      <c r="B17" s="2">
        <v>1.6</v>
      </c>
      <c r="C17" s="2">
        <v>1.7</v>
      </c>
      <c r="D17" s="1">
        <v>1.55</v>
      </c>
      <c r="E17" s="1">
        <v>0.309</v>
      </c>
      <c r="F17" s="1">
        <v>0.214</v>
      </c>
      <c r="G17" s="1">
        <f t="shared" si="0"/>
        <v>9.5000000000000001E-2</v>
      </c>
    </row>
    <row r="18" spans="1:7" x14ac:dyDescent="0.35">
      <c r="A18" s="1" t="s">
        <v>65</v>
      </c>
      <c r="B18" s="2">
        <v>1.7</v>
      </c>
      <c r="C18" s="2">
        <v>1.8</v>
      </c>
      <c r="D18" s="1">
        <v>1.75</v>
      </c>
      <c r="E18" s="1">
        <v>0.30599999999999999</v>
      </c>
      <c r="F18" s="1">
        <v>0.24</v>
      </c>
      <c r="G18" s="1">
        <f t="shared" si="0"/>
        <v>6.6000000000000003E-2</v>
      </c>
    </row>
    <row r="19" spans="1:7" x14ac:dyDescent="0.35">
      <c r="A19" s="1" t="s">
        <v>65</v>
      </c>
      <c r="B19" s="2">
        <v>1.7</v>
      </c>
      <c r="C19" s="2">
        <v>1.8</v>
      </c>
      <c r="D19" s="1">
        <v>1.65</v>
      </c>
      <c r="E19" s="1">
        <v>0.28899999999999998</v>
      </c>
      <c r="F19" s="1">
        <v>0.22600000000000001</v>
      </c>
      <c r="G19" s="1">
        <f t="shared" si="0"/>
        <v>6.2999999999999973E-2</v>
      </c>
    </row>
    <row r="20" spans="1:7" x14ac:dyDescent="0.35">
      <c r="A20" s="1" t="s">
        <v>65</v>
      </c>
      <c r="B20" s="2">
        <v>1.8</v>
      </c>
      <c r="C20" s="2">
        <v>1.9</v>
      </c>
      <c r="D20" s="1">
        <v>1.85</v>
      </c>
      <c r="E20" s="1">
        <v>0.28299999999999997</v>
      </c>
      <c r="F20" s="1">
        <v>0.23300000000000001</v>
      </c>
      <c r="G20" s="1">
        <f t="shared" si="0"/>
        <v>4.9999999999999961E-2</v>
      </c>
    </row>
    <row r="21" spans="1:7" x14ac:dyDescent="0.35">
      <c r="A21" s="1" t="s">
        <v>65</v>
      </c>
      <c r="B21" s="2">
        <v>1.8</v>
      </c>
      <c r="C21" s="2">
        <v>1.9</v>
      </c>
      <c r="D21" s="1">
        <v>1.75</v>
      </c>
      <c r="E21" s="1">
        <v>0.26800000000000002</v>
      </c>
      <c r="F21" s="1">
        <v>0.221</v>
      </c>
      <c r="G21" s="1">
        <f t="shared" si="0"/>
        <v>4.7000000000000014E-2</v>
      </c>
    </row>
    <row r="22" spans="1:7" x14ac:dyDescent="0.35">
      <c r="A22" s="1" t="s">
        <v>67</v>
      </c>
      <c r="B22" s="2">
        <v>1.5</v>
      </c>
      <c r="C22" s="2">
        <v>1.7</v>
      </c>
      <c r="D22" s="1">
        <v>1.6</v>
      </c>
      <c r="E22" s="1">
        <v>0.317</v>
      </c>
      <c r="F22" s="1">
        <v>0.20599999999999999</v>
      </c>
      <c r="G22" s="1">
        <f t="shared" si="0"/>
        <v>0.11100000000000002</v>
      </c>
    </row>
    <row r="23" spans="1:7" x14ac:dyDescent="0.35">
      <c r="A23" s="1" t="s">
        <v>67</v>
      </c>
      <c r="B23" s="2">
        <v>1.5</v>
      </c>
      <c r="C23" s="2">
        <v>1.7</v>
      </c>
      <c r="D23" s="1">
        <v>1.5</v>
      </c>
      <c r="E23" s="1">
        <v>0.28699999999999998</v>
      </c>
      <c r="F23" s="1">
        <v>0.19400000000000001</v>
      </c>
      <c r="G23" s="1">
        <f t="shared" si="0"/>
        <v>9.2999999999999972E-2</v>
      </c>
    </row>
    <row r="24" spans="1:7" x14ac:dyDescent="0.35">
      <c r="A24" s="1" t="s">
        <v>67</v>
      </c>
      <c r="B24" s="2">
        <v>1.7</v>
      </c>
      <c r="C24" s="2">
        <v>1.9</v>
      </c>
      <c r="D24" s="1">
        <v>1.8</v>
      </c>
      <c r="E24" s="1">
        <v>0.28999999999999998</v>
      </c>
      <c r="F24" s="1">
        <v>0.216</v>
      </c>
      <c r="G24" s="1">
        <f t="shared" si="0"/>
        <v>7.3999999999999982E-2</v>
      </c>
    </row>
    <row r="25" spans="1:7" x14ac:dyDescent="0.35">
      <c r="A25" s="1" t="s">
        <v>67</v>
      </c>
      <c r="B25" s="2">
        <v>1.7</v>
      </c>
      <c r="C25" s="2">
        <v>1.9</v>
      </c>
      <c r="D25" s="1">
        <v>1.7</v>
      </c>
      <c r="E25" s="1">
        <v>0.27400000000000002</v>
      </c>
      <c r="F25" s="1">
        <v>0.20399999999999999</v>
      </c>
      <c r="G25" s="1">
        <f t="shared" si="0"/>
        <v>7.0000000000000034E-2</v>
      </c>
    </row>
    <row r="26" spans="1:7" x14ac:dyDescent="0.35">
      <c r="A26" s="1" t="s">
        <v>68</v>
      </c>
      <c r="B26" s="2">
        <v>1.4</v>
      </c>
      <c r="C26" s="2">
        <v>1.5</v>
      </c>
      <c r="D26" s="1">
        <v>1.45</v>
      </c>
      <c r="E26" s="1">
        <v>0.30499999999999999</v>
      </c>
      <c r="F26" s="1">
        <v>0.155</v>
      </c>
      <c r="G26" s="1">
        <f t="shared" si="0"/>
        <v>0.15</v>
      </c>
    </row>
    <row r="27" spans="1:7" x14ac:dyDescent="0.35">
      <c r="A27" s="1" t="s">
        <v>68</v>
      </c>
      <c r="B27" s="2">
        <v>1.4</v>
      </c>
      <c r="C27" s="2">
        <v>1.5</v>
      </c>
      <c r="D27" s="1">
        <v>1.35</v>
      </c>
      <c r="E27" s="1">
        <v>0.28399999999999997</v>
      </c>
      <c r="F27" s="1">
        <v>0.14499999999999999</v>
      </c>
      <c r="G27" s="1">
        <f t="shared" si="0"/>
        <v>0.13899999999999998</v>
      </c>
    </row>
    <row r="28" spans="1:7" x14ac:dyDescent="0.35">
      <c r="A28" s="1" t="s">
        <v>68</v>
      </c>
      <c r="B28" s="2">
        <v>1.5</v>
      </c>
      <c r="C28" s="2">
        <v>1.6</v>
      </c>
      <c r="D28" s="1">
        <v>1.55</v>
      </c>
      <c r="E28" s="1">
        <v>0.30199999999999999</v>
      </c>
      <c r="F28" s="1">
        <v>0.16300000000000001</v>
      </c>
      <c r="G28" s="1">
        <f t="shared" si="0"/>
        <v>0.13899999999999998</v>
      </c>
    </row>
    <row r="29" spans="1:7" x14ac:dyDescent="0.35">
      <c r="A29" s="1" t="s">
        <v>68</v>
      </c>
      <c r="B29" s="2">
        <v>1.5</v>
      </c>
      <c r="C29" s="2">
        <v>1.6</v>
      </c>
      <c r="D29" s="1">
        <v>1.45</v>
      </c>
      <c r="E29" s="1">
        <v>0.28299999999999997</v>
      </c>
      <c r="F29" s="1">
        <v>0.152</v>
      </c>
      <c r="G29" s="1">
        <f t="shared" si="0"/>
        <v>0.13099999999999998</v>
      </c>
    </row>
    <row r="30" spans="1:7" x14ac:dyDescent="0.35">
      <c r="A30" s="1" t="s">
        <v>68</v>
      </c>
      <c r="B30" s="2">
        <v>1.6</v>
      </c>
      <c r="C30" s="2">
        <v>1.7</v>
      </c>
      <c r="D30" s="1">
        <v>1.65</v>
      </c>
      <c r="E30" s="1">
        <v>0.32</v>
      </c>
      <c r="F30" s="1">
        <v>0.17299999999999999</v>
      </c>
      <c r="G30" s="1">
        <f t="shared" si="0"/>
        <v>0.14700000000000002</v>
      </c>
    </row>
    <row r="31" spans="1:7" x14ac:dyDescent="0.35">
      <c r="A31" s="1" t="s">
        <v>68</v>
      </c>
      <c r="B31" s="2">
        <v>1.6</v>
      </c>
      <c r="C31" s="2">
        <v>1.7</v>
      </c>
      <c r="D31" s="1">
        <v>1.55</v>
      </c>
      <c r="E31" s="1">
        <v>0.3</v>
      </c>
      <c r="F31" s="1">
        <v>0.16300000000000001</v>
      </c>
      <c r="G31" s="1">
        <f t="shared" si="0"/>
        <v>0.13699999999999998</v>
      </c>
    </row>
    <row r="32" spans="1:7" x14ac:dyDescent="0.35">
      <c r="A32" s="1" t="s">
        <v>10</v>
      </c>
      <c r="B32" s="2">
        <v>1.5</v>
      </c>
      <c r="C32" s="2">
        <v>1.6</v>
      </c>
      <c r="D32" s="1">
        <v>1.55</v>
      </c>
      <c r="E32" s="1">
        <v>0.25900000000000001</v>
      </c>
      <c r="F32" s="1">
        <v>0.16</v>
      </c>
      <c r="G32" s="1">
        <f t="shared" si="0"/>
        <v>9.9000000000000005E-2</v>
      </c>
    </row>
    <row r="33" spans="1:7" x14ac:dyDescent="0.35">
      <c r="A33" s="1" t="s">
        <v>10</v>
      </c>
      <c r="B33" s="2">
        <v>1.5</v>
      </c>
      <c r="C33" s="2">
        <v>1.6</v>
      </c>
      <c r="D33" s="1">
        <v>1.45</v>
      </c>
      <c r="E33" s="1">
        <v>0.24199999999999999</v>
      </c>
      <c r="F33" s="1">
        <v>0.14899999999999999</v>
      </c>
      <c r="G33" s="1">
        <f t="shared" si="0"/>
        <v>9.2999999999999999E-2</v>
      </c>
    </row>
    <row r="34" spans="1:7" x14ac:dyDescent="0.35">
      <c r="A34" s="1" t="s">
        <v>10</v>
      </c>
      <c r="B34" s="2">
        <v>1.6</v>
      </c>
      <c r="C34" s="2">
        <v>1.7</v>
      </c>
      <c r="D34" s="1">
        <v>1.65</v>
      </c>
      <c r="E34" s="1">
        <v>0.28999999999999998</v>
      </c>
      <c r="F34" s="1">
        <v>0.14399999999999999</v>
      </c>
      <c r="G34" s="1">
        <f t="shared" si="0"/>
        <v>0.14599999999999999</v>
      </c>
    </row>
    <row r="35" spans="1:7" x14ac:dyDescent="0.35">
      <c r="A35" s="1" t="s">
        <v>10</v>
      </c>
      <c r="B35" s="2">
        <v>1.6</v>
      </c>
      <c r="C35" s="2">
        <v>1.7</v>
      </c>
      <c r="D35" s="1">
        <v>1.55</v>
      </c>
      <c r="E35" s="1">
        <v>0.27300000000000002</v>
      </c>
      <c r="F35" s="1">
        <v>0.13500000000000001</v>
      </c>
      <c r="G35" s="1">
        <f t="shared" si="0"/>
        <v>0.13800000000000001</v>
      </c>
    </row>
    <row r="36" spans="1:7" x14ac:dyDescent="0.35">
      <c r="A36" s="1" t="s">
        <v>10</v>
      </c>
      <c r="B36" s="2">
        <v>1.7</v>
      </c>
      <c r="C36" s="2">
        <v>1.8</v>
      </c>
      <c r="D36" s="1">
        <v>1.75</v>
      </c>
      <c r="E36" s="1">
        <v>0.29199999999999998</v>
      </c>
      <c r="F36" s="1">
        <v>0.13700000000000001</v>
      </c>
      <c r="G36" s="1">
        <f t="shared" si="0"/>
        <v>0.15499999999999997</v>
      </c>
    </row>
    <row r="37" spans="1:7" x14ac:dyDescent="0.35">
      <c r="A37" s="1" t="s">
        <v>10</v>
      </c>
      <c r="B37" s="2">
        <v>1.7</v>
      </c>
      <c r="C37" s="2">
        <v>1.8</v>
      </c>
      <c r="D37" s="1">
        <v>1.65</v>
      </c>
      <c r="E37" s="1">
        <v>0.27600000000000002</v>
      </c>
      <c r="F37" s="1">
        <v>0.129</v>
      </c>
      <c r="G37" s="1">
        <f t="shared" si="0"/>
        <v>0.14700000000000002</v>
      </c>
    </row>
    <row r="38" spans="1:7" x14ac:dyDescent="0.35">
      <c r="A38" s="1" t="s">
        <v>69</v>
      </c>
      <c r="B38" s="2">
        <v>1.5</v>
      </c>
      <c r="C38" s="2">
        <v>1.7</v>
      </c>
      <c r="D38" s="1">
        <v>1.6</v>
      </c>
      <c r="E38" s="1">
        <v>0.246</v>
      </c>
      <c r="F38" s="1">
        <v>0.16</v>
      </c>
      <c r="G38" s="1">
        <f t="shared" si="0"/>
        <v>8.5999999999999993E-2</v>
      </c>
    </row>
    <row r="39" spans="1:7" x14ac:dyDescent="0.35">
      <c r="A39" s="1" t="s">
        <v>69</v>
      </c>
      <c r="B39" s="2">
        <v>1.5</v>
      </c>
      <c r="C39" s="2">
        <v>1.7</v>
      </c>
      <c r="D39" s="1">
        <v>1.5</v>
      </c>
      <c r="E39" s="1">
        <v>0.23100000000000001</v>
      </c>
      <c r="F39" s="1">
        <v>0.15</v>
      </c>
      <c r="G39" s="1">
        <f t="shared" si="0"/>
        <v>8.1000000000000016E-2</v>
      </c>
    </row>
    <row r="40" spans="1:7" x14ac:dyDescent="0.35">
      <c r="A40" s="1" t="s">
        <v>69</v>
      </c>
      <c r="B40" s="2">
        <v>1.7</v>
      </c>
      <c r="C40" s="2">
        <v>1.9</v>
      </c>
      <c r="D40" s="1">
        <v>1.8</v>
      </c>
      <c r="E40" s="1">
        <v>0.27</v>
      </c>
      <c r="F40" s="1">
        <v>0.16</v>
      </c>
      <c r="G40" s="1">
        <f t="shared" si="0"/>
        <v>0.11000000000000001</v>
      </c>
    </row>
    <row r="41" spans="1:7" x14ac:dyDescent="0.35">
      <c r="A41" s="1" t="s">
        <v>69</v>
      </c>
      <c r="B41" s="2">
        <v>1.7</v>
      </c>
      <c r="C41" s="2">
        <v>1.9</v>
      </c>
      <c r="D41" s="1">
        <v>1.7</v>
      </c>
      <c r="E41" s="1">
        <v>0.255</v>
      </c>
      <c r="F41" s="1">
        <v>0.151</v>
      </c>
      <c r="G41" s="1">
        <f t="shared" si="0"/>
        <v>0.10400000000000001</v>
      </c>
    </row>
    <row r="42" spans="1:7" x14ac:dyDescent="0.35">
      <c r="A42" s="1" t="s">
        <v>70</v>
      </c>
      <c r="B42" s="2">
        <v>1.6</v>
      </c>
      <c r="C42" s="2">
        <v>1.75</v>
      </c>
      <c r="D42" s="1">
        <v>1.68</v>
      </c>
      <c r="E42" s="1">
        <v>0.21199999999999999</v>
      </c>
      <c r="F42" s="1">
        <v>0.121</v>
      </c>
      <c r="G42" s="1">
        <f t="shared" si="0"/>
        <v>9.0999999999999998E-2</v>
      </c>
    </row>
    <row r="43" spans="1:7" x14ac:dyDescent="0.35">
      <c r="A43" s="1" t="s">
        <v>70</v>
      </c>
      <c r="B43" s="2">
        <v>1.6</v>
      </c>
      <c r="C43" s="2">
        <v>1.75</v>
      </c>
      <c r="D43" s="1">
        <v>1.58</v>
      </c>
      <c r="E43" s="1">
        <v>0.19900000000000001</v>
      </c>
      <c r="F43" s="1">
        <v>0.14399999999999999</v>
      </c>
      <c r="G43" s="1">
        <f t="shared" si="0"/>
        <v>5.5000000000000021E-2</v>
      </c>
    </row>
    <row r="44" spans="1:7" x14ac:dyDescent="0.35">
      <c r="A44" s="1" t="s">
        <v>70</v>
      </c>
      <c r="B44" s="2">
        <v>1.75</v>
      </c>
      <c r="C44" s="2">
        <v>1.9</v>
      </c>
      <c r="D44" s="1">
        <v>1.83</v>
      </c>
      <c r="E44" s="1">
        <v>0.22500000000000001</v>
      </c>
      <c r="F44" s="1">
        <v>0.11899999999999999</v>
      </c>
      <c r="G44" s="1">
        <f t="shared" si="0"/>
        <v>0.10600000000000001</v>
      </c>
    </row>
    <row r="45" spans="1:7" x14ac:dyDescent="0.35">
      <c r="A45" s="1" t="s">
        <v>70</v>
      </c>
      <c r="B45" s="2">
        <v>1.75</v>
      </c>
      <c r="C45" s="2">
        <v>1.9</v>
      </c>
      <c r="D45" s="1">
        <v>1.73</v>
      </c>
      <c r="E45" s="1">
        <v>0.21299999999999999</v>
      </c>
      <c r="F45" s="1">
        <v>0.113</v>
      </c>
      <c r="G45" s="1">
        <f t="shared" si="0"/>
        <v>9.9999999999999992E-2</v>
      </c>
    </row>
    <row r="46" spans="1:7" x14ac:dyDescent="0.35">
      <c r="A46" s="1" t="s">
        <v>71</v>
      </c>
      <c r="B46" s="2">
        <v>1.6</v>
      </c>
      <c r="C46" s="2">
        <v>1.7</v>
      </c>
      <c r="D46" s="1">
        <v>1.65</v>
      </c>
      <c r="E46" s="1">
        <v>0.14000000000000001</v>
      </c>
      <c r="F46" s="1">
        <v>6.0999999999999999E-2</v>
      </c>
      <c r="G46" s="1">
        <f t="shared" si="0"/>
        <v>7.9000000000000015E-2</v>
      </c>
    </row>
    <row r="47" spans="1:7" x14ac:dyDescent="0.35">
      <c r="A47" s="1" t="s">
        <v>71</v>
      </c>
      <c r="B47" s="2">
        <v>1.6</v>
      </c>
      <c r="C47" s="2">
        <v>1.7</v>
      </c>
      <c r="D47" s="1">
        <v>1.55</v>
      </c>
      <c r="E47" s="1">
        <v>0.13200000000000001</v>
      </c>
      <c r="F47" s="1">
        <v>5.7000000000000002E-2</v>
      </c>
      <c r="G47" s="1">
        <f t="shared" si="0"/>
        <v>7.5000000000000011E-2</v>
      </c>
    </row>
    <row r="48" spans="1:7" x14ac:dyDescent="0.35">
      <c r="A48" s="1" t="s">
        <v>71</v>
      </c>
      <c r="B48" s="2">
        <v>1.7</v>
      </c>
      <c r="C48" s="2">
        <v>1.8</v>
      </c>
      <c r="D48" s="1">
        <v>1.75</v>
      </c>
      <c r="E48" s="1">
        <v>0.107</v>
      </c>
      <c r="F48" s="1">
        <v>5.8000000000000003E-2</v>
      </c>
      <c r="G48" s="1">
        <f t="shared" si="0"/>
        <v>4.8999999999999995E-2</v>
      </c>
    </row>
    <row r="49" spans="1:7" x14ac:dyDescent="0.35">
      <c r="A49" s="1" t="s">
        <v>71</v>
      </c>
      <c r="B49" s="2">
        <v>1.7</v>
      </c>
      <c r="C49" s="2">
        <v>1.8</v>
      </c>
      <c r="D49" s="1">
        <v>1.65</v>
      </c>
      <c r="E49" s="1">
        <v>0.10100000000000001</v>
      </c>
      <c r="F49" s="1">
        <v>5.5E-2</v>
      </c>
      <c r="G49" s="1">
        <f t="shared" si="0"/>
        <v>4.6000000000000006E-2</v>
      </c>
    </row>
  </sheetData>
  <mergeCells count="1">
    <mergeCell ref="B1:C1"/>
  </mergeCells>
  <phoneticPr fontId="1" type="noConversion"/>
  <hyperlinks>
    <hyperlink ref="L1" r:id="rId1" display="https://www,researchgate,net/profile/Bruand-A/publication/279263071_Estimation_des_proprietes_de_retention_en_eau_des_sols_Utilisation_de_classes_de_pedotransfert_apres_stratifications_texturale_et_texturo-structurale/links/55fa938108aeba1d9f356013/Estimation-des-proprietes-de-retention-en-eau-des-sols-Utilisation-de-classes-de-pedotransfert-apres-stratifications-texturale-et-texturo-structurale,pdf" xr:uid="{D0E52381-B2F5-4AC2-A644-8ECC79A9AF8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B0720-23A3-4FE2-8EEE-D59A6937EEE8}">
  <sheetPr codeName="Feuil10">
    <tabColor theme="5"/>
  </sheetPr>
  <dimension ref="B1:F55"/>
  <sheetViews>
    <sheetView workbookViewId="0">
      <selection activeCell="G46" sqref="G46"/>
    </sheetView>
  </sheetViews>
  <sheetFormatPr baseColWidth="10" defaultRowHeight="14.5" x14ac:dyDescent="0.35"/>
  <sheetData>
    <row r="1" spans="2:6" x14ac:dyDescent="0.35">
      <c r="F1" t="str">
        <f>C2</f>
        <v>Autre</v>
      </c>
    </row>
    <row r="2" spans="2:6" ht="15" x14ac:dyDescent="0.4">
      <c r="B2" s="6"/>
      <c r="C2" s="54" t="s">
        <v>6</v>
      </c>
      <c r="F2" t="str">
        <f>C13</f>
        <v>Poireaux</v>
      </c>
    </row>
    <row r="3" spans="2:6" x14ac:dyDescent="0.35">
      <c r="B3" s="55" t="s">
        <v>38</v>
      </c>
      <c r="C3" s="55" t="s">
        <v>117</v>
      </c>
      <c r="D3" s="55" t="s">
        <v>33</v>
      </c>
      <c r="F3" t="str">
        <f>C24</f>
        <v>Courgette</v>
      </c>
    </row>
    <row r="4" spans="2:6" ht="15" x14ac:dyDescent="0.4">
      <c r="B4" s="1" t="s">
        <v>97</v>
      </c>
      <c r="C4" s="72" t="s">
        <v>98</v>
      </c>
      <c r="D4" s="34" t="s">
        <v>98</v>
      </c>
      <c r="F4" t="str">
        <f>C35</f>
        <v>Petit Pois</v>
      </c>
    </row>
    <row r="5" spans="2:6" ht="15" x14ac:dyDescent="0.4">
      <c r="B5" s="56" t="s">
        <v>98</v>
      </c>
      <c r="C5" s="72" t="s">
        <v>98</v>
      </c>
      <c r="D5" s="34" t="s">
        <v>98</v>
      </c>
      <c r="F5" t="str">
        <f>C46</f>
        <v>Carotte</v>
      </c>
    </row>
    <row r="6" spans="2:6" ht="15" x14ac:dyDescent="0.4">
      <c r="B6" s="56" t="s">
        <v>98</v>
      </c>
      <c r="C6" s="72" t="s">
        <v>98</v>
      </c>
      <c r="D6" s="34" t="s">
        <v>98</v>
      </c>
    </row>
    <row r="7" spans="2:6" ht="15" x14ac:dyDescent="0.4">
      <c r="B7" s="56" t="s">
        <v>98</v>
      </c>
      <c r="C7" s="72" t="s">
        <v>98</v>
      </c>
      <c r="D7" s="34" t="s">
        <v>98</v>
      </c>
    </row>
    <row r="8" spans="2:6" ht="15" x14ac:dyDescent="0.4">
      <c r="B8" s="56" t="s">
        <v>98</v>
      </c>
      <c r="C8" s="72" t="s">
        <v>98</v>
      </c>
      <c r="D8" s="34" t="s">
        <v>98</v>
      </c>
    </row>
    <row r="9" spans="2:6" ht="15" x14ac:dyDescent="0.4">
      <c r="B9" s="56" t="s">
        <v>98</v>
      </c>
      <c r="C9" s="72" t="s">
        <v>98</v>
      </c>
      <c r="D9" s="34" t="s">
        <v>98</v>
      </c>
    </row>
    <row r="10" spans="2:6" ht="15" x14ac:dyDescent="0.4">
      <c r="B10" s="56" t="s">
        <v>98</v>
      </c>
      <c r="C10" s="72" t="s">
        <v>98</v>
      </c>
      <c r="D10" s="34" t="s">
        <v>98</v>
      </c>
    </row>
    <row r="11" spans="2:6" x14ac:dyDescent="0.35">
      <c r="B11" s="56" t="s">
        <v>99</v>
      </c>
      <c r="C11" s="72" t="s">
        <v>98</v>
      </c>
      <c r="D11" s="34">
        <v>0</v>
      </c>
    </row>
    <row r="13" spans="2:6" ht="15" x14ac:dyDescent="0.4">
      <c r="B13" s="6"/>
      <c r="C13" s="54" t="s">
        <v>7</v>
      </c>
    </row>
    <row r="14" spans="2:6" x14ac:dyDescent="0.35">
      <c r="B14" s="55" t="s">
        <v>38</v>
      </c>
      <c r="C14" s="55" t="s">
        <v>117</v>
      </c>
      <c r="D14" s="55" t="s">
        <v>33</v>
      </c>
    </row>
    <row r="15" spans="2:6" ht="15" x14ac:dyDescent="0.4">
      <c r="B15" s="1" t="s">
        <v>41</v>
      </c>
      <c r="C15" s="72">
        <v>42165</v>
      </c>
      <c r="D15" s="34">
        <v>0.7</v>
      </c>
    </row>
    <row r="16" spans="2:6" ht="15" x14ac:dyDescent="0.4">
      <c r="B16" s="1" t="s">
        <v>43</v>
      </c>
      <c r="C16" s="72">
        <v>42313</v>
      </c>
      <c r="D16" s="34">
        <v>0</v>
      </c>
    </row>
    <row r="17" spans="2:4" ht="15" x14ac:dyDescent="0.4">
      <c r="B17" s="1"/>
      <c r="C17" s="76"/>
      <c r="D17" s="34"/>
    </row>
    <row r="18" spans="2:4" ht="15" x14ac:dyDescent="0.4">
      <c r="B18" s="1"/>
      <c r="C18" s="76"/>
      <c r="D18" s="34"/>
    </row>
    <row r="19" spans="2:4" ht="15" x14ac:dyDescent="0.4">
      <c r="B19" s="1"/>
      <c r="C19" s="76"/>
      <c r="D19" s="34"/>
    </row>
    <row r="20" spans="2:4" ht="15" x14ac:dyDescent="0.4">
      <c r="B20" s="1"/>
      <c r="C20" s="76"/>
      <c r="D20" s="34"/>
    </row>
    <row r="21" spans="2:4" ht="15" x14ac:dyDescent="0.4">
      <c r="B21" s="1"/>
      <c r="C21" s="76"/>
      <c r="D21" s="34"/>
    </row>
    <row r="22" spans="2:4" ht="15" x14ac:dyDescent="0.4">
      <c r="B22" s="1"/>
      <c r="C22" s="51"/>
      <c r="D22" s="34"/>
    </row>
    <row r="24" spans="2:4" ht="15" x14ac:dyDescent="0.4">
      <c r="B24" s="6"/>
      <c r="C24" s="54" t="s">
        <v>11</v>
      </c>
    </row>
    <row r="25" spans="2:4" x14ac:dyDescent="0.35">
      <c r="B25" s="55" t="s">
        <v>38</v>
      </c>
      <c r="C25" s="55" t="s">
        <v>117</v>
      </c>
      <c r="D25" s="55" t="s">
        <v>33</v>
      </c>
    </row>
    <row r="26" spans="2:4" ht="15" x14ac:dyDescent="0.4">
      <c r="B26" s="1" t="s">
        <v>40</v>
      </c>
      <c r="C26" s="75">
        <v>42144</v>
      </c>
      <c r="D26" s="34">
        <v>0.5</v>
      </c>
    </row>
    <row r="27" spans="2:4" ht="15" x14ac:dyDescent="0.4">
      <c r="B27" s="1" t="s">
        <v>42</v>
      </c>
      <c r="C27" s="75">
        <v>42170</v>
      </c>
      <c r="D27" s="34">
        <v>1</v>
      </c>
    </row>
    <row r="28" spans="2:4" ht="15" x14ac:dyDescent="0.4">
      <c r="B28" s="1" t="s">
        <v>44</v>
      </c>
      <c r="C28" s="75">
        <v>42218</v>
      </c>
      <c r="D28" s="34">
        <v>0.7</v>
      </c>
    </row>
    <row r="29" spans="2:4" ht="15" x14ac:dyDescent="0.4">
      <c r="B29" s="1" t="s">
        <v>45</v>
      </c>
      <c r="C29" s="75">
        <v>42239</v>
      </c>
      <c r="D29" s="34">
        <v>0</v>
      </c>
    </row>
    <row r="30" spans="2:4" ht="15" x14ac:dyDescent="0.4">
      <c r="B30" s="1"/>
      <c r="C30" s="76"/>
      <c r="D30" s="34"/>
    </row>
    <row r="31" spans="2:4" ht="15" x14ac:dyDescent="0.4">
      <c r="B31" s="1"/>
      <c r="C31" s="76"/>
      <c r="D31" s="34"/>
    </row>
    <row r="32" spans="2:4" ht="15" x14ac:dyDescent="0.4">
      <c r="B32" s="1"/>
      <c r="C32" s="76"/>
      <c r="D32" s="34"/>
    </row>
    <row r="33" spans="2:4" ht="15" x14ac:dyDescent="0.4">
      <c r="B33" s="1"/>
      <c r="C33" s="51"/>
      <c r="D33" s="34"/>
    </row>
    <row r="35" spans="2:4" ht="15" x14ac:dyDescent="0.4">
      <c r="B35" s="6"/>
      <c r="C35" s="54" t="s">
        <v>102</v>
      </c>
    </row>
    <row r="36" spans="2:4" x14ac:dyDescent="0.35">
      <c r="B36" s="55" t="s">
        <v>38</v>
      </c>
      <c r="C36" s="55" t="s">
        <v>117</v>
      </c>
      <c r="D36" s="55" t="s">
        <v>33</v>
      </c>
    </row>
    <row r="37" spans="2:4" ht="15" x14ac:dyDescent="0.4">
      <c r="B37" s="1" t="s">
        <v>105</v>
      </c>
      <c r="C37" s="75">
        <v>42050</v>
      </c>
      <c r="D37" s="34">
        <v>0.6</v>
      </c>
    </row>
    <row r="38" spans="2:4" ht="15" x14ac:dyDescent="0.4">
      <c r="B38" s="1" t="s">
        <v>106</v>
      </c>
      <c r="C38" s="75">
        <v>42073</v>
      </c>
      <c r="D38" s="34">
        <v>0.8</v>
      </c>
    </row>
    <row r="39" spans="2:4" ht="15" x14ac:dyDescent="0.4">
      <c r="B39" s="1" t="s">
        <v>109</v>
      </c>
      <c r="C39" s="75">
        <v>42104</v>
      </c>
      <c r="D39" s="34">
        <v>1</v>
      </c>
    </row>
    <row r="40" spans="2:4" ht="15" x14ac:dyDescent="0.4">
      <c r="B40" s="1" t="s">
        <v>107</v>
      </c>
      <c r="C40" s="75">
        <v>42119</v>
      </c>
      <c r="D40" s="34">
        <v>1.2</v>
      </c>
    </row>
    <row r="41" spans="2:4" ht="15" x14ac:dyDescent="0.4">
      <c r="B41" s="1" t="s">
        <v>99</v>
      </c>
      <c r="C41" s="75">
        <v>42144</v>
      </c>
      <c r="D41" s="34">
        <v>0</v>
      </c>
    </row>
    <row r="42" spans="2:4" ht="15" x14ac:dyDescent="0.4">
      <c r="B42" s="1"/>
      <c r="C42" s="72" t="s">
        <v>108</v>
      </c>
      <c r="D42" s="34"/>
    </row>
    <row r="43" spans="2:4" ht="15" x14ac:dyDescent="0.4">
      <c r="B43" s="1"/>
      <c r="C43" s="76"/>
      <c r="D43" s="34"/>
    </row>
    <row r="44" spans="2:4" ht="15" x14ac:dyDescent="0.4">
      <c r="B44" s="1"/>
      <c r="C44" s="51"/>
      <c r="D44" s="34"/>
    </row>
    <row r="46" spans="2:4" ht="15" x14ac:dyDescent="0.4">
      <c r="B46" s="6"/>
      <c r="C46" s="54" t="s">
        <v>101</v>
      </c>
    </row>
    <row r="47" spans="2:4" x14ac:dyDescent="0.35">
      <c r="B47" s="55" t="s">
        <v>38</v>
      </c>
      <c r="C47" s="55" t="s">
        <v>117</v>
      </c>
      <c r="D47" s="55" t="s">
        <v>33</v>
      </c>
    </row>
    <row r="48" spans="2:4" ht="15" x14ac:dyDescent="0.4">
      <c r="B48" s="1" t="s">
        <v>40</v>
      </c>
      <c r="C48" s="75" t="s">
        <v>108</v>
      </c>
      <c r="D48" s="34">
        <v>0.4</v>
      </c>
    </row>
    <row r="49" spans="2:4" ht="15" x14ac:dyDescent="0.4">
      <c r="B49" s="1" t="s">
        <v>103</v>
      </c>
      <c r="C49" s="75" t="s">
        <v>108</v>
      </c>
      <c r="D49" s="34">
        <v>0.7</v>
      </c>
    </row>
    <row r="50" spans="2:4" ht="15" x14ac:dyDescent="0.4">
      <c r="B50" s="1" t="s">
        <v>104</v>
      </c>
      <c r="C50" s="75" t="s">
        <v>108</v>
      </c>
      <c r="D50" s="34">
        <v>1</v>
      </c>
    </row>
    <row r="51" spans="2:4" ht="15" x14ac:dyDescent="0.4">
      <c r="B51" s="1" t="s">
        <v>99</v>
      </c>
      <c r="C51" s="75" t="s">
        <v>108</v>
      </c>
      <c r="D51" s="34">
        <v>0</v>
      </c>
    </row>
    <row r="52" spans="2:4" ht="15" x14ac:dyDescent="0.4">
      <c r="B52" s="1"/>
      <c r="C52" s="72"/>
      <c r="D52" s="34"/>
    </row>
    <row r="53" spans="2:4" ht="15" x14ac:dyDescent="0.4">
      <c r="B53" s="1"/>
      <c r="C53" s="76"/>
      <c r="D53" s="34"/>
    </row>
    <row r="54" spans="2:4" ht="15" x14ac:dyDescent="0.4">
      <c r="B54" s="1"/>
      <c r="C54" s="76"/>
      <c r="D54" s="34"/>
    </row>
    <row r="55" spans="2:4" ht="15" x14ac:dyDescent="0.4">
      <c r="B55" s="1"/>
      <c r="C55" s="51"/>
      <c r="D55" s="3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F620-A4F6-4B7B-AF95-305DBA1EEEEE}">
  <sheetPr codeName="Feuil5">
    <tabColor theme="5"/>
  </sheetPr>
  <dimension ref="A1:F2281"/>
  <sheetViews>
    <sheetView workbookViewId="0">
      <selection activeCell="A1401" sqref="A1401:XFD1401"/>
    </sheetView>
  </sheetViews>
  <sheetFormatPr baseColWidth="10" defaultColWidth="20.54296875" defaultRowHeight="14.5" x14ac:dyDescent="0.35"/>
  <sheetData>
    <row r="1" spans="1:6" x14ac:dyDescent="0.35">
      <c r="A1" t="s">
        <v>112</v>
      </c>
      <c r="C1" t="s">
        <v>113</v>
      </c>
      <c r="D1" t="s">
        <v>114</v>
      </c>
      <c r="E1" t="s">
        <v>115</v>
      </c>
      <c r="F1" t="s">
        <v>116</v>
      </c>
    </row>
    <row r="2" spans="1:6" x14ac:dyDescent="0.35">
      <c r="A2" s="8">
        <v>42050</v>
      </c>
      <c r="B2" s="71">
        <v>0</v>
      </c>
      <c r="C2">
        <v>6.4</v>
      </c>
      <c r="D2">
        <v>0</v>
      </c>
      <c r="E2">
        <v>0</v>
      </c>
      <c r="F2">
        <v>0</v>
      </c>
    </row>
    <row r="3" spans="1:6" x14ac:dyDescent="0.35">
      <c r="A3" s="8">
        <v>42050</v>
      </c>
      <c r="B3" s="71">
        <v>4.1666666666666664E-2</v>
      </c>
      <c r="C3">
        <v>5.8</v>
      </c>
      <c r="D3">
        <v>0</v>
      </c>
      <c r="E3">
        <v>0</v>
      </c>
      <c r="F3">
        <v>0</v>
      </c>
    </row>
    <row r="4" spans="1:6" x14ac:dyDescent="0.35">
      <c r="A4" s="8">
        <v>42050</v>
      </c>
      <c r="B4" s="71">
        <v>8.3333333333333329E-2</v>
      </c>
      <c r="C4">
        <v>5.7</v>
      </c>
      <c r="D4">
        <v>0</v>
      </c>
      <c r="E4">
        <v>0</v>
      </c>
      <c r="F4">
        <v>0</v>
      </c>
    </row>
    <row r="5" spans="1:6" x14ac:dyDescent="0.35">
      <c r="A5" s="8">
        <v>42050</v>
      </c>
      <c r="B5" s="71">
        <v>0.125</v>
      </c>
      <c r="C5">
        <v>5.0999999999999996</v>
      </c>
      <c r="D5">
        <v>0</v>
      </c>
      <c r="E5">
        <v>0</v>
      </c>
      <c r="F5">
        <v>0</v>
      </c>
    </row>
    <row r="6" spans="1:6" x14ac:dyDescent="0.35">
      <c r="A6" s="8">
        <v>42050</v>
      </c>
      <c r="B6" s="71">
        <v>0.16666666666666666</v>
      </c>
      <c r="C6">
        <v>4.5</v>
      </c>
      <c r="D6">
        <v>0</v>
      </c>
      <c r="E6">
        <v>0</v>
      </c>
      <c r="F6">
        <v>0</v>
      </c>
    </row>
    <row r="7" spans="1:6" x14ac:dyDescent="0.35">
      <c r="A7" s="8">
        <v>42050</v>
      </c>
      <c r="B7" s="71">
        <v>0.20833333333333334</v>
      </c>
      <c r="C7">
        <v>4.7</v>
      </c>
      <c r="D7">
        <v>0</v>
      </c>
      <c r="E7">
        <v>0</v>
      </c>
      <c r="F7">
        <v>0</v>
      </c>
    </row>
    <row r="8" spans="1:6" x14ac:dyDescent="0.35">
      <c r="A8" s="8">
        <v>42050</v>
      </c>
      <c r="B8" s="71">
        <v>0.25</v>
      </c>
      <c r="C8">
        <v>5.6</v>
      </c>
      <c r="D8">
        <v>0</v>
      </c>
      <c r="E8">
        <v>0</v>
      </c>
      <c r="F8">
        <v>0</v>
      </c>
    </row>
    <row r="9" spans="1:6" x14ac:dyDescent="0.35">
      <c r="A9" s="8">
        <v>42050</v>
      </c>
      <c r="B9" s="71">
        <v>0.29166666666666669</v>
      </c>
      <c r="C9">
        <v>5</v>
      </c>
      <c r="D9">
        <v>0</v>
      </c>
      <c r="E9">
        <v>0</v>
      </c>
      <c r="F9">
        <v>0</v>
      </c>
    </row>
    <row r="10" spans="1:6" x14ac:dyDescent="0.35">
      <c r="A10" s="8">
        <v>42050</v>
      </c>
      <c r="B10" s="71">
        <v>0.33333333333333331</v>
      </c>
      <c r="C10">
        <v>3.7</v>
      </c>
      <c r="D10">
        <v>0</v>
      </c>
      <c r="E10">
        <v>0</v>
      </c>
      <c r="F10">
        <v>0</v>
      </c>
    </row>
    <row r="11" spans="1:6" x14ac:dyDescent="0.35">
      <c r="A11" s="8">
        <v>42050</v>
      </c>
      <c r="B11" s="71">
        <v>0.375</v>
      </c>
      <c r="C11">
        <v>3.1</v>
      </c>
      <c r="D11">
        <v>0</v>
      </c>
      <c r="E11">
        <v>0</v>
      </c>
      <c r="F11">
        <v>0</v>
      </c>
    </row>
    <row r="12" spans="1:6" x14ac:dyDescent="0.35">
      <c r="A12" s="8">
        <v>42050</v>
      </c>
      <c r="B12" s="71">
        <v>0.41666666666666669</v>
      </c>
      <c r="C12">
        <v>3.7</v>
      </c>
      <c r="D12">
        <v>0</v>
      </c>
      <c r="E12">
        <v>13</v>
      </c>
      <c r="F12">
        <v>18</v>
      </c>
    </row>
    <row r="13" spans="1:6" x14ac:dyDescent="0.35">
      <c r="A13" s="8">
        <v>42050</v>
      </c>
      <c r="B13" s="71">
        <v>0.45833333333333331</v>
      </c>
      <c r="C13">
        <v>6.2</v>
      </c>
      <c r="D13">
        <v>0</v>
      </c>
      <c r="E13">
        <v>76</v>
      </c>
      <c r="F13">
        <v>75</v>
      </c>
    </row>
    <row r="14" spans="1:6" x14ac:dyDescent="0.35">
      <c r="A14" s="8">
        <v>42050</v>
      </c>
      <c r="B14" s="71">
        <v>0.5</v>
      </c>
      <c r="C14">
        <v>6.8</v>
      </c>
      <c r="D14">
        <v>0</v>
      </c>
      <c r="E14">
        <v>125</v>
      </c>
      <c r="F14">
        <v>128</v>
      </c>
    </row>
    <row r="15" spans="1:6" x14ac:dyDescent="0.35">
      <c r="A15" s="8">
        <v>42050</v>
      </c>
      <c r="B15" s="71">
        <v>0.54166666666666663</v>
      </c>
      <c r="C15">
        <v>7.6</v>
      </c>
      <c r="D15">
        <v>0</v>
      </c>
      <c r="E15">
        <v>224</v>
      </c>
      <c r="F15">
        <v>149</v>
      </c>
    </row>
    <row r="16" spans="1:6" x14ac:dyDescent="0.35">
      <c r="A16" s="8">
        <v>42050</v>
      </c>
      <c r="B16" s="71">
        <v>0.58333333333333337</v>
      </c>
      <c r="C16">
        <v>8</v>
      </c>
      <c r="D16">
        <v>0</v>
      </c>
      <c r="E16">
        <v>244</v>
      </c>
      <c r="F16">
        <v>163</v>
      </c>
    </row>
    <row r="17" spans="1:6" x14ac:dyDescent="0.35">
      <c r="A17" s="8">
        <v>42050</v>
      </c>
      <c r="B17" s="71">
        <v>0.625</v>
      </c>
      <c r="C17">
        <v>8.1</v>
      </c>
      <c r="D17">
        <v>0</v>
      </c>
      <c r="E17">
        <v>246</v>
      </c>
      <c r="F17">
        <v>145</v>
      </c>
    </row>
    <row r="18" spans="1:6" x14ac:dyDescent="0.35">
      <c r="A18" s="8">
        <v>42050</v>
      </c>
      <c r="B18" s="71">
        <v>0.66666666666666663</v>
      </c>
      <c r="C18">
        <v>8.1999999999999993</v>
      </c>
      <c r="D18">
        <v>0</v>
      </c>
      <c r="E18">
        <v>223</v>
      </c>
      <c r="F18">
        <v>145</v>
      </c>
    </row>
    <row r="19" spans="1:6" x14ac:dyDescent="0.35">
      <c r="A19" s="8">
        <v>42050</v>
      </c>
      <c r="B19" s="71">
        <v>0.70833333333333337</v>
      </c>
      <c r="C19">
        <v>8</v>
      </c>
      <c r="D19">
        <v>0</v>
      </c>
      <c r="E19">
        <v>148</v>
      </c>
      <c r="F19">
        <v>143</v>
      </c>
    </row>
    <row r="20" spans="1:6" x14ac:dyDescent="0.35">
      <c r="A20" s="8">
        <v>42050</v>
      </c>
      <c r="B20" s="71">
        <v>0.75</v>
      </c>
      <c r="C20">
        <v>7.7</v>
      </c>
      <c r="D20">
        <v>0</v>
      </c>
      <c r="E20">
        <v>39</v>
      </c>
      <c r="F20">
        <v>107</v>
      </c>
    </row>
    <row r="21" spans="1:6" x14ac:dyDescent="0.35">
      <c r="A21" s="8">
        <v>42050</v>
      </c>
      <c r="B21" s="71">
        <v>0.79166666666666663</v>
      </c>
      <c r="C21">
        <v>7.1</v>
      </c>
      <c r="D21">
        <v>0</v>
      </c>
      <c r="E21">
        <v>0</v>
      </c>
      <c r="F21">
        <v>48</v>
      </c>
    </row>
    <row r="22" spans="1:6" x14ac:dyDescent="0.35">
      <c r="A22" s="8">
        <v>42050</v>
      </c>
      <c r="B22" s="71">
        <v>0.83333333333333337</v>
      </c>
      <c r="C22">
        <v>6.7</v>
      </c>
      <c r="D22">
        <v>0</v>
      </c>
      <c r="E22">
        <v>0</v>
      </c>
      <c r="F22">
        <v>3</v>
      </c>
    </row>
    <row r="23" spans="1:6" x14ac:dyDescent="0.35">
      <c r="A23" s="8">
        <v>42050</v>
      </c>
      <c r="B23" s="71">
        <v>0.875</v>
      </c>
      <c r="C23">
        <v>7.2</v>
      </c>
      <c r="D23">
        <v>0</v>
      </c>
      <c r="E23">
        <v>0</v>
      </c>
      <c r="F23">
        <v>0</v>
      </c>
    </row>
    <row r="24" spans="1:6" x14ac:dyDescent="0.35">
      <c r="A24" s="8">
        <v>42050</v>
      </c>
      <c r="B24" s="71">
        <v>0.91666666666666663</v>
      </c>
      <c r="C24">
        <v>6.8</v>
      </c>
      <c r="D24">
        <v>0</v>
      </c>
      <c r="E24">
        <v>0</v>
      </c>
      <c r="F24">
        <v>0</v>
      </c>
    </row>
    <row r="25" spans="1:6" x14ac:dyDescent="0.35">
      <c r="A25" s="8">
        <v>42050</v>
      </c>
      <c r="B25" s="71">
        <v>0.95833333333333337</v>
      </c>
      <c r="C25">
        <v>6.5</v>
      </c>
      <c r="D25">
        <v>0</v>
      </c>
      <c r="E25">
        <v>0</v>
      </c>
      <c r="F25">
        <v>0</v>
      </c>
    </row>
    <row r="26" spans="1:6" x14ac:dyDescent="0.35">
      <c r="A26" s="8">
        <v>42051</v>
      </c>
      <c r="B26" s="71">
        <v>0</v>
      </c>
      <c r="C26">
        <v>5.9</v>
      </c>
      <c r="D26">
        <v>0</v>
      </c>
      <c r="E26">
        <v>0</v>
      </c>
      <c r="F26">
        <v>0</v>
      </c>
    </row>
    <row r="27" spans="1:6" x14ac:dyDescent="0.35">
      <c r="A27" s="8">
        <v>42051</v>
      </c>
      <c r="B27" s="71">
        <v>4.1666666666666664E-2</v>
      </c>
      <c r="C27">
        <v>5.4</v>
      </c>
      <c r="D27">
        <v>0</v>
      </c>
      <c r="E27">
        <v>0</v>
      </c>
      <c r="F27">
        <v>0</v>
      </c>
    </row>
    <row r="28" spans="1:6" x14ac:dyDescent="0.35">
      <c r="A28" s="8">
        <v>42051</v>
      </c>
      <c r="B28" s="71">
        <v>8.3333333333333329E-2</v>
      </c>
      <c r="C28">
        <v>4.7</v>
      </c>
      <c r="D28">
        <v>0</v>
      </c>
      <c r="E28">
        <v>0</v>
      </c>
      <c r="F28">
        <v>0</v>
      </c>
    </row>
    <row r="29" spans="1:6" x14ac:dyDescent="0.35">
      <c r="A29" s="8">
        <v>42051</v>
      </c>
      <c r="B29" s="71">
        <v>0.125</v>
      </c>
      <c r="C29">
        <v>3.7</v>
      </c>
      <c r="D29">
        <v>0</v>
      </c>
      <c r="E29">
        <v>0</v>
      </c>
      <c r="F29">
        <v>0</v>
      </c>
    </row>
    <row r="30" spans="1:6" x14ac:dyDescent="0.35">
      <c r="A30" s="8">
        <v>42051</v>
      </c>
      <c r="B30" s="71">
        <v>0.16666666666666666</v>
      </c>
      <c r="C30">
        <v>3.3</v>
      </c>
      <c r="D30">
        <v>0</v>
      </c>
      <c r="E30">
        <v>0</v>
      </c>
      <c r="F30">
        <v>0</v>
      </c>
    </row>
    <row r="31" spans="1:6" x14ac:dyDescent="0.35">
      <c r="A31" s="8">
        <v>42051</v>
      </c>
      <c r="B31" s="71">
        <v>0.20833333333333334</v>
      </c>
      <c r="C31">
        <v>3.4</v>
      </c>
      <c r="D31">
        <v>0</v>
      </c>
      <c r="E31">
        <v>0</v>
      </c>
      <c r="F31">
        <v>0</v>
      </c>
    </row>
    <row r="32" spans="1:6" x14ac:dyDescent="0.35">
      <c r="A32" s="8">
        <v>42051</v>
      </c>
      <c r="B32" s="71">
        <v>0.25</v>
      </c>
      <c r="C32">
        <v>3.1</v>
      </c>
      <c r="D32">
        <v>0</v>
      </c>
      <c r="E32">
        <v>0</v>
      </c>
      <c r="F32">
        <v>0</v>
      </c>
    </row>
    <row r="33" spans="1:6" x14ac:dyDescent="0.35">
      <c r="A33" s="8">
        <v>42051</v>
      </c>
      <c r="B33" s="71">
        <v>0.29166666666666669</v>
      </c>
      <c r="C33">
        <v>3.2</v>
      </c>
      <c r="D33">
        <v>0</v>
      </c>
      <c r="E33">
        <v>0</v>
      </c>
      <c r="F33">
        <v>0</v>
      </c>
    </row>
    <row r="34" spans="1:6" x14ac:dyDescent="0.35">
      <c r="A34" s="8">
        <v>42051</v>
      </c>
      <c r="B34" s="71">
        <v>0.33333333333333331</v>
      </c>
      <c r="C34">
        <v>2.8</v>
      </c>
      <c r="D34">
        <v>0</v>
      </c>
      <c r="E34">
        <v>0</v>
      </c>
      <c r="F34">
        <v>0</v>
      </c>
    </row>
    <row r="35" spans="1:6" x14ac:dyDescent="0.35">
      <c r="A35" s="8">
        <v>42051</v>
      </c>
      <c r="B35" s="71">
        <v>0.375</v>
      </c>
      <c r="C35">
        <v>1.9</v>
      </c>
      <c r="D35">
        <v>0</v>
      </c>
      <c r="E35">
        <v>0</v>
      </c>
      <c r="F35">
        <v>0</v>
      </c>
    </row>
    <row r="36" spans="1:6" x14ac:dyDescent="0.35">
      <c r="A36" s="8">
        <v>42051</v>
      </c>
      <c r="B36" s="71">
        <v>0.41666666666666669</v>
      </c>
      <c r="C36">
        <v>2.5</v>
      </c>
      <c r="D36">
        <v>0</v>
      </c>
      <c r="E36">
        <v>15</v>
      </c>
      <c r="F36">
        <v>19</v>
      </c>
    </row>
    <row r="37" spans="1:6" x14ac:dyDescent="0.35">
      <c r="A37" s="8">
        <v>42051</v>
      </c>
      <c r="B37" s="71">
        <v>0.45833333333333331</v>
      </c>
      <c r="C37">
        <v>5.6</v>
      </c>
      <c r="D37">
        <v>0</v>
      </c>
      <c r="E37">
        <v>77</v>
      </c>
      <c r="F37">
        <v>71</v>
      </c>
    </row>
    <row r="38" spans="1:6" x14ac:dyDescent="0.35">
      <c r="A38" s="8">
        <v>42051</v>
      </c>
      <c r="B38" s="71">
        <v>0.5</v>
      </c>
      <c r="C38">
        <v>8</v>
      </c>
      <c r="D38">
        <v>0</v>
      </c>
      <c r="E38">
        <v>151</v>
      </c>
      <c r="F38">
        <v>104</v>
      </c>
    </row>
    <row r="39" spans="1:6" x14ac:dyDescent="0.35">
      <c r="A39" s="8">
        <v>42051</v>
      </c>
      <c r="B39" s="71">
        <v>0.54166666666666663</v>
      </c>
      <c r="C39">
        <v>9.8000000000000007</v>
      </c>
      <c r="D39">
        <v>0</v>
      </c>
      <c r="E39">
        <v>240</v>
      </c>
      <c r="F39">
        <v>144</v>
      </c>
    </row>
    <row r="40" spans="1:6" x14ac:dyDescent="0.35">
      <c r="A40" s="8">
        <v>42051</v>
      </c>
      <c r="B40" s="71">
        <v>0.58333333333333337</v>
      </c>
      <c r="C40">
        <v>10.6</v>
      </c>
      <c r="D40">
        <v>0</v>
      </c>
      <c r="E40">
        <v>210</v>
      </c>
      <c r="F40">
        <v>205</v>
      </c>
    </row>
    <row r="41" spans="1:6" x14ac:dyDescent="0.35">
      <c r="A41" s="8">
        <v>42051</v>
      </c>
      <c r="B41" s="71">
        <v>0.625</v>
      </c>
      <c r="C41">
        <v>11.4</v>
      </c>
      <c r="D41">
        <v>0</v>
      </c>
      <c r="E41">
        <v>343</v>
      </c>
      <c r="F41">
        <v>167</v>
      </c>
    </row>
    <row r="42" spans="1:6" x14ac:dyDescent="0.35">
      <c r="A42" s="8">
        <v>42051</v>
      </c>
      <c r="B42" s="71">
        <v>0.66666666666666663</v>
      </c>
      <c r="C42">
        <v>11.8</v>
      </c>
      <c r="D42">
        <v>0</v>
      </c>
      <c r="E42">
        <v>284</v>
      </c>
      <c r="F42">
        <v>167</v>
      </c>
    </row>
    <row r="43" spans="1:6" x14ac:dyDescent="0.35">
      <c r="A43" s="8">
        <v>42051</v>
      </c>
      <c r="B43" s="71">
        <v>0.70833333333333337</v>
      </c>
      <c r="C43">
        <v>11.9</v>
      </c>
      <c r="D43">
        <v>0</v>
      </c>
      <c r="E43">
        <v>167</v>
      </c>
      <c r="F43">
        <v>175</v>
      </c>
    </row>
    <row r="44" spans="1:6" x14ac:dyDescent="0.35">
      <c r="A44" s="8">
        <v>42051</v>
      </c>
      <c r="B44" s="71">
        <v>0.75</v>
      </c>
      <c r="C44">
        <v>11.6</v>
      </c>
      <c r="D44">
        <v>0</v>
      </c>
      <c r="E44">
        <v>55</v>
      </c>
      <c r="F44">
        <v>127</v>
      </c>
    </row>
    <row r="45" spans="1:6" x14ac:dyDescent="0.35">
      <c r="A45" s="8">
        <v>42051</v>
      </c>
      <c r="B45" s="71">
        <v>0.79166666666666663</v>
      </c>
      <c r="C45">
        <v>10.5</v>
      </c>
      <c r="D45">
        <v>0</v>
      </c>
      <c r="E45">
        <v>7</v>
      </c>
      <c r="F45">
        <v>47</v>
      </c>
    </row>
    <row r="46" spans="1:6" x14ac:dyDescent="0.35">
      <c r="A46" s="8">
        <v>42051</v>
      </c>
      <c r="B46" s="71">
        <v>0.83333333333333337</v>
      </c>
      <c r="C46">
        <v>9.1999999999999993</v>
      </c>
      <c r="D46">
        <v>0</v>
      </c>
      <c r="E46">
        <v>0</v>
      </c>
      <c r="F46">
        <v>4</v>
      </c>
    </row>
    <row r="47" spans="1:6" x14ac:dyDescent="0.35">
      <c r="A47" s="8">
        <v>42051</v>
      </c>
      <c r="B47" s="71">
        <v>0.875</v>
      </c>
      <c r="C47">
        <v>8.5</v>
      </c>
      <c r="D47">
        <v>1</v>
      </c>
      <c r="E47">
        <v>0</v>
      </c>
      <c r="F47">
        <v>0</v>
      </c>
    </row>
    <row r="48" spans="1:6" x14ac:dyDescent="0.35">
      <c r="A48" s="8">
        <v>42051</v>
      </c>
      <c r="B48" s="71">
        <v>0.91666666666666663</v>
      </c>
      <c r="C48">
        <v>8.1999999999999993</v>
      </c>
      <c r="D48">
        <v>1.6</v>
      </c>
      <c r="E48">
        <v>0</v>
      </c>
      <c r="F48">
        <v>0</v>
      </c>
    </row>
    <row r="49" spans="1:6" x14ac:dyDescent="0.35">
      <c r="A49" s="8">
        <v>42051</v>
      </c>
      <c r="B49" s="71">
        <v>0.95833333333333337</v>
      </c>
      <c r="C49">
        <v>8.1</v>
      </c>
      <c r="D49">
        <v>1.4</v>
      </c>
      <c r="E49">
        <v>0</v>
      </c>
      <c r="F49">
        <v>0</v>
      </c>
    </row>
    <row r="50" spans="1:6" x14ac:dyDescent="0.35">
      <c r="A50" s="8">
        <v>42052</v>
      </c>
      <c r="B50" s="71">
        <v>0</v>
      </c>
      <c r="C50">
        <v>8.1999999999999993</v>
      </c>
      <c r="D50">
        <v>0.9</v>
      </c>
      <c r="E50">
        <v>0</v>
      </c>
      <c r="F50">
        <v>0</v>
      </c>
    </row>
    <row r="51" spans="1:6" x14ac:dyDescent="0.35">
      <c r="A51" s="8">
        <v>42052</v>
      </c>
      <c r="B51" s="71">
        <v>4.1666666666666664E-2</v>
      </c>
      <c r="C51">
        <v>8</v>
      </c>
      <c r="D51">
        <v>0.2</v>
      </c>
      <c r="E51">
        <v>0</v>
      </c>
      <c r="F51">
        <v>0</v>
      </c>
    </row>
    <row r="52" spans="1:6" x14ac:dyDescent="0.35">
      <c r="A52" s="8">
        <v>42052</v>
      </c>
      <c r="B52" s="71">
        <v>8.3333333333333329E-2</v>
      </c>
      <c r="C52">
        <v>7.8</v>
      </c>
      <c r="D52">
        <v>0</v>
      </c>
      <c r="E52">
        <v>0</v>
      </c>
      <c r="F52">
        <v>0</v>
      </c>
    </row>
    <row r="53" spans="1:6" x14ac:dyDescent="0.35">
      <c r="A53" s="8">
        <v>42052</v>
      </c>
      <c r="B53" s="71">
        <v>0.125</v>
      </c>
      <c r="C53">
        <v>7.4</v>
      </c>
      <c r="D53">
        <v>0</v>
      </c>
      <c r="E53">
        <v>0</v>
      </c>
      <c r="F53">
        <v>0</v>
      </c>
    </row>
    <row r="54" spans="1:6" x14ac:dyDescent="0.35">
      <c r="A54" s="8">
        <v>42052</v>
      </c>
      <c r="B54" s="71">
        <v>0.16666666666666666</v>
      </c>
      <c r="C54">
        <v>7.2</v>
      </c>
      <c r="D54">
        <v>0</v>
      </c>
      <c r="E54">
        <v>0</v>
      </c>
      <c r="F54">
        <v>0</v>
      </c>
    </row>
    <row r="55" spans="1:6" x14ac:dyDescent="0.35">
      <c r="A55" s="8">
        <v>42052</v>
      </c>
      <c r="B55" s="71">
        <v>0.20833333333333334</v>
      </c>
      <c r="C55">
        <v>7</v>
      </c>
      <c r="D55">
        <v>0</v>
      </c>
      <c r="E55">
        <v>0</v>
      </c>
      <c r="F55">
        <v>0</v>
      </c>
    </row>
    <row r="56" spans="1:6" x14ac:dyDescent="0.35">
      <c r="A56" s="8">
        <v>42052</v>
      </c>
      <c r="B56" s="71">
        <v>0.25</v>
      </c>
      <c r="C56">
        <v>6.9</v>
      </c>
      <c r="D56">
        <v>0</v>
      </c>
      <c r="E56">
        <v>0</v>
      </c>
      <c r="F56">
        <v>0</v>
      </c>
    </row>
    <row r="57" spans="1:6" x14ac:dyDescent="0.35">
      <c r="A57" s="8">
        <v>42052</v>
      </c>
      <c r="B57" s="71">
        <v>0.29166666666666669</v>
      </c>
      <c r="C57">
        <v>6.6</v>
      </c>
      <c r="D57">
        <v>0.1</v>
      </c>
      <c r="E57">
        <v>0</v>
      </c>
      <c r="F57">
        <v>0</v>
      </c>
    </row>
    <row r="58" spans="1:6" x14ac:dyDescent="0.35">
      <c r="A58" s="8">
        <v>42052</v>
      </c>
      <c r="B58" s="71">
        <v>0.33333333333333331</v>
      </c>
      <c r="C58">
        <v>6.6</v>
      </c>
      <c r="D58">
        <v>0.1</v>
      </c>
      <c r="E58">
        <v>0</v>
      </c>
      <c r="F58">
        <v>0</v>
      </c>
    </row>
    <row r="59" spans="1:6" x14ac:dyDescent="0.35">
      <c r="A59" s="8">
        <v>42052</v>
      </c>
      <c r="B59" s="71">
        <v>0.375</v>
      </c>
      <c r="C59">
        <v>6.3</v>
      </c>
      <c r="D59">
        <v>0.1</v>
      </c>
      <c r="E59">
        <v>0</v>
      </c>
      <c r="F59">
        <v>0</v>
      </c>
    </row>
    <row r="60" spans="1:6" x14ac:dyDescent="0.35">
      <c r="A60" s="8">
        <v>42052</v>
      </c>
      <c r="B60" s="71">
        <v>0.41666666666666669</v>
      </c>
      <c r="C60">
        <v>6.3</v>
      </c>
      <c r="D60">
        <v>0</v>
      </c>
      <c r="E60">
        <v>0</v>
      </c>
      <c r="F60">
        <v>11</v>
      </c>
    </row>
    <row r="61" spans="1:6" x14ac:dyDescent="0.35">
      <c r="A61" s="8">
        <v>42052</v>
      </c>
      <c r="B61" s="71">
        <v>0.45833333333333331</v>
      </c>
      <c r="C61">
        <v>6.7</v>
      </c>
      <c r="D61">
        <v>0</v>
      </c>
      <c r="E61">
        <v>16</v>
      </c>
      <c r="F61">
        <v>52</v>
      </c>
    </row>
    <row r="62" spans="1:6" x14ac:dyDescent="0.35">
      <c r="A62" s="8">
        <v>42052</v>
      </c>
      <c r="B62" s="71">
        <v>0.5</v>
      </c>
      <c r="C62">
        <v>7.8</v>
      </c>
      <c r="D62">
        <v>0</v>
      </c>
      <c r="E62">
        <v>86</v>
      </c>
      <c r="F62">
        <v>113</v>
      </c>
    </row>
    <row r="63" spans="1:6" x14ac:dyDescent="0.35">
      <c r="A63" s="8">
        <v>42052</v>
      </c>
      <c r="B63" s="71">
        <v>0.54166666666666663</v>
      </c>
      <c r="C63">
        <v>8.9</v>
      </c>
      <c r="D63">
        <v>0</v>
      </c>
      <c r="E63">
        <v>102</v>
      </c>
      <c r="F63">
        <v>199</v>
      </c>
    </row>
    <row r="64" spans="1:6" x14ac:dyDescent="0.35">
      <c r="A64" s="8">
        <v>42052</v>
      </c>
      <c r="B64" s="71">
        <v>0.58333333333333337</v>
      </c>
      <c r="C64">
        <v>9.5</v>
      </c>
      <c r="D64">
        <v>0</v>
      </c>
      <c r="E64">
        <v>53</v>
      </c>
      <c r="F64">
        <v>241</v>
      </c>
    </row>
    <row r="65" spans="1:6" x14ac:dyDescent="0.35">
      <c r="A65" s="8">
        <v>42052</v>
      </c>
      <c r="B65" s="71">
        <v>0.625</v>
      </c>
      <c r="C65">
        <v>9.4</v>
      </c>
      <c r="D65">
        <v>0</v>
      </c>
      <c r="E65">
        <v>13</v>
      </c>
      <c r="F65">
        <v>232</v>
      </c>
    </row>
    <row r="66" spans="1:6" x14ac:dyDescent="0.35">
      <c r="A66" s="8">
        <v>42052</v>
      </c>
      <c r="B66" s="71">
        <v>0.66666666666666663</v>
      </c>
      <c r="C66">
        <v>9.1</v>
      </c>
      <c r="D66">
        <v>0</v>
      </c>
      <c r="E66">
        <v>17</v>
      </c>
      <c r="F66">
        <v>170</v>
      </c>
    </row>
    <row r="67" spans="1:6" x14ac:dyDescent="0.35">
      <c r="A67" s="8">
        <v>42052</v>
      </c>
      <c r="B67" s="71">
        <v>0.70833333333333337</v>
      </c>
      <c r="C67">
        <v>8.9</v>
      </c>
      <c r="D67">
        <v>0</v>
      </c>
      <c r="E67">
        <v>30</v>
      </c>
      <c r="F67">
        <v>139</v>
      </c>
    </row>
    <row r="68" spans="1:6" x14ac:dyDescent="0.35">
      <c r="A68" s="8">
        <v>42052</v>
      </c>
      <c r="B68" s="71">
        <v>0.75</v>
      </c>
      <c r="C68">
        <v>8.6</v>
      </c>
      <c r="D68">
        <v>0</v>
      </c>
      <c r="E68">
        <v>28</v>
      </c>
      <c r="F68">
        <v>103</v>
      </c>
    </row>
    <row r="69" spans="1:6" x14ac:dyDescent="0.35">
      <c r="A69" s="8">
        <v>42052</v>
      </c>
      <c r="B69" s="71">
        <v>0.79166666666666663</v>
      </c>
      <c r="C69">
        <v>8.1999999999999993</v>
      </c>
      <c r="D69">
        <v>0</v>
      </c>
      <c r="E69">
        <v>31</v>
      </c>
      <c r="F69">
        <v>46</v>
      </c>
    </row>
    <row r="70" spans="1:6" x14ac:dyDescent="0.35">
      <c r="A70" s="8">
        <v>42052</v>
      </c>
      <c r="B70" s="71">
        <v>0.83333333333333337</v>
      </c>
      <c r="C70">
        <v>7.7</v>
      </c>
      <c r="D70">
        <v>0</v>
      </c>
      <c r="E70">
        <v>0</v>
      </c>
      <c r="F70">
        <v>5</v>
      </c>
    </row>
    <row r="71" spans="1:6" x14ac:dyDescent="0.35">
      <c r="A71" s="8">
        <v>42052</v>
      </c>
      <c r="B71" s="71">
        <v>0.875</v>
      </c>
      <c r="C71">
        <v>7.7</v>
      </c>
      <c r="D71">
        <v>0</v>
      </c>
      <c r="E71">
        <v>0</v>
      </c>
      <c r="F71">
        <v>0</v>
      </c>
    </row>
    <row r="72" spans="1:6" x14ac:dyDescent="0.35">
      <c r="A72" s="8">
        <v>42052</v>
      </c>
      <c r="B72" s="71">
        <v>0.91666666666666663</v>
      </c>
      <c r="C72">
        <v>7.6</v>
      </c>
      <c r="D72">
        <v>0</v>
      </c>
      <c r="E72">
        <v>0</v>
      </c>
      <c r="F72">
        <v>0</v>
      </c>
    </row>
    <row r="73" spans="1:6" x14ac:dyDescent="0.35">
      <c r="A73" s="8">
        <v>42052</v>
      </c>
      <c r="B73" s="71">
        <v>0.95833333333333337</v>
      </c>
      <c r="C73">
        <v>7.4</v>
      </c>
      <c r="D73">
        <v>0</v>
      </c>
      <c r="E73">
        <v>0</v>
      </c>
      <c r="F73">
        <v>0</v>
      </c>
    </row>
    <row r="74" spans="1:6" x14ac:dyDescent="0.35">
      <c r="A74" s="8">
        <v>42053</v>
      </c>
      <c r="B74" s="71">
        <v>0</v>
      </c>
      <c r="C74">
        <v>7.3</v>
      </c>
      <c r="D74">
        <v>0</v>
      </c>
      <c r="E74">
        <v>0</v>
      </c>
      <c r="F74">
        <v>0</v>
      </c>
    </row>
    <row r="75" spans="1:6" x14ac:dyDescent="0.35">
      <c r="A75" s="8">
        <v>42053</v>
      </c>
      <c r="B75" s="71">
        <v>4.1666666666666664E-2</v>
      </c>
      <c r="C75">
        <v>7.3</v>
      </c>
      <c r="D75">
        <v>0</v>
      </c>
      <c r="E75">
        <v>0</v>
      </c>
      <c r="F75">
        <v>0</v>
      </c>
    </row>
    <row r="76" spans="1:6" x14ac:dyDescent="0.35">
      <c r="A76" s="8">
        <v>42053</v>
      </c>
      <c r="B76" s="71">
        <v>8.3333333333333329E-2</v>
      </c>
      <c r="C76">
        <v>6.9</v>
      </c>
      <c r="D76">
        <v>0</v>
      </c>
      <c r="E76">
        <v>0</v>
      </c>
      <c r="F76">
        <v>0</v>
      </c>
    </row>
    <row r="77" spans="1:6" x14ac:dyDescent="0.35">
      <c r="A77" s="8">
        <v>42053</v>
      </c>
      <c r="B77" s="71">
        <v>0.125</v>
      </c>
      <c r="C77">
        <v>6.7</v>
      </c>
      <c r="D77">
        <v>0</v>
      </c>
      <c r="E77">
        <v>0</v>
      </c>
      <c r="F77">
        <v>0</v>
      </c>
    </row>
    <row r="78" spans="1:6" x14ac:dyDescent="0.35">
      <c r="A78" s="8">
        <v>42053</v>
      </c>
      <c r="B78" s="71">
        <v>0.16666666666666666</v>
      </c>
      <c r="C78">
        <v>6.2</v>
      </c>
      <c r="D78">
        <v>0</v>
      </c>
      <c r="E78">
        <v>0</v>
      </c>
      <c r="F78">
        <v>0</v>
      </c>
    </row>
    <row r="79" spans="1:6" x14ac:dyDescent="0.35">
      <c r="A79" s="8">
        <v>42053</v>
      </c>
      <c r="B79" s="71">
        <v>0.20833333333333334</v>
      </c>
      <c r="C79">
        <v>5.9</v>
      </c>
      <c r="D79">
        <v>0</v>
      </c>
      <c r="E79">
        <v>0</v>
      </c>
      <c r="F79">
        <v>0</v>
      </c>
    </row>
    <row r="80" spans="1:6" x14ac:dyDescent="0.35">
      <c r="A80" s="8">
        <v>42053</v>
      </c>
      <c r="B80" s="71">
        <v>0.25</v>
      </c>
      <c r="C80">
        <v>5.8</v>
      </c>
      <c r="D80">
        <v>0</v>
      </c>
      <c r="E80">
        <v>0</v>
      </c>
      <c r="F80">
        <v>0</v>
      </c>
    </row>
    <row r="81" spans="1:6" x14ac:dyDescent="0.35">
      <c r="A81" s="8">
        <v>42053</v>
      </c>
      <c r="B81" s="71">
        <v>0.29166666666666669</v>
      </c>
      <c r="C81">
        <v>5.4</v>
      </c>
      <c r="D81">
        <v>0</v>
      </c>
      <c r="E81">
        <v>0</v>
      </c>
      <c r="F81">
        <v>0</v>
      </c>
    </row>
    <row r="82" spans="1:6" x14ac:dyDescent="0.35">
      <c r="A82" s="8">
        <v>42053</v>
      </c>
      <c r="B82" s="71">
        <v>0.33333333333333331</v>
      </c>
      <c r="C82">
        <v>5.3</v>
      </c>
      <c r="D82">
        <v>0</v>
      </c>
      <c r="E82">
        <v>0</v>
      </c>
      <c r="F82">
        <v>0</v>
      </c>
    </row>
    <row r="83" spans="1:6" x14ac:dyDescent="0.35">
      <c r="A83" s="8">
        <v>42053</v>
      </c>
      <c r="B83" s="71">
        <v>0.375</v>
      </c>
      <c r="C83">
        <v>5.5</v>
      </c>
      <c r="D83">
        <v>0</v>
      </c>
      <c r="E83">
        <v>0</v>
      </c>
      <c r="F83">
        <v>0</v>
      </c>
    </row>
    <row r="84" spans="1:6" x14ac:dyDescent="0.35">
      <c r="A84" s="8">
        <v>42053</v>
      </c>
      <c r="B84" s="71">
        <v>0.41666666666666669</v>
      </c>
      <c r="C84">
        <v>6</v>
      </c>
      <c r="D84">
        <v>0</v>
      </c>
      <c r="E84">
        <v>7</v>
      </c>
      <c r="F84">
        <v>17</v>
      </c>
    </row>
    <row r="85" spans="1:6" x14ac:dyDescent="0.35">
      <c r="A85" s="8">
        <v>42053</v>
      </c>
      <c r="B85" s="71">
        <v>0.45833333333333331</v>
      </c>
      <c r="C85">
        <v>6.9</v>
      </c>
      <c r="D85">
        <v>0</v>
      </c>
      <c r="E85">
        <v>34</v>
      </c>
      <c r="F85">
        <v>78</v>
      </c>
    </row>
    <row r="86" spans="1:6" x14ac:dyDescent="0.35">
      <c r="A86" s="8">
        <v>42053</v>
      </c>
      <c r="B86" s="71">
        <v>0.5</v>
      </c>
      <c r="C86">
        <v>7.8</v>
      </c>
      <c r="D86">
        <v>0</v>
      </c>
      <c r="E86">
        <v>124</v>
      </c>
      <c r="F86">
        <v>114</v>
      </c>
    </row>
    <row r="87" spans="1:6" x14ac:dyDescent="0.35">
      <c r="A87" s="8">
        <v>42053</v>
      </c>
      <c r="B87" s="71">
        <v>0.54166666666666663</v>
      </c>
      <c r="C87">
        <v>8.1999999999999993</v>
      </c>
      <c r="D87">
        <v>0</v>
      </c>
      <c r="E87">
        <v>36</v>
      </c>
      <c r="F87">
        <v>178</v>
      </c>
    </row>
    <row r="88" spans="1:6" x14ac:dyDescent="0.35">
      <c r="A88" s="8">
        <v>42053</v>
      </c>
      <c r="B88" s="71">
        <v>0.58333333333333337</v>
      </c>
      <c r="C88">
        <v>8.6999999999999993</v>
      </c>
      <c r="D88">
        <v>0</v>
      </c>
      <c r="E88">
        <v>88</v>
      </c>
      <c r="F88">
        <v>200</v>
      </c>
    </row>
    <row r="89" spans="1:6" x14ac:dyDescent="0.35">
      <c r="A89" s="8">
        <v>42053</v>
      </c>
      <c r="B89" s="71">
        <v>0.625</v>
      </c>
      <c r="C89">
        <v>9.1</v>
      </c>
      <c r="D89">
        <v>0</v>
      </c>
      <c r="E89">
        <v>62</v>
      </c>
      <c r="F89">
        <v>234</v>
      </c>
    </row>
    <row r="90" spans="1:6" x14ac:dyDescent="0.35">
      <c r="A90" s="8">
        <v>42053</v>
      </c>
      <c r="B90" s="71">
        <v>0.66666666666666663</v>
      </c>
      <c r="C90">
        <v>9.6999999999999993</v>
      </c>
      <c r="D90">
        <v>0</v>
      </c>
      <c r="E90">
        <v>139</v>
      </c>
      <c r="F90">
        <v>196</v>
      </c>
    </row>
    <row r="91" spans="1:6" x14ac:dyDescent="0.35">
      <c r="A91" s="8">
        <v>42053</v>
      </c>
      <c r="B91" s="71">
        <v>0.70833333333333337</v>
      </c>
      <c r="C91">
        <v>9.9</v>
      </c>
      <c r="D91">
        <v>0</v>
      </c>
      <c r="E91">
        <v>74</v>
      </c>
      <c r="F91">
        <v>165</v>
      </c>
    </row>
    <row r="92" spans="1:6" x14ac:dyDescent="0.35">
      <c r="A92" s="8">
        <v>42053</v>
      </c>
      <c r="B92" s="71">
        <v>0.75</v>
      </c>
      <c r="C92">
        <v>10.199999999999999</v>
      </c>
      <c r="D92">
        <v>0</v>
      </c>
      <c r="E92">
        <v>67</v>
      </c>
      <c r="F92">
        <v>112</v>
      </c>
    </row>
    <row r="93" spans="1:6" x14ac:dyDescent="0.35">
      <c r="A93" s="8">
        <v>42053</v>
      </c>
      <c r="B93" s="71">
        <v>0.79166666666666663</v>
      </c>
      <c r="C93">
        <v>9.8000000000000007</v>
      </c>
      <c r="D93">
        <v>0</v>
      </c>
      <c r="E93">
        <v>33</v>
      </c>
      <c r="F93">
        <v>55</v>
      </c>
    </row>
    <row r="94" spans="1:6" x14ac:dyDescent="0.35">
      <c r="A94" s="8">
        <v>42053</v>
      </c>
      <c r="B94" s="71">
        <v>0.83333333333333337</v>
      </c>
      <c r="C94">
        <v>8.3000000000000007</v>
      </c>
      <c r="D94">
        <v>0</v>
      </c>
      <c r="E94">
        <v>3</v>
      </c>
      <c r="F94">
        <v>5</v>
      </c>
    </row>
    <row r="95" spans="1:6" x14ac:dyDescent="0.35">
      <c r="A95" s="8">
        <v>42053</v>
      </c>
      <c r="B95" s="71">
        <v>0.875</v>
      </c>
      <c r="C95">
        <v>7</v>
      </c>
      <c r="D95">
        <v>0</v>
      </c>
      <c r="E95">
        <v>0</v>
      </c>
      <c r="F95">
        <v>0</v>
      </c>
    </row>
    <row r="96" spans="1:6" x14ac:dyDescent="0.35">
      <c r="A96" s="8">
        <v>42053</v>
      </c>
      <c r="B96" s="71">
        <v>0.91666666666666663</v>
      </c>
      <c r="C96">
        <v>6.2</v>
      </c>
      <c r="D96">
        <v>0</v>
      </c>
      <c r="E96">
        <v>0</v>
      </c>
      <c r="F96">
        <v>0</v>
      </c>
    </row>
    <row r="97" spans="1:6" x14ac:dyDescent="0.35">
      <c r="A97" s="8">
        <v>42053</v>
      </c>
      <c r="B97" s="71">
        <v>0.95833333333333337</v>
      </c>
      <c r="C97">
        <v>5.3</v>
      </c>
      <c r="D97">
        <v>0</v>
      </c>
      <c r="E97">
        <v>0</v>
      </c>
      <c r="F97">
        <v>0</v>
      </c>
    </row>
    <row r="98" spans="1:6" x14ac:dyDescent="0.35">
      <c r="A98" s="8">
        <v>42054</v>
      </c>
      <c r="B98" s="71">
        <v>0</v>
      </c>
      <c r="C98">
        <v>4.7</v>
      </c>
      <c r="D98">
        <v>0</v>
      </c>
      <c r="E98">
        <v>0</v>
      </c>
      <c r="F98">
        <v>0</v>
      </c>
    </row>
    <row r="99" spans="1:6" x14ac:dyDescent="0.35">
      <c r="A99" s="8">
        <v>42054</v>
      </c>
      <c r="B99" s="71">
        <v>4.1666666666666664E-2</v>
      </c>
      <c r="C99">
        <v>4.0999999999999996</v>
      </c>
      <c r="D99">
        <v>0</v>
      </c>
      <c r="E99">
        <v>0</v>
      </c>
      <c r="F99">
        <v>0</v>
      </c>
    </row>
    <row r="100" spans="1:6" x14ac:dyDescent="0.35">
      <c r="A100" s="8">
        <v>42054</v>
      </c>
      <c r="B100" s="71">
        <v>8.3333333333333329E-2</v>
      </c>
      <c r="C100">
        <v>3.9</v>
      </c>
      <c r="D100">
        <v>0</v>
      </c>
      <c r="E100">
        <v>0</v>
      </c>
      <c r="F100">
        <v>0</v>
      </c>
    </row>
    <row r="101" spans="1:6" x14ac:dyDescent="0.35">
      <c r="A101" s="8">
        <v>42054</v>
      </c>
      <c r="B101" s="71">
        <v>0.125</v>
      </c>
      <c r="C101">
        <v>4.5</v>
      </c>
      <c r="D101">
        <v>0</v>
      </c>
      <c r="E101">
        <v>0</v>
      </c>
      <c r="F101">
        <v>0</v>
      </c>
    </row>
    <row r="102" spans="1:6" x14ac:dyDescent="0.35">
      <c r="A102" s="8">
        <v>42054</v>
      </c>
      <c r="B102" s="71">
        <v>0.16666666666666666</v>
      </c>
      <c r="C102">
        <v>4.9000000000000004</v>
      </c>
      <c r="D102">
        <v>0</v>
      </c>
      <c r="E102">
        <v>0</v>
      </c>
      <c r="F102">
        <v>0</v>
      </c>
    </row>
    <row r="103" spans="1:6" x14ac:dyDescent="0.35">
      <c r="A103" s="8">
        <v>42054</v>
      </c>
      <c r="B103" s="71">
        <v>0.20833333333333334</v>
      </c>
      <c r="C103">
        <v>3.2</v>
      </c>
      <c r="D103">
        <v>0</v>
      </c>
      <c r="E103">
        <v>0</v>
      </c>
      <c r="F103">
        <v>0</v>
      </c>
    </row>
    <row r="104" spans="1:6" x14ac:dyDescent="0.35">
      <c r="A104" s="8">
        <v>42054</v>
      </c>
      <c r="B104" s="71">
        <v>0.25</v>
      </c>
      <c r="C104">
        <v>1.2</v>
      </c>
      <c r="D104">
        <v>0</v>
      </c>
      <c r="E104">
        <v>0</v>
      </c>
      <c r="F104">
        <v>0</v>
      </c>
    </row>
    <row r="105" spans="1:6" x14ac:dyDescent="0.35">
      <c r="A105" s="8">
        <v>42054</v>
      </c>
      <c r="B105" s="71">
        <v>0.29166666666666669</v>
      </c>
      <c r="C105">
        <v>0.5</v>
      </c>
      <c r="D105">
        <v>0</v>
      </c>
      <c r="E105">
        <v>0</v>
      </c>
      <c r="F105">
        <v>0</v>
      </c>
    </row>
    <row r="106" spans="1:6" x14ac:dyDescent="0.35">
      <c r="A106" s="8">
        <v>42054</v>
      </c>
      <c r="B106" s="71">
        <v>0.33333333333333331</v>
      </c>
      <c r="C106">
        <v>0.2</v>
      </c>
      <c r="D106">
        <v>0</v>
      </c>
      <c r="E106">
        <v>0</v>
      </c>
      <c r="F106">
        <v>0</v>
      </c>
    </row>
    <row r="107" spans="1:6" x14ac:dyDescent="0.35">
      <c r="A107" s="8">
        <v>42054</v>
      </c>
      <c r="B107" s="71">
        <v>0.375</v>
      </c>
      <c r="C107">
        <v>-0.5</v>
      </c>
      <c r="D107">
        <v>0</v>
      </c>
      <c r="E107">
        <v>0</v>
      </c>
      <c r="F107">
        <v>0</v>
      </c>
    </row>
    <row r="108" spans="1:6" x14ac:dyDescent="0.35">
      <c r="A108" s="8">
        <v>42054</v>
      </c>
      <c r="B108" s="71">
        <v>0.41666666666666669</v>
      </c>
      <c r="C108">
        <v>0.6</v>
      </c>
      <c r="D108">
        <v>0</v>
      </c>
      <c r="E108">
        <v>32</v>
      </c>
      <c r="F108">
        <v>21</v>
      </c>
    </row>
    <row r="109" spans="1:6" x14ac:dyDescent="0.35">
      <c r="A109" s="8">
        <v>42054</v>
      </c>
      <c r="B109" s="71">
        <v>0.45833333333333331</v>
      </c>
      <c r="C109">
        <v>4.9000000000000004</v>
      </c>
      <c r="D109">
        <v>0</v>
      </c>
      <c r="E109">
        <v>150</v>
      </c>
      <c r="F109">
        <v>56</v>
      </c>
    </row>
    <row r="110" spans="1:6" x14ac:dyDescent="0.35">
      <c r="A110" s="8">
        <v>42054</v>
      </c>
      <c r="B110" s="71">
        <v>0.5</v>
      </c>
      <c r="C110">
        <v>7.6</v>
      </c>
      <c r="D110">
        <v>0</v>
      </c>
      <c r="E110">
        <v>285</v>
      </c>
      <c r="F110">
        <v>73</v>
      </c>
    </row>
    <row r="111" spans="1:6" x14ac:dyDescent="0.35">
      <c r="A111" s="8">
        <v>42054</v>
      </c>
      <c r="B111" s="71">
        <v>0.54166666666666663</v>
      </c>
      <c r="C111">
        <v>9.6</v>
      </c>
      <c r="D111">
        <v>0</v>
      </c>
      <c r="E111">
        <v>397</v>
      </c>
      <c r="F111">
        <v>82</v>
      </c>
    </row>
    <row r="112" spans="1:6" x14ac:dyDescent="0.35">
      <c r="A112" s="8">
        <v>42054</v>
      </c>
      <c r="B112" s="71">
        <v>0.58333333333333337</v>
      </c>
      <c r="C112">
        <v>11.3</v>
      </c>
      <c r="D112">
        <v>0</v>
      </c>
      <c r="E112">
        <v>466</v>
      </c>
      <c r="F112">
        <v>86</v>
      </c>
    </row>
    <row r="113" spans="1:6" x14ac:dyDescent="0.35">
      <c r="A113" s="8">
        <v>42054</v>
      </c>
      <c r="B113" s="71">
        <v>0.625</v>
      </c>
      <c r="C113">
        <v>12.6</v>
      </c>
      <c r="D113">
        <v>0</v>
      </c>
      <c r="E113">
        <v>484</v>
      </c>
      <c r="F113">
        <v>86</v>
      </c>
    </row>
    <row r="114" spans="1:6" x14ac:dyDescent="0.35">
      <c r="A114" s="8">
        <v>42054</v>
      </c>
      <c r="B114" s="71">
        <v>0.66666666666666663</v>
      </c>
      <c r="C114">
        <v>13.4</v>
      </c>
      <c r="D114">
        <v>0</v>
      </c>
      <c r="E114">
        <v>447</v>
      </c>
      <c r="F114">
        <v>81</v>
      </c>
    </row>
    <row r="115" spans="1:6" x14ac:dyDescent="0.35">
      <c r="A115" s="8">
        <v>42054</v>
      </c>
      <c r="B115" s="71">
        <v>0.70833333333333337</v>
      </c>
      <c r="C115">
        <v>13.6</v>
      </c>
      <c r="D115">
        <v>0</v>
      </c>
      <c r="E115">
        <v>352</v>
      </c>
      <c r="F115">
        <v>76</v>
      </c>
    </row>
    <row r="116" spans="1:6" x14ac:dyDescent="0.35">
      <c r="A116" s="8">
        <v>42054</v>
      </c>
      <c r="B116" s="71">
        <v>0.75</v>
      </c>
      <c r="C116">
        <v>13.3</v>
      </c>
      <c r="D116">
        <v>0</v>
      </c>
      <c r="E116">
        <v>222</v>
      </c>
      <c r="F116">
        <v>68</v>
      </c>
    </row>
    <row r="117" spans="1:6" x14ac:dyDescent="0.35">
      <c r="A117" s="8">
        <v>42054</v>
      </c>
      <c r="B117" s="71">
        <v>0.79166666666666663</v>
      </c>
      <c r="C117">
        <v>12.1</v>
      </c>
      <c r="D117">
        <v>0</v>
      </c>
      <c r="E117">
        <v>89</v>
      </c>
      <c r="F117">
        <v>43</v>
      </c>
    </row>
    <row r="118" spans="1:6" x14ac:dyDescent="0.35">
      <c r="A118" s="8">
        <v>42054</v>
      </c>
      <c r="B118" s="71">
        <v>0.83333333333333337</v>
      </c>
      <c r="C118">
        <v>9.8000000000000007</v>
      </c>
      <c r="D118">
        <v>0</v>
      </c>
      <c r="E118">
        <v>6</v>
      </c>
      <c r="F118">
        <v>7</v>
      </c>
    </row>
    <row r="119" spans="1:6" x14ac:dyDescent="0.35">
      <c r="A119" s="8">
        <v>42054</v>
      </c>
      <c r="B119" s="71">
        <v>0.875</v>
      </c>
      <c r="C119">
        <v>7.9</v>
      </c>
      <c r="D119">
        <v>0</v>
      </c>
      <c r="E119">
        <v>0</v>
      </c>
      <c r="F119">
        <v>0</v>
      </c>
    </row>
    <row r="120" spans="1:6" x14ac:dyDescent="0.35">
      <c r="A120" s="8">
        <v>42054</v>
      </c>
      <c r="B120" s="71">
        <v>0.91666666666666663</v>
      </c>
      <c r="C120">
        <v>6.2</v>
      </c>
      <c r="D120">
        <v>0</v>
      </c>
      <c r="E120">
        <v>0</v>
      </c>
      <c r="F120">
        <v>0</v>
      </c>
    </row>
    <row r="121" spans="1:6" x14ac:dyDescent="0.35">
      <c r="A121" s="8">
        <v>42054</v>
      </c>
      <c r="B121" s="71">
        <v>0.95833333333333337</v>
      </c>
      <c r="C121">
        <v>5</v>
      </c>
      <c r="D121">
        <v>0</v>
      </c>
      <c r="E121">
        <v>0</v>
      </c>
      <c r="F121">
        <v>0</v>
      </c>
    </row>
    <row r="122" spans="1:6" x14ac:dyDescent="0.35">
      <c r="A122" s="8">
        <v>42055</v>
      </c>
      <c r="B122" s="71">
        <v>0</v>
      </c>
      <c r="C122">
        <v>4.3</v>
      </c>
      <c r="D122">
        <v>0</v>
      </c>
      <c r="E122">
        <v>0</v>
      </c>
      <c r="F122">
        <v>0</v>
      </c>
    </row>
    <row r="123" spans="1:6" x14ac:dyDescent="0.35">
      <c r="A123" s="8">
        <v>42055</v>
      </c>
      <c r="B123" s="71">
        <v>4.1666666666666664E-2</v>
      </c>
      <c r="C123">
        <v>4</v>
      </c>
      <c r="D123">
        <v>0</v>
      </c>
      <c r="E123">
        <v>0</v>
      </c>
      <c r="F123">
        <v>0</v>
      </c>
    </row>
    <row r="124" spans="1:6" x14ac:dyDescent="0.35">
      <c r="A124" s="8">
        <v>42055</v>
      </c>
      <c r="B124" s="71">
        <v>8.3333333333333329E-2</v>
      </c>
      <c r="C124">
        <v>3.9</v>
      </c>
      <c r="D124">
        <v>0</v>
      </c>
      <c r="E124">
        <v>0</v>
      </c>
      <c r="F124">
        <v>0</v>
      </c>
    </row>
    <row r="125" spans="1:6" x14ac:dyDescent="0.35">
      <c r="A125" s="8">
        <v>42055</v>
      </c>
      <c r="B125" s="71">
        <v>0.125</v>
      </c>
      <c r="C125">
        <v>3.8</v>
      </c>
      <c r="D125">
        <v>0</v>
      </c>
      <c r="E125">
        <v>0</v>
      </c>
      <c r="F125">
        <v>0</v>
      </c>
    </row>
    <row r="126" spans="1:6" x14ac:dyDescent="0.35">
      <c r="A126" s="8">
        <v>42055</v>
      </c>
      <c r="B126" s="71">
        <v>0.16666666666666666</v>
      </c>
      <c r="C126">
        <v>3.5</v>
      </c>
      <c r="D126">
        <v>0</v>
      </c>
      <c r="E126">
        <v>0</v>
      </c>
      <c r="F126">
        <v>0</v>
      </c>
    </row>
    <row r="127" spans="1:6" x14ac:dyDescent="0.35">
      <c r="A127" s="8">
        <v>42055</v>
      </c>
      <c r="B127" s="71">
        <v>0.20833333333333334</v>
      </c>
      <c r="C127">
        <v>3.3</v>
      </c>
      <c r="D127">
        <v>0</v>
      </c>
      <c r="E127">
        <v>0</v>
      </c>
      <c r="F127">
        <v>0</v>
      </c>
    </row>
    <row r="128" spans="1:6" x14ac:dyDescent="0.35">
      <c r="A128" s="8">
        <v>42055</v>
      </c>
      <c r="B128" s="71">
        <v>0.25</v>
      </c>
      <c r="C128">
        <v>2.9</v>
      </c>
      <c r="D128">
        <v>0</v>
      </c>
      <c r="E128">
        <v>0</v>
      </c>
      <c r="F128">
        <v>0</v>
      </c>
    </row>
    <row r="129" spans="1:6" x14ac:dyDescent="0.35">
      <c r="A129" s="8">
        <v>42055</v>
      </c>
      <c r="B129" s="71">
        <v>0.29166666666666669</v>
      </c>
      <c r="C129">
        <v>2.4</v>
      </c>
      <c r="D129">
        <v>0</v>
      </c>
      <c r="E129">
        <v>0</v>
      </c>
      <c r="F129">
        <v>0</v>
      </c>
    </row>
    <row r="130" spans="1:6" x14ac:dyDescent="0.35">
      <c r="A130" s="8">
        <v>42055</v>
      </c>
      <c r="B130" s="71">
        <v>0.33333333333333331</v>
      </c>
      <c r="C130">
        <v>2.4</v>
      </c>
      <c r="D130">
        <v>0</v>
      </c>
      <c r="E130">
        <v>0</v>
      </c>
      <c r="F130">
        <v>0</v>
      </c>
    </row>
    <row r="131" spans="1:6" x14ac:dyDescent="0.35">
      <c r="A131" s="8">
        <v>42055</v>
      </c>
      <c r="B131" s="71">
        <v>0.375</v>
      </c>
      <c r="C131">
        <v>2.8</v>
      </c>
      <c r="D131">
        <v>0</v>
      </c>
      <c r="E131">
        <v>0</v>
      </c>
      <c r="F131">
        <v>0</v>
      </c>
    </row>
    <row r="132" spans="1:6" x14ac:dyDescent="0.35">
      <c r="A132" s="8">
        <v>42055</v>
      </c>
      <c r="B132" s="71">
        <v>0.41666666666666669</v>
      </c>
      <c r="C132">
        <v>4.5</v>
      </c>
      <c r="D132">
        <v>0</v>
      </c>
      <c r="E132">
        <v>15</v>
      </c>
      <c r="F132">
        <v>26</v>
      </c>
    </row>
    <row r="133" spans="1:6" x14ac:dyDescent="0.35">
      <c r="A133" s="8">
        <v>42055</v>
      </c>
      <c r="B133" s="71">
        <v>0.45833333333333331</v>
      </c>
      <c r="C133">
        <v>6.7</v>
      </c>
      <c r="D133">
        <v>0</v>
      </c>
      <c r="E133">
        <v>41</v>
      </c>
      <c r="F133">
        <v>69</v>
      </c>
    </row>
    <row r="134" spans="1:6" x14ac:dyDescent="0.35">
      <c r="A134" s="8">
        <v>42055</v>
      </c>
      <c r="B134" s="71">
        <v>0.5</v>
      </c>
      <c r="C134">
        <v>9.3000000000000007</v>
      </c>
      <c r="D134">
        <v>0</v>
      </c>
      <c r="E134">
        <v>83</v>
      </c>
      <c r="F134">
        <v>145</v>
      </c>
    </row>
    <row r="135" spans="1:6" x14ac:dyDescent="0.35">
      <c r="A135" s="8">
        <v>42055</v>
      </c>
      <c r="B135" s="71">
        <v>0.54166666666666663</v>
      </c>
      <c r="C135">
        <v>10.8</v>
      </c>
      <c r="D135">
        <v>0</v>
      </c>
      <c r="E135">
        <v>84</v>
      </c>
      <c r="F135">
        <v>190</v>
      </c>
    </row>
    <row r="136" spans="1:6" x14ac:dyDescent="0.35">
      <c r="A136" s="8">
        <v>42055</v>
      </c>
      <c r="B136" s="71">
        <v>0.58333333333333337</v>
      </c>
      <c r="C136">
        <v>11.8</v>
      </c>
      <c r="D136">
        <v>0</v>
      </c>
      <c r="E136">
        <v>42</v>
      </c>
      <c r="F136">
        <v>255</v>
      </c>
    </row>
    <row r="137" spans="1:6" x14ac:dyDescent="0.35">
      <c r="A137" s="8">
        <v>42055</v>
      </c>
      <c r="B137" s="71">
        <v>0.625</v>
      </c>
      <c r="C137">
        <v>12.3</v>
      </c>
      <c r="D137">
        <v>0</v>
      </c>
      <c r="E137">
        <v>66</v>
      </c>
      <c r="F137">
        <v>226</v>
      </c>
    </row>
    <row r="138" spans="1:6" x14ac:dyDescent="0.35">
      <c r="A138" s="8">
        <v>42055</v>
      </c>
      <c r="B138" s="71">
        <v>0.66666666666666663</v>
      </c>
      <c r="C138">
        <v>12</v>
      </c>
      <c r="D138">
        <v>0</v>
      </c>
      <c r="E138">
        <v>49</v>
      </c>
      <c r="F138">
        <v>167</v>
      </c>
    </row>
    <row r="139" spans="1:6" x14ac:dyDescent="0.35">
      <c r="A139" s="8">
        <v>42055</v>
      </c>
      <c r="B139" s="71">
        <v>0.70833333333333337</v>
      </c>
      <c r="C139">
        <v>11.1</v>
      </c>
      <c r="D139">
        <v>0.1</v>
      </c>
      <c r="E139">
        <v>11</v>
      </c>
      <c r="F139">
        <v>114</v>
      </c>
    </row>
    <row r="140" spans="1:6" x14ac:dyDescent="0.35">
      <c r="A140" s="8">
        <v>42055</v>
      </c>
      <c r="B140" s="71">
        <v>0.75</v>
      </c>
      <c r="C140">
        <v>10</v>
      </c>
      <c r="D140">
        <v>0.5</v>
      </c>
      <c r="E140">
        <v>0</v>
      </c>
      <c r="F140">
        <v>57</v>
      </c>
    </row>
    <row r="141" spans="1:6" x14ac:dyDescent="0.35">
      <c r="A141" s="8">
        <v>42055</v>
      </c>
      <c r="B141" s="71">
        <v>0.79166666666666663</v>
      </c>
      <c r="C141">
        <v>9.1999999999999993</v>
      </c>
      <c r="D141">
        <v>0.9</v>
      </c>
      <c r="E141">
        <v>0</v>
      </c>
      <c r="F141">
        <v>24</v>
      </c>
    </row>
    <row r="142" spans="1:6" x14ac:dyDescent="0.35">
      <c r="A142" s="8">
        <v>42055</v>
      </c>
      <c r="B142" s="71">
        <v>0.83333333333333337</v>
      </c>
      <c r="C142">
        <v>8.9</v>
      </c>
      <c r="D142">
        <v>1.2</v>
      </c>
      <c r="E142">
        <v>0</v>
      </c>
      <c r="F142">
        <v>2</v>
      </c>
    </row>
    <row r="143" spans="1:6" x14ac:dyDescent="0.35">
      <c r="A143" s="8">
        <v>42055</v>
      </c>
      <c r="B143" s="71">
        <v>0.875</v>
      </c>
      <c r="C143">
        <v>8.6999999999999993</v>
      </c>
      <c r="D143">
        <v>1.2</v>
      </c>
      <c r="E143">
        <v>0</v>
      </c>
      <c r="F143">
        <v>0</v>
      </c>
    </row>
    <row r="144" spans="1:6" x14ac:dyDescent="0.35">
      <c r="A144" s="8">
        <v>42055</v>
      </c>
      <c r="B144" s="71">
        <v>0.91666666666666663</v>
      </c>
      <c r="C144">
        <v>8.6</v>
      </c>
      <c r="D144">
        <v>1.2</v>
      </c>
      <c r="E144">
        <v>0</v>
      </c>
      <c r="F144">
        <v>0</v>
      </c>
    </row>
    <row r="145" spans="1:6" x14ac:dyDescent="0.35">
      <c r="A145" s="8">
        <v>42055</v>
      </c>
      <c r="B145" s="71">
        <v>0.95833333333333337</v>
      </c>
      <c r="C145">
        <v>8.5</v>
      </c>
      <c r="D145">
        <v>1.3</v>
      </c>
      <c r="E145">
        <v>0</v>
      </c>
      <c r="F145">
        <v>0</v>
      </c>
    </row>
    <row r="146" spans="1:6" x14ac:dyDescent="0.35">
      <c r="A146" s="8">
        <v>42056</v>
      </c>
      <c r="B146" s="71">
        <v>0</v>
      </c>
      <c r="C146">
        <v>8.1999999999999993</v>
      </c>
      <c r="D146">
        <v>1.5</v>
      </c>
      <c r="E146">
        <v>0</v>
      </c>
      <c r="F146">
        <v>0</v>
      </c>
    </row>
    <row r="147" spans="1:6" x14ac:dyDescent="0.35">
      <c r="A147" s="8">
        <v>42056</v>
      </c>
      <c r="B147" s="71">
        <v>4.1666666666666664E-2</v>
      </c>
      <c r="C147">
        <v>8</v>
      </c>
      <c r="D147">
        <v>1.4</v>
      </c>
      <c r="E147">
        <v>0</v>
      </c>
      <c r="F147">
        <v>0</v>
      </c>
    </row>
    <row r="148" spans="1:6" x14ac:dyDescent="0.35">
      <c r="A148" s="8">
        <v>42056</v>
      </c>
      <c r="B148" s="71">
        <v>8.3333333333333329E-2</v>
      </c>
      <c r="C148">
        <v>7.7</v>
      </c>
      <c r="D148">
        <v>1.3</v>
      </c>
      <c r="E148">
        <v>0</v>
      </c>
      <c r="F148">
        <v>0</v>
      </c>
    </row>
    <row r="149" spans="1:6" x14ac:dyDescent="0.35">
      <c r="A149" s="8">
        <v>42056</v>
      </c>
      <c r="B149" s="71">
        <v>0.125</v>
      </c>
      <c r="C149">
        <v>7.1</v>
      </c>
      <c r="D149">
        <v>1</v>
      </c>
      <c r="E149">
        <v>0</v>
      </c>
      <c r="F149">
        <v>0</v>
      </c>
    </row>
    <row r="150" spans="1:6" x14ac:dyDescent="0.35">
      <c r="A150" s="8">
        <v>42056</v>
      </c>
      <c r="B150" s="71">
        <v>0.16666666666666666</v>
      </c>
      <c r="C150">
        <v>6.5</v>
      </c>
      <c r="D150">
        <v>0.4</v>
      </c>
      <c r="E150">
        <v>0</v>
      </c>
      <c r="F150">
        <v>0</v>
      </c>
    </row>
    <row r="151" spans="1:6" x14ac:dyDescent="0.35">
      <c r="A151" s="8">
        <v>42056</v>
      </c>
      <c r="B151" s="71">
        <v>0.20833333333333334</v>
      </c>
      <c r="C151">
        <v>5.8</v>
      </c>
      <c r="D151">
        <v>0.1</v>
      </c>
      <c r="E151">
        <v>0</v>
      </c>
      <c r="F151">
        <v>0</v>
      </c>
    </row>
    <row r="152" spans="1:6" x14ac:dyDescent="0.35">
      <c r="A152" s="8">
        <v>42056</v>
      </c>
      <c r="B152" s="71">
        <v>0.25</v>
      </c>
      <c r="C152">
        <v>5.0999999999999996</v>
      </c>
      <c r="D152">
        <v>0</v>
      </c>
      <c r="E152">
        <v>0</v>
      </c>
      <c r="F152">
        <v>0</v>
      </c>
    </row>
    <row r="153" spans="1:6" x14ac:dyDescent="0.35">
      <c r="A153" s="8">
        <v>42056</v>
      </c>
      <c r="B153" s="71">
        <v>0.29166666666666669</v>
      </c>
      <c r="C153">
        <v>4.5</v>
      </c>
      <c r="D153">
        <v>0</v>
      </c>
      <c r="E153">
        <v>0</v>
      </c>
      <c r="F153">
        <v>0</v>
      </c>
    </row>
    <row r="154" spans="1:6" x14ac:dyDescent="0.35">
      <c r="A154" s="8">
        <v>42056</v>
      </c>
      <c r="B154" s="71">
        <v>0.33333333333333331</v>
      </c>
      <c r="C154">
        <v>3.5</v>
      </c>
      <c r="D154">
        <v>0.2</v>
      </c>
      <c r="E154">
        <v>0</v>
      </c>
      <c r="F154">
        <v>0</v>
      </c>
    </row>
    <row r="155" spans="1:6" x14ac:dyDescent="0.35">
      <c r="A155" s="8">
        <v>42056</v>
      </c>
      <c r="B155" s="71">
        <v>0.375</v>
      </c>
      <c r="C155">
        <v>3.1</v>
      </c>
      <c r="D155">
        <v>0.1</v>
      </c>
      <c r="E155">
        <v>0</v>
      </c>
      <c r="F155">
        <v>0</v>
      </c>
    </row>
    <row r="156" spans="1:6" x14ac:dyDescent="0.35">
      <c r="A156" s="8">
        <v>42056</v>
      </c>
      <c r="B156" s="71">
        <v>0.41666666666666669</v>
      </c>
      <c r="C156">
        <v>4.3</v>
      </c>
      <c r="D156">
        <v>0.2</v>
      </c>
      <c r="E156">
        <v>20</v>
      </c>
      <c r="F156">
        <v>23</v>
      </c>
    </row>
    <row r="157" spans="1:6" x14ac:dyDescent="0.35">
      <c r="A157" s="8">
        <v>42056</v>
      </c>
      <c r="B157" s="71">
        <v>0.45833333333333331</v>
      </c>
      <c r="C157">
        <v>6.6</v>
      </c>
      <c r="D157">
        <v>0.1</v>
      </c>
      <c r="E157">
        <v>61</v>
      </c>
      <c r="F157">
        <v>76</v>
      </c>
    </row>
    <row r="158" spans="1:6" x14ac:dyDescent="0.35">
      <c r="A158" s="8">
        <v>42056</v>
      </c>
      <c r="B158" s="71">
        <v>0.5</v>
      </c>
      <c r="C158">
        <v>7.5</v>
      </c>
      <c r="D158">
        <v>0.2</v>
      </c>
      <c r="E158">
        <v>109</v>
      </c>
      <c r="F158">
        <v>112</v>
      </c>
    </row>
    <row r="159" spans="1:6" x14ac:dyDescent="0.35">
      <c r="A159" s="8">
        <v>42056</v>
      </c>
      <c r="B159" s="71">
        <v>0.54166666666666663</v>
      </c>
      <c r="C159">
        <v>8.5</v>
      </c>
      <c r="D159">
        <v>0.2</v>
      </c>
      <c r="E159">
        <v>208</v>
      </c>
      <c r="F159">
        <v>148</v>
      </c>
    </row>
    <row r="160" spans="1:6" x14ac:dyDescent="0.35">
      <c r="A160" s="8">
        <v>42056</v>
      </c>
      <c r="B160" s="71">
        <v>0.58333333333333337</v>
      </c>
      <c r="C160">
        <v>8.5</v>
      </c>
      <c r="D160">
        <v>0.3</v>
      </c>
      <c r="E160">
        <v>158</v>
      </c>
      <c r="F160">
        <v>203</v>
      </c>
    </row>
    <row r="161" spans="1:6" x14ac:dyDescent="0.35">
      <c r="A161" s="8">
        <v>42056</v>
      </c>
      <c r="B161" s="71">
        <v>0.625</v>
      </c>
      <c r="C161">
        <v>8.6999999999999993</v>
      </c>
      <c r="D161">
        <v>0.7</v>
      </c>
      <c r="E161">
        <v>230</v>
      </c>
      <c r="F161">
        <v>159</v>
      </c>
    </row>
    <row r="162" spans="1:6" x14ac:dyDescent="0.35">
      <c r="A162" s="8">
        <v>42056</v>
      </c>
      <c r="B162" s="71">
        <v>0.66666666666666663</v>
      </c>
      <c r="C162">
        <v>9</v>
      </c>
      <c r="D162">
        <v>0.1</v>
      </c>
      <c r="E162">
        <v>309</v>
      </c>
      <c r="F162">
        <v>140</v>
      </c>
    </row>
    <row r="163" spans="1:6" x14ac:dyDescent="0.35">
      <c r="A163" s="8">
        <v>42056</v>
      </c>
      <c r="B163" s="71">
        <v>0.70833333333333337</v>
      </c>
      <c r="C163">
        <v>8.5</v>
      </c>
      <c r="D163">
        <v>0.5</v>
      </c>
      <c r="E163">
        <v>247</v>
      </c>
      <c r="F163">
        <v>107</v>
      </c>
    </row>
    <row r="164" spans="1:6" x14ac:dyDescent="0.35">
      <c r="A164" s="8">
        <v>42056</v>
      </c>
      <c r="B164" s="71">
        <v>0.75</v>
      </c>
      <c r="C164">
        <v>7.6</v>
      </c>
      <c r="D164">
        <v>0</v>
      </c>
      <c r="E164">
        <v>153</v>
      </c>
      <c r="F164">
        <v>94</v>
      </c>
    </row>
    <row r="165" spans="1:6" x14ac:dyDescent="0.35">
      <c r="A165" s="8">
        <v>42056</v>
      </c>
      <c r="B165" s="71">
        <v>0.79166666666666663</v>
      </c>
      <c r="C165">
        <v>7.2</v>
      </c>
      <c r="D165">
        <v>0</v>
      </c>
      <c r="E165">
        <v>68</v>
      </c>
      <c r="F165">
        <v>50</v>
      </c>
    </row>
    <row r="166" spans="1:6" x14ac:dyDescent="0.35">
      <c r="A166" s="8">
        <v>42056</v>
      </c>
      <c r="B166" s="71">
        <v>0.83333333333333337</v>
      </c>
      <c r="C166">
        <v>6.2</v>
      </c>
      <c r="D166">
        <v>0</v>
      </c>
      <c r="E166">
        <v>5</v>
      </c>
      <c r="F166">
        <v>8</v>
      </c>
    </row>
    <row r="167" spans="1:6" x14ac:dyDescent="0.35">
      <c r="A167" s="8">
        <v>42056</v>
      </c>
      <c r="B167" s="71">
        <v>0.875</v>
      </c>
      <c r="C167">
        <v>5.7</v>
      </c>
      <c r="D167">
        <v>0</v>
      </c>
      <c r="E167">
        <v>0</v>
      </c>
      <c r="F167">
        <v>0</v>
      </c>
    </row>
    <row r="168" spans="1:6" x14ac:dyDescent="0.35">
      <c r="A168" s="8">
        <v>42056</v>
      </c>
      <c r="B168" s="71">
        <v>0.91666666666666663</v>
      </c>
      <c r="C168">
        <v>5.4</v>
      </c>
      <c r="D168">
        <v>0</v>
      </c>
      <c r="E168">
        <v>0</v>
      </c>
      <c r="F168">
        <v>0</v>
      </c>
    </row>
    <row r="169" spans="1:6" x14ac:dyDescent="0.35">
      <c r="A169" s="8">
        <v>42056</v>
      </c>
      <c r="B169" s="71">
        <v>0.95833333333333337</v>
      </c>
      <c r="C169">
        <v>4.5999999999999996</v>
      </c>
      <c r="D169">
        <v>0</v>
      </c>
      <c r="E169">
        <v>0</v>
      </c>
      <c r="F169">
        <v>0</v>
      </c>
    </row>
    <row r="170" spans="1:6" x14ac:dyDescent="0.35">
      <c r="A170" s="8">
        <v>42057</v>
      </c>
      <c r="B170" s="71">
        <v>0</v>
      </c>
      <c r="C170">
        <v>4</v>
      </c>
      <c r="D170">
        <v>0</v>
      </c>
      <c r="E170">
        <v>0</v>
      </c>
      <c r="F170">
        <v>0</v>
      </c>
    </row>
    <row r="171" spans="1:6" x14ac:dyDescent="0.35">
      <c r="A171" s="8">
        <v>42057</v>
      </c>
      <c r="B171" s="71">
        <v>4.1666666666666664E-2</v>
      </c>
      <c r="C171">
        <v>3.5</v>
      </c>
      <c r="D171">
        <v>0</v>
      </c>
      <c r="E171">
        <v>0</v>
      </c>
      <c r="F171">
        <v>0</v>
      </c>
    </row>
    <row r="172" spans="1:6" x14ac:dyDescent="0.35">
      <c r="A172" s="8">
        <v>42057</v>
      </c>
      <c r="B172" s="71">
        <v>8.3333333333333329E-2</v>
      </c>
      <c r="C172">
        <v>2.8</v>
      </c>
      <c r="D172">
        <v>0</v>
      </c>
      <c r="E172">
        <v>0</v>
      </c>
      <c r="F172">
        <v>0</v>
      </c>
    </row>
    <row r="173" spans="1:6" x14ac:dyDescent="0.35">
      <c r="A173" s="8">
        <v>42057</v>
      </c>
      <c r="B173" s="71">
        <v>0.125</v>
      </c>
      <c r="C173">
        <v>2</v>
      </c>
      <c r="D173">
        <v>0</v>
      </c>
      <c r="E173">
        <v>0</v>
      </c>
      <c r="F173">
        <v>0</v>
      </c>
    </row>
    <row r="174" spans="1:6" x14ac:dyDescent="0.35">
      <c r="A174" s="8">
        <v>42057</v>
      </c>
      <c r="B174" s="71">
        <v>0.16666666666666666</v>
      </c>
      <c r="C174">
        <v>1.3</v>
      </c>
      <c r="D174">
        <v>0</v>
      </c>
      <c r="E174">
        <v>0</v>
      </c>
      <c r="F174">
        <v>0</v>
      </c>
    </row>
    <row r="175" spans="1:6" x14ac:dyDescent="0.35">
      <c r="A175" s="8">
        <v>42057</v>
      </c>
      <c r="B175" s="71">
        <v>0.20833333333333334</v>
      </c>
      <c r="C175">
        <v>0.6</v>
      </c>
      <c r="D175">
        <v>0</v>
      </c>
      <c r="E175">
        <v>0</v>
      </c>
      <c r="F175">
        <v>0</v>
      </c>
    </row>
    <row r="176" spans="1:6" x14ac:dyDescent="0.35">
      <c r="A176" s="8">
        <v>42057</v>
      </c>
      <c r="B176" s="71">
        <v>0.25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 s="8">
        <v>42057</v>
      </c>
      <c r="B177" s="71">
        <v>0.29166666666666669</v>
      </c>
      <c r="C177">
        <v>-0.6</v>
      </c>
      <c r="D177">
        <v>0</v>
      </c>
      <c r="E177">
        <v>0</v>
      </c>
      <c r="F177">
        <v>0</v>
      </c>
    </row>
    <row r="178" spans="1:6" x14ac:dyDescent="0.35">
      <c r="A178" s="8">
        <v>42057</v>
      </c>
      <c r="B178" s="71">
        <v>0.33333333333333331</v>
      </c>
      <c r="C178">
        <v>-0.5</v>
      </c>
      <c r="D178">
        <v>0</v>
      </c>
      <c r="E178">
        <v>0</v>
      </c>
      <c r="F178">
        <v>0</v>
      </c>
    </row>
    <row r="179" spans="1:6" x14ac:dyDescent="0.35">
      <c r="A179" s="8">
        <v>42057</v>
      </c>
      <c r="B179" s="71">
        <v>0.375</v>
      </c>
      <c r="C179">
        <v>-0.6</v>
      </c>
      <c r="D179">
        <v>0</v>
      </c>
      <c r="E179">
        <v>0</v>
      </c>
      <c r="F179">
        <v>0</v>
      </c>
    </row>
    <row r="180" spans="1:6" x14ac:dyDescent="0.35">
      <c r="A180" s="8">
        <v>42057</v>
      </c>
      <c r="B180" s="71">
        <v>0.41666666666666669</v>
      </c>
      <c r="C180">
        <v>1.5</v>
      </c>
      <c r="D180">
        <v>0</v>
      </c>
      <c r="E180">
        <v>35</v>
      </c>
      <c r="F180">
        <v>28</v>
      </c>
    </row>
    <row r="181" spans="1:6" x14ac:dyDescent="0.35">
      <c r="A181" s="8">
        <v>42057</v>
      </c>
      <c r="B181" s="71">
        <v>0.45833333333333331</v>
      </c>
      <c r="C181">
        <v>4.0999999999999996</v>
      </c>
      <c r="D181">
        <v>0</v>
      </c>
      <c r="E181">
        <v>158</v>
      </c>
      <c r="F181">
        <v>63</v>
      </c>
    </row>
    <row r="182" spans="1:6" x14ac:dyDescent="0.35">
      <c r="A182" s="8">
        <v>42057</v>
      </c>
      <c r="B182" s="71">
        <v>0.5</v>
      </c>
      <c r="C182">
        <v>6</v>
      </c>
      <c r="D182">
        <v>0</v>
      </c>
      <c r="E182">
        <v>295</v>
      </c>
      <c r="F182">
        <v>83</v>
      </c>
    </row>
    <row r="183" spans="1:6" x14ac:dyDescent="0.35">
      <c r="A183" s="8">
        <v>42057</v>
      </c>
      <c r="B183" s="71">
        <v>0.54166666666666663</v>
      </c>
      <c r="C183">
        <v>7.4</v>
      </c>
      <c r="D183">
        <v>0</v>
      </c>
      <c r="E183">
        <v>371</v>
      </c>
      <c r="F183">
        <v>111</v>
      </c>
    </row>
    <row r="184" spans="1:6" x14ac:dyDescent="0.35">
      <c r="A184" s="8">
        <v>42057</v>
      </c>
      <c r="B184" s="71">
        <v>0.58333333333333337</v>
      </c>
      <c r="C184">
        <v>8.8000000000000007</v>
      </c>
      <c r="D184">
        <v>0</v>
      </c>
      <c r="E184">
        <v>474</v>
      </c>
      <c r="F184">
        <v>98</v>
      </c>
    </row>
    <row r="185" spans="1:6" x14ac:dyDescent="0.35">
      <c r="A185" s="8">
        <v>42057</v>
      </c>
      <c r="B185" s="71">
        <v>0.625</v>
      </c>
      <c r="C185">
        <v>9.6999999999999993</v>
      </c>
      <c r="D185">
        <v>0</v>
      </c>
      <c r="E185">
        <v>520</v>
      </c>
      <c r="F185">
        <v>82</v>
      </c>
    </row>
    <row r="186" spans="1:6" x14ac:dyDescent="0.35">
      <c r="A186" s="8">
        <v>42057</v>
      </c>
      <c r="B186" s="71">
        <v>0.66666666666666663</v>
      </c>
      <c r="C186">
        <v>10.1</v>
      </c>
      <c r="D186">
        <v>0</v>
      </c>
      <c r="E186">
        <v>364</v>
      </c>
      <c r="F186">
        <v>140</v>
      </c>
    </row>
    <row r="187" spans="1:6" x14ac:dyDescent="0.35">
      <c r="A187" s="8">
        <v>42057</v>
      </c>
      <c r="B187" s="71">
        <v>0.70833333333333337</v>
      </c>
      <c r="C187">
        <v>10.4</v>
      </c>
      <c r="D187">
        <v>0</v>
      </c>
      <c r="E187">
        <v>326</v>
      </c>
      <c r="F187">
        <v>104</v>
      </c>
    </row>
    <row r="188" spans="1:6" x14ac:dyDescent="0.35">
      <c r="A188" s="8">
        <v>42057</v>
      </c>
      <c r="B188" s="71">
        <v>0.75</v>
      </c>
      <c r="C188">
        <v>10</v>
      </c>
      <c r="D188">
        <v>0</v>
      </c>
      <c r="E188">
        <v>192</v>
      </c>
      <c r="F188">
        <v>72</v>
      </c>
    </row>
    <row r="189" spans="1:6" x14ac:dyDescent="0.35">
      <c r="A189" s="8">
        <v>42057</v>
      </c>
      <c r="B189" s="71">
        <v>0.79166666666666663</v>
      </c>
      <c r="C189">
        <v>9.1999999999999993</v>
      </c>
      <c r="D189">
        <v>0</v>
      </c>
      <c r="E189">
        <v>70</v>
      </c>
      <c r="F189">
        <v>59</v>
      </c>
    </row>
    <row r="190" spans="1:6" x14ac:dyDescent="0.35">
      <c r="A190" s="8">
        <v>42057</v>
      </c>
      <c r="B190" s="71">
        <v>0.83333333333333337</v>
      </c>
      <c r="C190">
        <v>8.1</v>
      </c>
      <c r="D190">
        <v>0</v>
      </c>
      <c r="E190">
        <v>3</v>
      </c>
      <c r="F190">
        <v>8</v>
      </c>
    </row>
    <row r="191" spans="1:6" x14ac:dyDescent="0.35">
      <c r="A191" s="8">
        <v>42057</v>
      </c>
      <c r="B191" s="71">
        <v>0.875</v>
      </c>
      <c r="C191">
        <v>7.7</v>
      </c>
      <c r="D191">
        <v>0</v>
      </c>
      <c r="E191">
        <v>0</v>
      </c>
      <c r="F191">
        <v>0</v>
      </c>
    </row>
    <row r="192" spans="1:6" x14ac:dyDescent="0.35">
      <c r="A192" s="8">
        <v>42057</v>
      </c>
      <c r="B192" s="71">
        <v>0.91666666666666663</v>
      </c>
      <c r="C192">
        <v>7.7</v>
      </c>
      <c r="D192">
        <v>0</v>
      </c>
      <c r="E192">
        <v>0</v>
      </c>
      <c r="F192">
        <v>0</v>
      </c>
    </row>
    <row r="193" spans="1:6" x14ac:dyDescent="0.35">
      <c r="A193" s="8">
        <v>42057</v>
      </c>
      <c r="B193" s="71">
        <v>0.95833333333333337</v>
      </c>
      <c r="C193">
        <v>7.9</v>
      </c>
      <c r="D193">
        <v>0</v>
      </c>
      <c r="E193">
        <v>0</v>
      </c>
      <c r="F193">
        <v>0</v>
      </c>
    </row>
    <row r="194" spans="1:6" x14ac:dyDescent="0.35">
      <c r="A194" s="8">
        <v>42058</v>
      </c>
      <c r="B194" s="71">
        <v>0</v>
      </c>
      <c r="C194">
        <v>8.1</v>
      </c>
      <c r="D194">
        <v>0</v>
      </c>
      <c r="E194">
        <v>0</v>
      </c>
      <c r="F194">
        <v>0</v>
      </c>
    </row>
    <row r="195" spans="1:6" x14ac:dyDescent="0.35">
      <c r="A195" s="8">
        <v>42058</v>
      </c>
      <c r="B195" s="71">
        <v>4.1666666666666664E-2</v>
      </c>
      <c r="C195">
        <v>8.5</v>
      </c>
      <c r="D195">
        <v>0</v>
      </c>
      <c r="E195">
        <v>0</v>
      </c>
      <c r="F195">
        <v>0</v>
      </c>
    </row>
    <row r="196" spans="1:6" x14ac:dyDescent="0.35">
      <c r="A196" s="8">
        <v>42058</v>
      </c>
      <c r="B196" s="71">
        <v>8.3333333333333329E-2</v>
      </c>
      <c r="C196">
        <v>9.1</v>
      </c>
      <c r="D196">
        <v>0</v>
      </c>
      <c r="E196">
        <v>0</v>
      </c>
      <c r="F196">
        <v>0</v>
      </c>
    </row>
    <row r="197" spans="1:6" x14ac:dyDescent="0.35">
      <c r="A197" s="8">
        <v>42058</v>
      </c>
      <c r="B197" s="71">
        <v>0.125</v>
      </c>
      <c r="C197">
        <v>10</v>
      </c>
      <c r="D197">
        <v>0</v>
      </c>
      <c r="E197">
        <v>0</v>
      </c>
      <c r="F197">
        <v>0</v>
      </c>
    </row>
    <row r="198" spans="1:6" x14ac:dyDescent="0.35">
      <c r="A198" s="8">
        <v>42058</v>
      </c>
      <c r="B198" s="71">
        <v>0.16666666666666666</v>
      </c>
      <c r="C198">
        <v>10.7</v>
      </c>
      <c r="D198">
        <v>0</v>
      </c>
      <c r="E198">
        <v>0</v>
      </c>
      <c r="F198">
        <v>0</v>
      </c>
    </row>
    <row r="199" spans="1:6" x14ac:dyDescent="0.35">
      <c r="A199" s="8">
        <v>42058</v>
      </c>
      <c r="B199" s="71">
        <v>0.20833333333333334</v>
      </c>
      <c r="C199">
        <v>10.8</v>
      </c>
      <c r="D199">
        <v>0</v>
      </c>
      <c r="E199">
        <v>0</v>
      </c>
      <c r="F199">
        <v>0</v>
      </c>
    </row>
    <row r="200" spans="1:6" x14ac:dyDescent="0.35">
      <c r="A200" s="8">
        <v>42058</v>
      </c>
      <c r="B200" s="71">
        <v>0.25</v>
      </c>
      <c r="C200">
        <v>10.8</v>
      </c>
      <c r="D200">
        <v>0</v>
      </c>
      <c r="E200">
        <v>0</v>
      </c>
      <c r="F200">
        <v>0</v>
      </c>
    </row>
    <row r="201" spans="1:6" x14ac:dyDescent="0.35">
      <c r="A201" s="8">
        <v>42058</v>
      </c>
      <c r="B201" s="71">
        <v>0.29166666666666669</v>
      </c>
      <c r="C201">
        <v>11</v>
      </c>
      <c r="D201">
        <v>0</v>
      </c>
      <c r="E201">
        <v>0</v>
      </c>
      <c r="F201">
        <v>0</v>
      </c>
    </row>
    <row r="202" spans="1:6" x14ac:dyDescent="0.35">
      <c r="A202" s="8">
        <v>42058</v>
      </c>
      <c r="B202" s="71">
        <v>0.33333333333333331</v>
      </c>
      <c r="C202">
        <v>11.1</v>
      </c>
      <c r="D202">
        <v>0.1</v>
      </c>
      <c r="E202">
        <v>0</v>
      </c>
      <c r="F202">
        <v>0</v>
      </c>
    </row>
    <row r="203" spans="1:6" x14ac:dyDescent="0.35">
      <c r="A203" s="8">
        <v>42058</v>
      </c>
      <c r="B203" s="71">
        <v>0.375</v>
      </c>
      <c r="C203">
        <v>11.2</v>
      </c>
      <c r="D203">
        <v>0.8</v>
      </c>
      <c r="E203">
        <v>0</v>
      </c>
      <c r="F203">
        <v>0</v>
      </c>
    </row>
    <row r="204" spans="1:6" x14ac:dyDescent="0.35">
      <c r="A204" s="8">
        <v>42058</v>
      </c>
      <c r="B204" s="71">
        <v>0.41666666666666669</v>
      </c>
      <c r="C204">
        <v>11.1</v>
      </c>
      <c r="D204">
        <v>1</v>
      </c>
      <c r="E204">
        <v>0</v>
      </c>
      <c r="F204">
        <v>5</v>
      </c>
    </row>
    <row r="205" spans="1:6" x14ac:dyDescent="0.35">
      <c r="A205" s="8">
        <v>42058</v>
      </c>
      <c r="B205" s="71">
        <v>0.45833333333333331</v>
      </c>
      <c r="C205">
        <v>11</v>
      </c>
      <c r="D205">
        <v>0.4</v>
      </c>
      <c r="E205">
        <v>0</v>
      </c>
      <c r="F205">
        <v>15</v>
      </c>
    </row>
    <row r="206" spans="1:6" x14ac:dyDescent="0.35">
      <c r="A206" s="8">
        <v>42058</v>
      </c>
      <c r="B206" s="71">
        <v>0.5</v>
      </c>
      <c r="C206">
        <v>11.2</v>
      </c>
      <c r="D206">
        <v>0</v>
      </c>
      <c r="E206">
        <v>25</v>
      </c>
      <c r="F206">
        <v>48</v>
      </c>
    </row>
    <row r="207" spans="1:6" x14ac:dyDescent="0.35">
      <c r="A207" s="8">
        <v>42058</v>
      </c>
      <c r="B207" s="71">
        <v>0.54166666666666663</v>
      </c>
      <c r="C207">
        <v>12.1</v>
      </c>
      <c r="D207">
        <v>0</v>
      </c>
      <c r="E207">
        <v>194</v>
      </c>
      <c r="F207">
        <v>97</v>
      </c>
    </row>
    <row r="208" spans="1:6" x14ac:dyDescent="0.35">
      <c r="A208" s="8">
        <v>42058</v>
      </c>
      <c r="B208" s="71">
        <v>0.58333333333333337</v>
      </c>
      <c r="C208">
        <v>12.5</v>
      </c>
      <c r="D208">
        <v>0</v>
      </c>
      <c r="E208">
        <v>299</v>
      </c>
      <c r="F208">
        <v>135</v>
      </c>
    </row>
    <row r="209" spans="1:6" x14ac:dyDescent="0.35">
      <c r="A209" s="8">
        <v>42058</v>
      </c>
      <c r="B209" s="71">
        <v>0.625</v>
      </c>
      <c r="C209">
        <v>12.2</v>
      </c>
      <c r="D209">
        <v>0</v>
      </c>
      <c r="E209">
        <v>314</v>
      </c>
      <c r="F209">
        <v>140</v>
      </c>
    </row>
    <row r="210" spans="1:6" x14ac:dyDescent="0.35">
      <c r="A210" s="8">
        <v>42058</v>
      </c>
      <c r="B210" s="71">
        <v>0.66666666666666663</v>
      </c>
      <c r="C210">
        <v>11.8</v>
      </c>
      <c r="D210">
        <v>0</v>
      </c>
      <c r="E210">
        <v>243</v>
      </c>
      <c r="F210">
        <v>167</v>
      </c>
    </row>
    <row r="211" spans="1:6" x14ac:dyDescent="0.35">
      <c r="A211" s="8">
        <v>42058</v>
      </c>
      <c r="B211" s="71">
        <v>0.70833333333333337</v>
      </c>
      <c r="C211">
        <v>10.7</v>
      </c>
      <c r="D211">
        <v>0</v>
      </c>
      <c r="E211">
        <v>152</v>
      </c>
      <c r="F211">
        <v>145</v>
      </c>
    </row>
    <row r="212" spans="1:6" x14ac:dyDescent="0.35">
      <c r="A212" s="8">
        <v>42058</v>
      </c>
      <c r="B212" s="71">
        <v>0.75</v>
      </c>
      <c r="C212">
        <v>9.9</v>
      </c>
      <c r="D212">
        <v>0.3</v>
      </c>
      <c r="E212">
        <v>105</v>
      </c>
      <c r="F212">
        <v>102</v>
      </c>
    </row>
    <row r="213" spans="1:6" x14ac:dyDescent="0.35">
      <c r="A213" s="8">
        <v>42058</v>
      </c>
      <c r="B213" s="71">
        <v>0.79166666666666663</v>
      </c>
      <c r="C213">
        <v>9.3000000000000007</v>
      </c>
      <c r="D213">
        <v>0</v>
      </c>
      <c r="E213">
        <v>26</v>
      </c>
      <c r="F213">
        <v>59</v>
      </c>
    </row>
    <row r="214" spans="1:6" x14ac:dyDescent="0.35">
      <c r="A214" s="8">
        <v>42058</v>
      </c>
      <c r="B214" s="71">
        <v>0.83333333333333337</v>
      </c>
      <c r="C214">
        <v>8.3000000000000007</v>
      </c>
      <c r="D214">
        <v>0.2</v>
      </c>
      <c r="E214">
        <v>1</v>
      </c>
      <c r="F214">
        <v>9</v>
      </c>
    </row>
    <row r="215" spans="1:6" x14ac:dyDescent="0.35">
      <c r="A215" s="8">
        <v>42058</v>
      </c>
      <c r="B215" s="71">
        <v>0.875</v>
      </c>
      <c r="C215">
        <v>8.1</v>
      </c>
      <c r="D215">
        <v>0.1</v>
      </c>
      <c r="E215">
        <v>0</v>
      </c>
      <c r="F215">
        <v>0</v>
      </c>
    </row>
    <row r="216" spans="1:6" x14ac:dyDescent="0.35">
      <c r="A216" s="8">
        <v>42058</v>
      </c>
      <c r="B216" s="71">
        <v>0.91666666666666663</v>
      </c>
      <c r="C216">
        <v>7.7</v>
      </c>
      <c r="D216">
        <v>0</v>
      </c>
      <c r="E216">
        <v>0</v>
      </c>
      <c r="F216">
        <v>0</v>
      </c>
    </row>
    <row r="217" spans="1:6" x14ac:dyDescent="0.35">
      <c r="A217" s="8">
        <v>42058</v>
      </c>
      <c r="B217" s="71">
        <v>0.95833333333333337</v>
      </c>
      <c r="C217">
        <v>7.2</v>
      </c>
      <c r="D217">
        <v>0</v>
      </c>
      <c r="E217">
        <v>0</v>
      </c>
      <c r="F217">
        <v>0</v>
      </c>
    </row>
    <row r="218" spans="1:6" x14ac:dyDescent="0.35">
      <c r="A218" s="8">
        <v>42059</v>
      </c>
      <c r="B218" s="71">
        <v>0</v>
      </c>
      <c r="C218">
        <v>6.7</v>
      </c>
      <c r="D218">
        <v>0</v>
      </c>
      <c r="E218">
        <v>0</v>
      </c>
      <c r="F218">
        <v>0</v>
      </c>
    </row>
    <row r="219" spans="1:6" x14ac:dyDescent="0.35">
      <c r="A219" s="8">
        <v>42059</v>
      </c>
      <c r="B219" s="71">
        <v>4.1666666666666664E-2</v>
      </c>
      <c r="C219">
        <v>6.2</v>
      </c>
      <c r="D219">
        <v>0</v>
      </c>
      <c r="E219">
        <v>0</v>
      </c>
      <c r="F219">
        <v>0</v>
      </c>
    </row>
    <row r="220" spans="1:6" x14ac:dyDescent="0.35">
      <c r="A220" s="8">
        <v>42059</v>
      </c>
      <c r="B220" s="71">
        <v>8.3333333333333329E-2</v>
      </c>
      <c r="C220">
        <v>5.6</v>
      </c>
      <c r="D220">
        <v>0.1</v>
      </c>
      <c r="E220">
        <v>0</v>
      </c>
      <c r="F220">
        <v>0</v>
      </c>
    </row>
    <row r="221" spans="1:6" x14ac:dyDescent="0.35">
      <c r="A221" s="8">
        <v>42059</v>
      </c>
      <c r="B221" s="71">
        <v>0.125</v>
      </c>
      <c r="C221">
        <v>5.4</v>
      </c>
      <c r="D221">
        <v>0</v>
      </c>
      <c r="E221">
        <v>0</v>
      </c>
      <c r="F221">
        <v>0</v>
      </c>
    </row>
    <row r="222" spans="1:6" x14ac:dyDescent="0.35">
      <c r="A222" s="8">
        <v>42059</v>
      </c>
      <c r="B222" s="71">
        <v>0.16666666666666666</v>
      </c>
      <c r="C222">
        <v>5</v>
      </c>
      <c r="D222">
        <v>0.7</v>
      </c>
      <c r="E222">
        <v>0</v>
      </c>
      <c r="F222">
        <v>0</v>
      </c>
    </row>
    <row r="223" spans="1:6" x14ac:dyDescent="0.35">
      <c r="A223" s="8">
        <v>42059</v>
      </c>
      <c r="B223" s="71">
        <v>0.20833333333333334</v>
      </c>
      <c r="C223">
        <v>5.2</v>
      </c>
      <c r="D223">
        <v>0.4</v>
      </c>
      <c r="E223">
        <v>0</v>
      </c>
      <c r="F223">
        <v>0</v>
      </c>
    </row>
    <row r="224" spans="1:6" x14ac:dyDescent="0.35">
      <c r="A224" s="8">
        <v>42059</v>
      </c>
      <c r="B224" s="71">
        <v>0.25</v>
      </c>
      <c r="C224">
        <v>5.0999999999999996</v>
      </c>
      <c r="D224">
        <v>0.1</v>
      </c>
      <c r="E224">
        <v>0</v>
      </c>
      <c r="F224">
        <v>0</v>
      </c>
    </row>
    <row r="225" spans="1:6" x14ac:dyDescent="0.35">
      <c r="A225" s="8">
        <v>42059</v>
      </c>
      <c r="B225" s="71">
        <v>0.29166666666666669</v>
      </c>
      <c r="C225">
        <v>5.0999999999999996</v>
      </c>
      <c r="D225">
        <v>0</v>
      </c>
      <c r="E225">
        <v>0</v>
      </c>
      <c r="F225">
        <v>0</v>
      </c>
    </row>
    <row r="226" spans="1:6" x14ac:dyDescent="0.35">
      <c r="A226" s="8">
        <v>42059</v>
      </c>
      <c r="B226" s="71">
        <v>0.33333333333333331</v>
      </c>
      <c r="C226">
        <v>5</v>
      </c>
      <c r="D226">
        <v>0</v>
      </c>
      <c r="E226">
        <v>0</v>
      </c>
      <c r="F226">
        <v>0</v>
      </c>
    </row>
    <row r="227" spans="1:6" x14ac:dyDescent="0.35">
      <c r="A227" s="8">
        <v>42059</v>
      </c>
      <c r="B227" s="71">
        <v>0.375</v>
      </c>
      <c r="C227">
        <v>5.3</v>
      </c>
      <c r="D227">
        <v>0</v>
      </c>
      <c r="E227">
        <v>0</v>
      </c>
      <c r="F227">
        <v>0</v>
      </c>
    </row>
    <row r="228" spans="1:6" x14ac:dyDescent="0.35">
      <c r="A228" s="8">
        <v>42059</v>
      </c>
      <c r="B228" s="71">
        <v>0.41666666666666669</v>
      </c>
      <c r="C228">
        <v>5.9</v>
      </c>
      <c r="D228">
        <v>0</v>
      </c>
      <c r="E228">
        <v>17</v>
      </c>
      <c r="F228">
        <v>28</v>
      </c>
    </row>
    <row r="229" spans="1:6" x14ac:dyDescent="0.35">
      <c r="A229" s="8">
        <v>42059</v>
      </c>
      <c r="B229" s="71">
        <v>0.45833333333333331</v>
      </c>
      <c r="C229">
        <v>7</v>
      </c>
      <c r="D229">
        <v>0.1</v>
      </c>
      <c r="E229">
        <v>103</v>
      </c>
      <c r="F229">
        <v>73</v>
      </c>
    </row>
    <row r="230" spans="1:6" x14ac:dyDescent="0.35">
      <c r="A230" s="8">
        <v>42059</v>
      </c>
      <c r="B230" s="71">
        <v>0.5</v>
      </c>
      <c r="C230">
        <v>8</v>
      </c>
      <c r="D230">
        <v>0.1</v>
      </c>
      <c r="E230">
        <v>100</v>
      </c>
      <c r="F230">
        <v>133</v>
      </c>
    </row>
    <row r="231" spans="1:6" x14ac:dyDescent="0.35">
      <c r="A231" s="8">
        <v>42059</v>
      </c>
      <c r="B231" s="71">
        <v>0.54166666666666663</v>
      </c>
      <c r="C231">
        <v>8.9</v>
      </c>
      <c r="D231">
        <v>0.3</v>
      </c>
      <c r="E231">
        <v>165</v>
      </c>
      <c r="F231">
        <v>187</v>
      </c>
    </row>
    <row r="232" spans="1:6" x14ac:dyDescent="0.35">
      <c r="A232" s="8">
        <v>42059</v>
      </c>
      <c r="B232" s="71">
        <v>0.58333333333333337</v>
      </c>
      <c r="C232">
        <v>9</v>
      </c>
      <c r="D232">
        <v>0.7</v>
      </c>
      <c r="E232">
        <v>122</v>
      </c>
      <c r="F232">
        <v>217</v>
      </c>
    </row>
    <row r="233" spans="1:6" x14ac:dyDescent="0.35">
      <c r="A233" s="8">
        <v>42059</v>
      </c>
      <c r="B233" s="71">
        <v>0.625</v>
      </c>
      <c r="C233">
        <v>9.4</v>
      </c>
      <c r="D233">
        <v>0.6</v>
      </c>
      <c r="E233">
        <v>219</v>
      </c>
      <c r="F233">
        <v>211</v>
      </c>
    </row>
    <row r="234" spans="1:6" x14ac:dyDescent="0.35">
      <c r="A234" s="8">
        <v>42059</v>
      </c>
      <c r="B234" s="71">
        <v>0.66666666666666663</v>
      </c>
      <c r="C234">
        <v>9.1999999999999993</v>
      </c>
      <c r="D234">
        <v>1</v>
      </c>
      <c r="E234">
        <v>161</v>
      </c>
      <c r="F234">
        <v>194</v>
      </c>
    </row>
    <row r="235" spans="1:6" x14ac:dyDescent="0.35">
      <c r="A235" s="8">
        <v>42059</v>
      </c>
      <c r="B235" s="71">
        <v>0.70833333333333337</v>
      </c>
      <c r="C235">
        <v>8.8000000000000007</v>
      </c>
      <c r="D235">
        <v>0.1</v>
      </c>
      <c r="E235">
        <v>241</v>
      </c>
      <c r="F235">
        <v>130</v>
      </c>
    </row>
    <row r="236" spans="1:6" x14ac:dyDescent="0.35">
      <c r="A236" s="8">
        <v>42059</v>
      </c>
      <c r="B236" s="71">
        <v>0.75</v>
      </c>
      <c r="C236">
        <v>8.8000000000000007</v>
      </c>
      <c r="D236">
        <v>0</v>
      </c>
      <c r="E236">
        <v>172</v>
      </c>
      <c r="F236">
        <v>83</v>
      </c>
    </row>
    <row r="237" spans="1:6" x14ac:dyDescent="0.35">
      <c r="A237" s="8">
        <v>42059</v>
      </c>
      <c r="B237" s="71">
        <v>0.79166666666666663</v>
      </c>
      <c r="C237">
        <v>8.1999999999999993</v>
      </c>
      <c r="D237">
        <v>0</v>
      </c>
      <c r="E237">
        <v>77</v>
      </c>
      <c r="F237">
        <v>51</v>
      </c>
    </row>
    <row r="238" spans="1:6" x14ac:dyDescent="0.35">
      <c r="A238" s="8">
        <v>42059</v>
      </c>
      <c r="B238" s="71">
        <v>0.83333333333333337</v>
      </c>
      <c r="C238">
        <v>7.5</v>
      </c>
      <c r="D238">
        <v>0</v>
      </c>
      <c r="E238">
        <v>6</v>
      </c>
      <c r="F238">
        <v>8</v>
      </c>
    </row>
    <row r="239" spans="1:6" x14ac:dyDescent="0.35">
      <c r="A239" s="8">
        <v>42059</v>
      </c>
      <c r="B239" s="71">
        <v>0.875</v>
      </c>
      <c r="C239">
        <v>7.5</v>
      </c>
      <c r="D239">
        <v>0</v>
      </c>
      <c r="E239">
        <v>0</v>
      </c>
      <c r="F239">
        <v>0</v>
      </c>
    </row>
    <row r="240" spans="1:6" x14ac:dyDescent="0.35">
      <c r="A240" s="8">
        <v>42059</v>
      </c>
      <c r="B240" s="71">
        <v>0.91666666666666663</v>
      </c>
      <c r="C240">
        <v>7.2</v>
      </c>
      <c r="D240">
        <v>0</v>
      </c>
      <c r="E240">
        <v>0</v>
      </c>
      <c r="F240">
        <v>0</v>
      </c>
    </row>
    <row r="241" spans="1:6" x14ac:dyDescent="0.35">
      <c r="A241" s="8">
        <v>42059</v>
      </c>
      <c r="B241" s="71">
        <v>0.95833333333333337</v>
      </c>
      <c r="C241">
        <v>6.8</v>
      </c>
      <c r="D241">
        <v>0</v>
      </c>
      <c r="E241">
        <v>0</v>
      </c>
      <c r="F241">
        <v>0</v>
      </c>
    </row>
    <row r="242" spans="1:6" x14ac:dyDescent="0.35">
      <c r="A242" s="8">
        <v>42060</v>
      </c>
      <c r="B242" s="71">
        <v>0</v>
      </c>
      <c r="C242">
        <v>6.2</v>
      </c>
      <c r="D242">
        <v>0</v>
      </c>
      <c r="E242">
        <v>0</v>
      </c>
      <c r="F242">
        <v>0</v>
      </c>
    </row>
    <row r="243" spans="1:6" x14ac:dyDescent="0.35">
      <c r="A243" s="8">
        <v>42060</v>
      </c>
      <c r="B243" s="71">
        <v>4.1666666666666664E-2</v>
      </c>
      <c r="C243">
        <v>5.3</v>
      </c>
      <c r="D243">
        <v>0</v>
      </c>
      <c r="E243">
        <v>0</v>
      </c>
      <c r="F243">
        <v>0</v>
      </c>
    </row>
    <row r="244" spans="1:6" x14ac:dyDescent="0.35">
      <c r="A244" s="8">
        <v>42060</v>
      </c>
      <c r="B244" s="71">
        <v>8.3333333333333329E-2</v>
      </c>
      <c r="C244">
        <v>4.5</v>
      </c>
      <c r="D244">
        <v>0</v>
      </c>
      <c r="E244">
        <v>0</v>
      </c>
      <c r="F244">
        <v>0</v>
      </c>
    </row>
    <row r="245" spans="1:6" x14ac:dyDescent="0.35">
      <c r="A245" s="8">
        <v>42060</v>
      </c>
      <c r="B245" s="71">
        <v>0.125</v>
      </c>
      <c r="C245">
        <v>4</v>
      </c>
      <c r="D245">
        <v>0</v>
      </c>
      <c r="E245">
        <v>0</v>
      </c>
      <c r="F245">
        <v>0</v>
      </c>
    </row>
    <row r="246" spans="1:6" x14ac:dyDescent="0.35">
      <c r="A246" s="8">
        <v>42060</v>
      </c>
      <c r="B246" s="71">
        <v>0.16666666666666666</v>
      </c>
      <c r="C246">
        <v>3.8</v>
      </c>
      <c r="D246">
        <v>0</v>
      </c>
      <c r="E246">
        <v>0</v>
      </c>
      <c r="F246">
        <v>0</v>
      </c>
    </row>
    <row r="247" spans="1:6" x14ac:dyDescent="0.35">
      <c r="A247" s="8">
        <v>42060</v>
      </c>
      <c r="B247" s="71">
        <v>0.20833333333333334</v>
      </c>
      <c r="C247">
        <v>4.3</v>
      </c>
      <c r="D247">
        <v>0</v>
      </c>
      <c r="E247">
        <v>0</v>
      </c>
      <c r="F247">
        <v>0</v>
      </c>
    </row>
    <row r="248" spans="1:6" x14ac:dyDescent="0.35">
      <c r="A248" s="8">
        <v>42060</v>
      </c>
      <c r="B248" s="71">
        <v>0.25</v>
      </c>
      <c r="C248">
        <v>4.5</v>
      </c>
      <c r="D248">
        <v>0</v>
      </c>
      <c r="E248">
        <v>0</v>
      </c>
      <c r="F248">
        <v>0</v>
      </c>
    </row>
    <row r="249" spans="1:6" x14ac:dyDescent="0.35">
      <c r="A249" s="8">
        <v>42060</v>
      </c>
      <c r="B249" s="71">
        <v>0.29166666666666669</v>
      </c>
      <c r="C249">
        <v>5</v>
      </c>
      <c r="D249">
        <v>0.1</v>
      </c>
      <c r="E249">
        <v>0</v>
      </c>
      <c r="F249">
        <v>0</v>
      </c>
    </row>
    <row r="250" spans="1:6" x14ac:dyDescent="0.35">
      <c r="A250" s="8">
        <v>42060</v>
      </c>
      <c r="B250" s="71">
        <v>0.33333333333333331</v>
      </c>
      <c r="C250">
        <v>5.6</v>
      </c>
      <c r="D250">
        <v>0.6</v>
      </c>
      <c r="E250">
        <v>0</v>
      </c>
      <c r="F250">
        <v>0</v>
      </c>
    </row>
    <row r="251" spans="1:6" x14ac:dyDescent="0.35">
      <c r="A251" s="8">
        <v>42060</v>
      </c>
      <c r="B251" s="71">
        <v>0.375</v>
      </c>
      <c r="C251">
        <v>6.3</v>
      </c>
      <c r="D251">
        <v>1.1000000000000001</v>
      </c>
      <c r="E251">
        <v>0</v>
      </c>
      <c r="F251">
        <v>0</v>
      </c>
    </row>
    <row r="252" spans="1:6" x14ac:dyDescent="0.35">
      <c r="A252" s="8">
        <v>42060</v>
      </c>
      <c r="B252" s="71">
        <v>0.41666666666666669</v>
      </c>
      <c r="C252">
        <v>7.1</v>
      </c>
      <c r="D252">
        <v>1.7</v>
      </c>
      <c r="E252">
        <v>0</v>
      </c>
      <c r="F252">
        <v>12</v>
      </c>
    </row>
    <row r="253" spans="1:6" x14ac:dyDescent="0.35">
      <c r="A253" s="8">
        <v>42060</v>
      </c>
      <c r="B253" s="71">
        <v>0.45833333333333331</v>
      </c>
      <c r="C253">
        <v>8.4</v>
      </c>
      <c r="D253">
        <v>1.8</v>
      </c>
      <c r="E253">
        <v>0</v>
      </c>
      <c r="F253">
        <v>22</v>
      </c>
    </row>
    <row r="254" spans="1:6" x14ac:dyDescent="0.35">
      <c r="A254" s="8">
        <v>42060</v>
      </c>
      <c r="B254" s="71">
        <v>0.5</v>
      </c>
      <c r="C254">
        <v>9.4</v>
      </c>
      <c r="D254">
        <v>1.2</v>
      </c>
      <c r="E254">
        <v>0</v>
      </c>
      <c r="F254">
        <v>25</v>
      </c>
    </row>
    <row r="255" spans="1:6" x14ac:dyDescent="0.35">
      <c r="A255" s="8">
        <v>42060</v>
      </c>
      <c r="B255" s="71">
        <v>0.54166666666666663</v>
      </c>
      <c r="C255">
        <v>9.9</v>
      </c>
      <c r="D255">
        <v>0.5</v>
      </c>
      <c r="E255">
        <v>0</v>
      </c>
      <c r="F255">
        <v>55</v>
      </c>
    </row>
    <row r="256" spans="1:6" x14ac:dyDescent="0.35">
      <c r="A256" s="8">
        <v>42060</v>
      </c>
      <c r="B256" s="71">
        <v>0.58333333333333337</v>
      </c>
      <c r="C256">
        <v>10.3</v>
      </c>
      <c r="D256">
        <v>0.4</v>
      </c>
      <c r="E256">
        <v>17</v>
      </c>
      <c r="F256">
        <v>106</v>
      </c>
    </row>
    <row r="257" spans="1:6" x14ac:dyDescent="0.35">
      <c r="A257" s="8">
        <v>42060</v>
      </c>
      <c r="B257" s="71">
        <v>0.625</v>
      </c>
      <c r="C257">
        <v>10.3</v>
      </c>
      <c r="D257">
        <v>0.4</v>
      </c>
      <c r="E257">
        <v>20</v>
      </c>
      <c r="F257">
        <v>115</v>
      </c>
    </row>
    <row r="258" spans="1:6" x14ac:dyDescent="0.35">
      <c r="A258" s="8">
        <v>42060</v>
      </c>
      <c r="B258" s="71">
        <v>0.66666666666666663</v>
      </c>
      <c r="C258">
        <v>10.5</v>
      </c>
      <c r="D258">
        <v>0.5</v>
      </c>
      <c r="E258">
        <v>29</v>
      </c>
      <c r="F258">
        <v>96</v>
      </c>
    </row>
    <row r="259" spans="1:6" x14ac:dyDescent="0.35">
      <c r="A259" s="8">
        <v>42060</v>
      </c>
      <c r="B259" s="71">
        <v>0.70833333333333337</v>
      </c>
      <c r="C259">
        <v>10.4</v>
      </c>
      <c r="D259">
        <v>0.2</v>
      </c>
      <c r="E259">
        <v>2</v>
      </c>
      <c r="F259">
        <v>61</v>
      </c>
    </row>
    <row r="260" spans="1:6" x14ac:dyDescent="0.35">
      <c r="A260" s="8">
        <v>42060</v>
      </c>
      <c r="B260" s="71">
        <v>0.75</v>
      </c>
      <c r="C260">
        <v>10.4</v>
      </c>
      <c r="D260">
        <v>0</v>
      </c>
      <c r="E260">
        <v>0</v>
      </c>
      <c r="F260">
        <v>33</v>
      </c>
    </row>
    <row r="261" spans="1:6" x14ac:dyDescent="0.35">
      <c r="A261" s="8">
        <v>42060</v>
      </c>
      <c r="B261" s="71">
        <v>0.79166666666666663</v>
      </c>
      <c r="C261">
        <v>10.5</v>
      </c>
      <c r="D261">
        <v>0</v>
      </c>
      <c r="E261">
        <v>0</v>
      </c>
      <c r="F261">
        <v>15</v>
      </c>
    </row>
    <row r="262" spans="1:6" x14ac:dyDescent="0.35">
      <c r="A262" s="8">
        <v>42060</v>
      </c>
      <c r="B262" s="71">
        <v>0.83333333333333337</v>
      </c>
      <c r="C262">
        <v>10.4</v>
      </c>
      <c r="D262">
        <v>0</v>
      </c>
      <c r="E262">
        <v>0</v>
      </c>
      <c r="F262">
        <v>2</v>
      </c>
    </row>
    <row r="263" spans="1:6" x14ac:dyDescent="0.35">
      <c r="A263" s="8">
        <v>42060</v>
      </c>
      <c r="B263" s="71">
        <v>0.875</v>
      </c>
      <c r="C263">
        <v>10.3</v>
      </c>
      <c r="D263">
        <v>0</v>
      </c>
      <c r="E263">
        <v>0</v>
      </c>
      <c r="F263">
        <v>0</v>
      </c>
    </row>
    <row r="264" spans="1:6" x14ac:dyDescent="0.35">
      <c r="A264" s="8">
        <v>42060</v>
      </c>
      <c r="B264" s="71">
        <v>0.91666666666666663</v>
      </c>
      <c r="C264">
        <v>10.199999999999999</v>
      </c>
      <c r="D264">
        <v>0</v>
      </c>
      <c r="E264">
        <v>0</v>
      </c>
      <c r="F264">
        <v>0</v>
      </c>
    </row>
    <row r="265" spans="1:6" x14ac:dyDescent="0.35">
      <c r="A265" s="8">
        <v>42060</v>
      </c>
      <c r="B265" s="71">
        <v>0.95833333333333337</v>
      </c>
      <c r="C265">
        <v>10.199999999999999</v>
      </c>
      <c r="D265">
        <v>0</v>
      </c>
      <c r="E265">
        <v>0</v>
      </c>
      <c r="F265">
        <v>0</v>
      </c>
    </row>
    <row r="266" spans="1:6" x14ac:dyDescent="0.35">
      <c r="A266" s="8">
        <v>42061</v>
      </c>
      <c r="B266" s="71">
        <v>0</v>
      </c>
      <c r="C266">
        <v>10.1</v>
      </c>
      <c r="D266">
        <v>0</v>
      </c>
      <c r="E266">
        <v>0</v>
      </c>
      <c r="F266">
        <v>0</v>
      </c>
    </row>
    <row r="267" spans="1:6" x14ac:dyDescent="0.35">
      <c r="A267" s="8">
        <v>42061</v>
      </c>
      <c r="B267" s="71">
        <v>4.1666666666666664E-2</v>
      </c>
      <c r="C267">
        <v>10</v>
      </c>
      <c r="D267">
        <v>0</v>
      </c>
      <c r="E267">
        <v>0</v>
      </c>
      <c r="F267">
        <v>0</v>
      </c>
    </row>
    <row r="268" spans="1:6" x14ac:dyDescent="0.35">
      <c r="A268" s="8">
        <v>42061</v>
      </c>
      <c r="B268" s="71">
        <v>8.3333333333333329E-2</v>
      </c>
      <c r="C268">
        <v>10</v>
      </c>
      <c r="D268">
        <v>0</v>
      </c>
      <c r="E268">
        <v>0</v>
      </c>
      <c r="F268">
        <v>0</v>
      </c>
    </row>
    <row r="269" spans="1:6" x14ac:dyDescent="0.35">
      <c r="A269" s="8">
        <v>42061</v>
      </c>
      <c r="B269" s="71">
        <v>0.125</v>
      </c>
      <c r="C269">
        <v>9.9</v>
      </c>
      <c r="D269">
        <v>0</v>
      </c>
      <c r="E269">
        <v>0</v>
      </c>
      <c r="F269">
        <v>0</v>
      </c>
    </row>
    <row r="270" spans="1:6" x14ac:dyDescent="0.35">
      <c r="A270" s="8">
        <v>42061</v>
      </c>
      <c r="B270" s="71">
        <v>0.16666666666666666</v>
      </c>
      <c r="C270">
        <v>9.9</v>
      </c>
      <c r="D270">
        <v>0</v>
      </c>
      <c r="E270">
        <v>0</v>
      </c>
      <c r="F270">
        <v>0</v>
      </c>
    </row>
    <row r="271" spans="1:6" x14ac:dyDescent="0.35">
      <c r="A271" s="8">
        <v>42061</v>
      </c>
      <c r="B271" s="71">
        <v>0.20833333333333334</v>
      </c>
      <c r="C271">
        <v>9.8000000000000007</v>
      </c>
      <c r="D271">
        <v>0.4</v>
      </c>
      <c r="E271">
        <v>0</v>
      </c>
      <c r="F271">
        <v>0</v>
      </c>
    </row>
    <row r="272" spans="1:6" x14ac:dyDescent="0.35">
      <c r="A272" s="8">
        <v>42061</v>
      </c>
      <c r="B272" s="71">
        <v>0.25</v>
      </c>
      <c r="C272">
        <v>9.6999999999999993</v>
      </c>
      <c r="D272">
        <v>0</v>
      </c>
      <c r="E272">
        <v>0</v>
      </c>
      <c r="F272">
        <v>0</v>
      </c>
    </row>
    <row r="273" spans="1:6" x14ac:dyDescent="0.35">
      <c r="A273" s="8">
        <v>42061</v>
      </c>
      <c r="B273" s="71">
        <v>0.29166666666666669</v>
      </c>
      <c r="C273">
        <v>9.6999999999999993</v>
      </c>
      <c r="D273">
        <v>0</v>
      </c>
      <c r="E273">
        <v>0</v>
      </c>
      <c r="F273">
        <v>0</v>
      </c>
    </row>
    <row r="274" spans="1:6" x14ac:dyDescent="0.35">
      <c r="A274" s="8">
        <v>42061</v>
      </c>
      <c r="B274" s="71">
        <v>0.33333333333333331</v>
      </c>
      <c r="C274">
        <v>9.6999999999999993</v>
      </c>
      <c r="D274">
        <v>0.1</v>
      </c>
      <c r="E274">
        <v>0</v>
      </c>
      <c r="F274">
        <v>0</v>
      </c>
    </row>
    <row r="275" spans="1:6" x14ac:dyDescent="0.35">
      <c r="A275" s="8">
        <v>42061</v>
      </c>
      <c r="B275" s="71">
        <v>0.375</v>
      </c>
      <c r="C275">
        <v>10</v>
      </c>
      <c r="D275">
        <v>0</v>
      </c>
      <c r="E275">
        <v>0</v>
      </c>
      <c r="F275">
        <v>0</v>
      </c>
    </row>
    <row r="276" spans="1:6" x14ac:dyDescent="0.35">
      <c r="A276" s="8">
        <v>42061</v>
      </c>
      <c r="B276" s="71">
        <v>0.41666666666666669</v>
      </c>
      <c r="C276">
        <v>10.199999999999999</v>
      </c>
      <c r="D276">
        <v>0</v>
      </c>
      <c r="E276">
        <v>1</v>
      </c>
      <c r="F276">
        <v>7</v>
      </c>
    </row>
    <row r="277" spans="1:6" x14ac:dyDescent="0.35">
      <c r="A277" s="8">
        <v>42061</v>
      </c>
      <c r="B277" s="71">
        <v>0.45833333333333331</v>
      </c>
      <c r="C277">
        <v>10.4</v>
      </c>
      <c r="D277">
        <v>0</v>
      </c>
      <c r="E277">
        <v>0</v>
      </c>
      <c r="F277">
        <v>16</v>
      </c>
    </row>
    <row r="278" spans="1:6" x14ac:dyDescent="0.35">
      <c r="A278" s="8">
        <v>42061</v>
      </c>
      <c r="B278" s="71">
        <v>0.5</v>
      </c>
      <c r="C278">
        <v>10.5</v>
      </c>
      <c r="D278">
        <v>0</v>
      </c>
      <c r="E278">
        <v>0</v>
      </c>
      <c r="F278">
        <v>18</v>
      </c>
    </row>
    <row r="279" spans="1:6" x14ac:dyDescent="0.35">
      <c r="A279" s="8">
        <v>42061</v>
      </c>
      <c r="B279" s="71">
        <v>0.54166666666666663</v>
      </c>
      <c r="C279">
        <v>10.8</v>
      </c>
      <c r="D279">
        <v>0</v>
      </c>
      <c r="E279">
        <v>0</v>
      </c>
      <c r="F279">
        <v>46</v>
      </c>
    </row>
    <row r="280" spans="1:6" x14ac:dyDescent="0.35">
      <c r="A280" s="8">
        <v>42061</v>
      </c>
      <c r="B280" s="71">
        <v>0.58333333333333337</v>
      </c>
      <c r="C280">
        <v>11.1</v>
      </c>
      <c r="D280">
        <v>0.2</v>
      </c>
      <c r="E280">
        <v>0</v>
      </c>
      <c r="F280">
        <v>111</v>
      </c>
    </row>
    <row r="281" spans="1:6" x14ac:dyDescent="0.35">
      <c r="A281" s="8">
        <v>42061</v>
      </c>
      <c r="B281" s="71">
        <v>0.625</v>
      </c>
      <c r="C281">
        <v>11.8</v>
      </c>
      <c r="D281">
        <v>0</v>
      </c>
      <c r="E281">
        <v>33</v>
      </c>
      <c r="F281">
        <v>148</v>
      </c>
    </row>
    <row r="282" spans="1:6" x14ac:dyDescent="0.35">
      <c r="A282" s="8">
        <v>42061</v>
      </c>
      <c r="B282" s="71">
        <v>0.66666666666666663</v>
      </c>
      <c r="C282">
        <v>11.9</v>
      </c>
      <c r="D282">
        <v>0</v>
      </c>
      <c r="E282">
        <v>22</v>
      </c>
      <c r="F282">
        <v>126</v>
      </c>
    </row>
    <row r="283" spans="1:6" x14ac:dyDescent="0.35">
      <c r="A283" s="8">
        <v>42061</v>
      </c>
      <c r="B283" s="71">
        <v>0.70833333333333337</v>
      </c>
      <c r="C283">
        <v>12.3</v>
      </c>
      <c r="D283">
        <v>0</v>
      </c>
      <c r="E283">
        <v>48</v>
      </c>
      <c r="F283">
        <v>146</v>
      </c>
    </row>
    <row r="284" spans="1:6" x14ac:dyDescent="0.35">
      <c r="A284" s="8">
        <v>42061</v>
      </c>
      <c r="B284" s="71">
        <v>0.75</v>
      </c>
      <c r="C284">
        <v>11.9</v>
      </c>
      <c r="D284">
        <v>0.1</v>
      </c>
      <c r="E284">
        <v>19</v>
      </c>
      <c r="F284">
        <v>79</v>
      </c>
    </row>
    <row r="285" spans="1:6" x14ac:dyDescent="0.35">
      <c r="A285" s="8">
        <v>42061</v>
      </c>
      <c r="B285" s="71">
        <v>0.79166666666666663</v>
      </c>
      <c r="C285">
        <v>11.1</v>
      </c>
      <c r="D285">
        <v>0.7</v>
      </c>
      <c r="E285">
        <v>10</v>
      </c>
      <c r="F285">
        <v>23</v>
      </c>
    </row>
    <row r="286" spans="1:6" x14ac:dyDescent="0.35">
      <c r="A286" s="8">
        <v>42061</v>
      </c>
      <c r="B286" s="71">
        <v>0.83333333333333337</v>
      </c>
      <c r="C286">
        <v>10.8</v>
      </c>
      <c r="D286">
        <v>1.4</v>
      </c>
      <c r="E286">
        <v>0</v>
      </c>
      <c r="F286">
        <v>3</v>
      </c>
    </row>
    <row r="287" spans="1:6" x14ac:dyDescent="0.35">
      <c r="A287" s="8">
        <v>42061</v>
      </c>
      <c r="B287" s="71">
        <v>0.875</v>
      </c>
      <c r="C287">
        <v>10.9</v>
      </c>
      <c r="D287">
        <v>1.1000000000000001</v>
      </c>
      <c r="E287">
        <v>0</v>
      </c>
      <c r="F287">
        <v>0</v>
      </c>
    </row>
    <row r="288" spans="1:6" x14ac:dyDescent="0.35">
      <c r="A288" s="8">
        <v>42061</v>
      </c>
      <c r="B288" s="71">
        <v>0.91666666666666663</v>
      </c>
      <c r="C288">
        <v>10.9</v>
      </c>
      <c r="D288">
        <v>1.1000000000000001</v>
      </c>
      <c r="E288">
        <v>0</v>
      </c>
      <c r="F288">
        <v>0</v>
      </c>
    </row>
    <row r="289" spans="1:6" x14ac:dyDescent="0.35">
      <c r="A289" s="8">
        <v>42061</v>
      </c>
      <c r="B289" s="71">
        <v>0.95833333333333337</v>
      </c>
      <c r="C289">
        <v>10.7</v>
      </c>
      <c r="D289">
        <v>1.1000000000000001</v>
      </c>
      <c r="E289">
        <v>0</v>
      </c>
      <c r="F289">
        <v>0</v>
      </c>
    </row>
    <row r="290" spans="1:6" x14ac:dyDescent="0.35">
      <c r="A290" s="8">
        <v>42062</v>
      </c>
      <c r="B290" s="71">
        <v>0</v>
      </c>
      <c r="C290">
        <v>10.1</v>
      </c>
      <c r="D290">
        <v>0.2</v>
      </c>
      <c r="E290">
        <v>0</v>
      </c>
      <c r="F290">
        <v>0</v>
      </c>
    </row>
    <row r="291" spans="1:6" x14ac:dyDescent="0.35">
      <c r="A291" s="8">
        <v>42062</v>
      </c>
      <c r="B291" s="71">
        <v>4.1666666666666664E-2</v>
      </c>
      <c r="C291">
        <v>9.1</v>
      </c>
      <c r="D291">
        <v>0</v>
      </c>
      <c r="E291">
        <v>0</v>
      </c>
      <c r="F291">
        <v>0</v>
      </c>
    </row>
    <row r="292" spans="1:6" x14ac:dyDescent="0.35">
      <c r="A292" s="8">
        <v>42062</v>
      </c>
      <c r="B292" s="71">
        <v>8.3333333333333329E-2</v>
      </c>
      <c r="C292">
        <v>8.5</v>
      </c>
      <c r="D292">
        <v>0</v>
      </c>
      <c r="E292">
        <v>0</v>
      </c>
      <c r="F292">
        <v>0</v>
      </c>
    </row>
    <row r="293" spans="1:6" x14ac:dyDescent="0.35">
      <c r="A293" s="8">
        <v>42062</v>
      </c>
      <c r="B293" s="71">
        <v>0.125</v>
      </c>
      <c r="C293">
        <v>8.1</v>
      </c>
      <c r="D293">
        <v>0</v>
      </c>
      <c r="E293">
        <v>0</v>
      </c>
      <c r="F293">
        <v>0</v>
      </c>
    </row>
    <row r="294" spans="1:6" x14ac:dyDescent="0.35">
      <c r="A294" s="8">
        <v>42062</v>
      </c>
      <c r="B294" s="71">
        <v>0.16666666666666666</v>
      </c>
      <c r="C294">
        <v>7.7</v>
      </c>
      <c r="D294">
        <v>0</v>
      </c>
      <c r="E294">
        <v>0</v>
      </c>
      <c r="F294">
        <v>0</v>
      </c>
    </row>
    <row r="295" spans="1:6" x14ac:dyDescent="0.35">
      <c r="A295" s="8">
        <v>42062</v>
      </c>
      <c r="B295" s="71">
        <v>0.20833333333333334</v>
      </c>
      <c r="C295">
        <v>7.1</v>
      </c>
      <c r="D295">
        <v>0</v>
      </c>
      <c r="E295">
        <v>0</v>
      </c>
      <c r="F295">
        <v>0</v>
      </c>
    </row>
    <row r="296" spans="1:6" x14ac:dyDescent="0.35">
      <c r="A296" s="8">
        <v>42062</v>
      </c>
      <c r="B296" s="71">
        <v>0.25</v>
      </c>
      <c r="C296">
        <v>6.4</v>
      </c>
      <c r="D296">
        <v>0</v>
      </c>
      <c r="E296">
        <v>0</v>
      </c>
      <c r="F296">
        <v>0</v>
      </c>
    </row>
    <row r="297" spans="1:6" x14ac:dyDescent="0.35">
      <c r="A297" s="8">
        <v>42062</v>
      </c>
      <c r="B297" s="71">
        <v>0.29166666666666669</v>
      </c>
      <c r="C297">
        <v>5.9</v>
      </c>
      <c r="D297">
        <v>0</v>
      </c>
      <c r="E297">
        <v>0</v>
      </c>
      <c r="F297">
        <v>0</v>
      </c>
    </row>
    <row r="298" spans="1:6" x14ac:dyDescent="0.35">
      <c r="A298" s="8">
        <v>42062</v>
      </c>
      <c r="B298" s="71">
        <v>0.33333333333333331</v>
      </c>
      <c r="C298">
        <v>5.6</v>
      </c>
      <c r="D298">
        <v>0</v>
      </c>
      <c r="E298">
        <v>0</v>
      </c>
      <c r="F298">
        <v>0</v>
      </c>
    </row>
    <row r="299" spans="1:6" x14ac:dyDescent="0.35">
      <c r="A299" s="8">
        <v>42062</v>
      </c>
      <c r="B299" s="71">
        <v>0.375</v>
      </c>
      <c r="C299">
        <v>5.7</v>
      </c>
      <c r="D299">
        <v>0</v>
      </c>
      <c r="E299">
        <v>0</v>
      </c>
      <c r="F299">
        <v>1</v>
      </c>
    </row>
    <row r="300" spans="1:6" x14ac:dyDescent="0.35">
      <c r="A300" s="8">
        <v>42062</v>
      </c>
      <c r="B300" s="71">
        <v>0.41666666666666669</v>
      </c>
      <c r="C300">
        <v>5.9</v>
      </c>
      <c r="D300">
        <v>0</v>
      </c>
      <c r="E300">
        <v>50</v>
      </c>
      <c r="F300">
        <v>34</v>
      </c>
    </row>
    <row r="301" spans="1:6" x14ac:dyDescent="0.35">
      <c r="A301" s="8">
        <v>42062</v>
      </c>
      <c r="B301" s="71">
        <v>0.45833333333333331</v>
      </c>
      <c r="C301">
        <v>6.9</v>
      </c>
      <c r="D301">
        <v>0</v>
      </c>
      <c r="E301">
        <v>196</v>
      </c>
      <c r="F301">
        <v>61</v>
      </c>
    </row>
    <row r="302" spans="1:6" x14ac:dyDescent="0.35">
      <c r="A302" s="8">
        <v>42062</v>
      </c>
      <c r="B302" s="71">
        <v>0.5</v>
      </c>
      <c r="C302">
        <v>8</v>
      </c>
      <c r="D302">
        <v>0</v>
      </c>
      <c r="E302">
        <v>315</v>
      </c>
      <c r="F302">
        <v>87</v>
      </c>
    </row>
    <row r="303" spans="1:6" x14ac:dyDescent="0.35">
      <c r="A303" s="8">
        <v>42062</v>
      </c>
      <c r="B303" s="71">
        <v>0.54166666666666663</v>
      </c>
      <c r="C303">
        <v>9.1</v>
      </c>
      <c r="D303">
        <v>0</v>
      </c>
      <c r="E303">
        <v>439</v>
      </c>
      <c r="F303">
        <v>92</v>
      </c>
    </row>
    <row r="304" spans="1:6" x14ac:dyDescent="0.35">
      <c r="A304" s="8">
        <v>42062</v>
      </c>
      <c r="B304" s="71">
        <v>0.58333333333333337</v>
      </c>
      <c r="C304">
        <v>10</v>
      </c>
      <c r="D304">
        <v>0</v>
      </c>
      <c r="E304">
        <v>508</v>
      </c>
      <c r="F304">
        <v>102</v>
      </c>
    </row>
    <row r="305" spans="1:6" x14ac:dyDescent="0.35">
      <c r="A305" s="8">
        <v>42062</v>
      </c>
      <c r="B305" s="71">
        <v>0.625</v>
      </c>
      <c r="C305">
        <v>10.4</v>
      </c>
      <c r="D305">
        <v>0</v>
      </c>
      <c r="E305">
        <v>464</v>
      </c>
      <c r="F305">
        <v>127</v>
      </c>
    </row>
    <row r="306" spans="1:6" x14ac:dyDescent="0.35">
      <c r="A306" s="8">
        <v>42062</v>
      </c>
      <c r="B306" s="71">
        <v>0.66666666666666663</v>
      </c>
      <c r="C306">
        <v>10.4</v>
      </c>
      <c r="D306">
        <v>0</v>
      </c>
      <c r="E306">
        <v>254</v>
      </c>
      <c r="F306">
        <v>205</v>
      </c>
    </row>
    <row r="307" spans="1:6" x14ac:dyDescent="0.35">
      <c r="A307" s="8">
        <v>42062</v>
      </c>
      <c r="B307" s="71">
        <v>0.70833333333333337</v>
      </c>
      <c r="C307">
        <v>10.1</v>
      </c>
      <c r="D307">
        <v>0</v>
      </c>
      <c r="E307">
        <v>152</v>
      </c>
      <c r="F307">
        <v>150</v>
      </c>
    </row>
    <row r="308" spans="1:6" x14ac:dyDescent="0.35">
      <c r="A308" s="8">
        <v>42062</v>
      </c>
      <c r="B308" s="71">
        <v>0.75</v>
      </c>
      <c r="C308">
        <v>9.5</v>
      </c>
      <c r="D308">
        <v>0</v>
      </c>
      <c r="E308">
        <v>89</v>
      </c>
      <c r="F308">
        <v>96</v>
      </c>
    </row>
    <row r="309" spans="1:6" x14ac:dyDescent="0.35">
      <c r="A309" s="8">
        <v>42062</v>
      </c>
      <c r="B309" s="71">
        <v>0.79166666666666663</v>
      </c>
      <c r="C309">
        <v>8.9</v>
      </c>
      <c r="D309">
        <v>0</v>
      </c>
      <c r="E309">
        <v>76</v>
      </c>
      <c r="F309">
        <v>58</v>
      </c>
    </row>
    <row r="310" spans="1:6" x14ac:dyDescent="0.35">
      <c r="A310" s="8">
        <v>42062</v>
      </c>
      <c r="B310" s="71">
        <v>0.83333333333333337</v>
      </c>
      <c r="C310">
        <v>7.7</v>
      </c>
      <c r="D310">
        <v>0</v>
      </c>
      <c r="E310">
        <v>10</v>
      </c>
      <c r="F310">
        <v>14</v>
      </c>
    </row>
    <row r="311" spans="1:6" x14ac:dyDescent="0.35">
      <c r="A311" s="8">
        <v>42062</v>
      </c>
      <c r="B311" s="71">
        <v>0.875</v>
      </c>
      <c r="C311">
        <v>6.6</v>
      </c>
      <c r="D311">
        <v>0</v>
      </c>
      <c r="E311">
        <v>0</v>
      </c>
      <c r="F311">
        <v>0</v>
      </c>
    </row>
    <row r="312" spans="1:6" x14ac:dyDescent="0.35">
      <c r="A312" s="8">
        <v>42062</v>
      </c>
      <c r="B312" s="71">
        <v>0.91666666666666663</v>
      </c>
      <c r="C312">
        <v>5.6</v>
      </c>
      <c r="D312">
        <v>0</v>
      </c>
      <c r="E312">
        <v>0</v>
      </c>
      <c r="F312">
        <v>0</v>
      </c>
    </row>
    <row r="313" spans="1:6" x14ac:dyDescent="0.35">
      <c r="A313" s="8">
        <v>42062</v>
      </c>
      <c r="B313" s="71">
        <v>0.95833333333333337</v>
      </c>
      <c r="C313">
        <v>4.8</v>
      </c>
      <c r="D313">
        <v>0</v>
      </c>
      <c r="E313">
        <v>0</v>
      </c>
      <c r="F313">
        <v>0</v>
      </c>
    </row>
    <row r="314" spans="1:6" x14ac:dyDescent="0.35">
      <c r="A314" s="8">
        <v>42063</v>
      </c>
      <c r="B314" s="71">
        <v>0</v>
      </c>
      <c r="C314">
        <v>4.5</v>
      </c>
      <c r="D314">
        <v>0</v>
      </c>
      <c r="E314">
        <v>0</v>
      </c>
      <c r="F314">
        <v>0</v>
      </c>
    </row>
    <row r="315" spans="1:6" x14ac:dyDescent="0.35">
      <c r="A315" s="8">
        <v>42063</v>
      </c>
      <c r="B315" s="71">
        <v>4.1666666666666664E-2</v>
      </c>
      <c r="C315">
        <v>4.5999999999999996</v>
      </c>
      <c r="D315">
        <v>0</v>
      </c>
      <c r="E315">
        <v>0</v>
      </c>
      <c r="F315">
        <v>0</v>
      </c>
    </row>
    <row r="316" spans="1:6" x14ac:dyDescent="0.35">
      <c r="A316" s="8">
        <v>42063</v>
      </c>
      <c r="B316" s="71">
        <v>8.3333333333333329E-2</v>
      </c>
      <c r="C316">
        <v>4.2</v>
      </c>
      <c r="D316">
        <v>0</v>
      </c>
      <c r="E316">
        <v>0</v>
      </c>
      <c r="F316">
        <v>0</v>
      </c>
    </row>
    <row r="317" spans="1:6" x14ac:dyDescent="0.35">
      <c r="A317" s="8">
        <v>42063</v>
      </c>
      <c r="B317" s="71">
        <v>0.125</v>
      </c>
      <c r="C317">
        <v>4</v>
      </c>
      <c r="D317">
        <v>0</v>
      </c>
      <c r="E317">
        <v>0</v>
      </c>
      <c r="F317">
        <v>0</v>
      </c>
    </row>
    <row r="318" spans="1:6" x14ac:dyDescent="0.35">
      <c r="A318" s="8">
        <v>42063</v>
      </c>
      <c r="B318" s="71">
        <v>0.16666666666666666</v>
      </c>
      <c r="C318">
        <v>3.4</v>
      </c>
      <c r="D318">
        <v>0</v>
      </c>
      <c r="E318">
        <v>0</v>
      </c>
      <c r="F318">
        <v>0</v>
      </c>
    </row>
    <row r="319" spans="1:6" x14ac:dyDescent="0.35">
      <c r="A319" s="8">
        <v>42063</v>
      </c>
      <c r="B319" s="71">
        <v>0.20833333333333334</v>
      </c>
      <c r="C319">
        <v>2.6</v>
      </c>
      <c r="D319">
        <v>0</v>
      </c>
      <c r="E319">
        <v>0</v>
      </c>
      <c r="F319">
        <v>0</v>
      </c>
    </row>
    <row r="320" spans="1:6" x14ac:dyDescent="0.35">
      <c r="A320" s="8">
        <v>42063</v>
      </c>
      <c r="B320" s="71">
        <v>0.25</v>
      </c>
      <c r="C320">
        <v>2.9</v>
      </c>
      <c r="D320">
        <v>0</v>
      </c>
      <c r="E320">
        <v>0</v>
      </c>
      <c r="F320">
        <v>0</v>
      </c>
    </row>
    <row r="321" spans="1:6" x14ac:dyDescent="0.35">
      <c r="A321" s="8">
        <v>42063</v>
      </c>
      <c r="B321" s="71">
        <v>0.29166666666666669</v>
      </c>
      <c r="C321">
        <v>3.6</v>
      </c>
      <c r="D321">
        <v>0</v>
      </c>
      <c r="E321">
        <v>0</v>
      </c>
      <c r="F321">
        <v>0</v>
      </c>
    </row>
    <row r="322" spans="1:6" x14ac:dyDescent="0.35">
      <c r="A322" s="8">
        <v>42063</v>
      </c>
      <c r="B322" s="71">
        <v>0.33333333333333331</v>
      </c>
      <c r="C322">
        <v>4</v>
      </c>
      <c r="D322">
        <v>0</v>
      </c>
      <c r="E322">
        <v>0</v>
      </c>
      <c r="F322">
        <v>0</v>
      </c>
    </row>
    <row r="323" spans="1:6" x14ac:dyDescent="0.35">
      <c r="A323" s="8">
        <v>42063</v>
      </c>
      <c r="B323" s="71">
        <v>0.375</v>
      </c>
      <c r="C323">
        <v>4.8</v>
      </c>
      <c r="D323">
        <v>0</v>
      </c>
      <c r="E323">
        <v>0</v>
      </c>
      <c r="F323">
        <v>0</v>
      </c>
    </row>
    <row r="324" spans="1:6" x14ac:dyDescent="0.35">
      <c r="A324" s="8">
        <v>42063</v>
      </c>
      <c r="B324" s="71">
        <v>0.41666666666666669</v>
      </c>
      <c r="C324">
        <v>5.3</v>
      </c>
      <c r="D324">
        <v>0</v>
      </c>
      <c r="E324">
        <v>0</v>
      </c>
      <c r="F324">
        <v>16</v>
      </c>
    </row>
    <row r="325" spans="1:6" x14ac:dyDescent="0.35">
      <c r="A325" s="8">
        <v>42063</v>
      </c>
      <c r="B325" s="71">
        <v>0.45833333333333331</v>
      </c>
      <c r="C325">
        <v>5.8</v>
      </c>
      <c r="D325">
        <v>0</v>
      </c>
      <c r="E325">
        <v>0</v>
      </c>
      <c r="F325">
        <v>32</v>
      </c>
    </row>
    <row r="326" spans="1:6" x14ac:dyDescent="0.35">
      <c r="A326" s="8">
        <v>42063</v>
      </c>
      <c r="B326" s="71">
        <v>0.5</v>
      </c>
      <c r="C326">
        <v>6.5</v>
      </c>
      <c r="D326">
        <v>0</v>
      </c>
      <c r="E326">
        <v>4</v>
      </c>
      <c r="F326">
        <v>62</v>
      </c>
    </row>
    <row r="327" spans="1:6" x14ac:dyDescent="0.35">
      <c r="A327" s="8">
        <v>42063</v>
      </c>
      <c r="B327" s="71">
        <v>0.54166666666666663</v>
      </c>
      <c r="C327">
        <v>7.3</v>
      </c>
      <c r="D327">
        <v>0</v>
      </c>
      <c r="E327">
        <v>0</v>
      </c>
      <c r="F327">
        <v>93</v>
      </c>
    </row>
    <row r="328" spans="1:6" x14ac:dyDescent="0.35">
      <c r="A328" s="8">
        <v>42063</v>
      </c>
      <c r="B328" s="71">
        <v>0.58333333333333337</v>
      </c>
      <c r="C328">
        <v>7.8</v>
      </c>
      <c r="D328">
        <v>0</v>
      </c>
      <c r="E328">
        <v>9</v>
      </c>
      <c r="F328">
        <v>114</v>
      </c>
    </row>
    <row r="329" spans="1:6" x14ac:dyDescent="0.35">
      <c r="A329" s="8">
        <v>42063</v>
      </c>
      <c r="B329" s="71">
        <v>0.625</v>
      </c>
      <c r="C329">
        <v>7.9</v>
      </c>
      <c r="D329">
        <v>0</v>
      </c>
      <c r="E329">
        <v>0</v>
      </c>
      <c r="F329">
        <v>75</v>
      </c>
    </row>
    <row r="330" spans="1:6" x14ac:dyDescent="0.35">
      <c r="A330" s="8">
        <v>42063</v>
      </c>
      <c r="B330" s="71">
        <v>0.66666666666666663</v>
      </c>
      <c r="C330">
        <v>7.9</v>
      </c>
      <c r="D330">
        <v>0</v>
      </c>
      <c r="E330">
        <v>0</v>
      </c>
      <c r="F330">
        <v>50</v>
      </c>
    </row>
    <row r="331" spans="1:6" x14ac:dyDescent="0.35">
      <c r="A331" s="8">
        <v>42063</v>
      </c>
      <c r="B331" s="71">
        <v>0.70833333333333337</v>
      </c>
      <c r="C331">
        <v>7.9</v>
      </c>
      <c r="D331">
        <v>0</v>
      </c>
      <c r="E331">
        <v>0</v>
      </c>
      <c r="F331">
        <v>35</v>
      </c>
    </row>
    <row r="332" spans="1:6" x14ac:dyDescent="0.35">
      <c r="A332" s="8">
        <v>42063</v>
      </c>
      <c r="B332" s="71">
        <v>0.75</v>
      </c>
      <c r="C332">
        <v>8.1</v>
      </c>
      <c r="D332">
        <v>0</v>
      </c>
      <c r="E332">
        <v>0</v>
      </c>
      <c r="F332">
        <v>27</v>
      </c>
    </row>
    <row r="333" spans="1:6" x14ac:dyDescent="0.35">
      <c r="A333" s="8">
        <v>42063</v>
      </c>
      <c r="B333" s="71">
        <v>0.79166666666666663</v>
      </c>
      <c r="C333">
        <v>8.5</v>
      </c>
      <c r="D333">
        <v>0</v>
      </c>
      <c r="E333">
        <v>0</v>
      </c>
      <c r="F333">
        <v>18</v>
      </c>
    </row>
    <row r="334" spans="1:6" x14ac:dyDescent="0.35">
      <c r="A334" s="8">
        <v>42063</v>
      </c>
      <c r="B334" s="71">
        <v>0.83333333333333337</v>
      </c>
      <c r="C334">
        <v>8.8000000000000007</v>
      </c>
      <c r="D334">
        <v>0</v>
      </c>
      <c r="E334">
        <v>0</v>
      </c>
      <c r="F334">
        <v>7</v>
      </c>
    </row>
    <row r="335" spans="1:6" x14ac:dyDescent="0.35">
      <c r="A335" s="8">
        <v>42063</v>
      </c>
      <c r="B335" s="71">
        <v>0.875</v>
      </c>
      <c r="C335">
        <v>9.9</v>
      </c>
      <c r="D335">
        <v>0</v>
      </c>
      <c r="E335">
        <v>0</v>
      </c>
      <c r="F335">
        <v>0</v>
      </c>
    </row>
    <row r="336" spans="1:6" x14ac:dyDescent="0.35">
      <c r="A336" s="8">
        <v>42063</v>
      </c>
      <c r="B336" s="71">
        <v>0.91666666666666663</v>
      </c>
      <c r="C336">
        <v>10.3</v>
      </c>
      <c r="D336">
        <v>0</v>
      </c>
      <c r="E336">
        <v>0</v>
      </c>
      <c r="F336">
        <v>0</v>
      </c>
    </row>
    <row r="337" spans="1:6" x14ac:dyDescent="0.35">
      <c r="A337" s="8">
        <v>42063</v>
      </c>
      <c r="B337" s="71">
        <v>0.95833333333333337</v>
      </c>
      <c r="C337">
        <v>10.5</v>
      </c>
      <c r="D337">
        <v>0</v>
      </c>
      <c r="E337">
        <v>0</v>
      </c>
      <c r="F337">
        <v>0</v>
      </c>
    </row>
    <row r="338" spans="1:6" x14ac:dyDescent="0.35">
      <c r="A338" s="8">
        <v>42064</v>
      </c>
      <c r="B338" s="71">
        <v>0</v>
      </c>
      <c r="C338">
        <v>10.7</v>
      </c>
      <c r="D338">
        <v>0.2</v>
      </c>
      <c r="E338">
        <v>0</v>
      </c>
      <c r="F338">
        <v>0</v>
      </c>
    </row>
    <row r="339" spans="1:6" x14ac:dyDescent="0.35">
      <c r="A339" s="8">
        <v>42064</v>
      </c>
      <c r="B339" s="71">
        <v>4.1666666666666664E-2</v>
      </c>
      <c r="C339">
        <v>11.1</v>
      </c>
      <c r="D339">
        <v>0.4</v>
      </c>
      <c r="E339">
        <v>0</v>
      </c>
      <c r="F339">
        <v>0</v>
      </c>
    </row>
    <row r="340" spans="1:6" x14ac:dyDescent="0.35">
      <c r="A340" s="8">
        <v>42064</v>
      </c>
      <c r="B340" s="71">
        <v>8.3333333333333329E-2</v>
      </c>
      <c r="C340">
        <v>11.4</v>
      </c>
      <c r="D340">
        <v>0.4</v>
      </c>
      <c r="E340">
        <v>0</v>
      </c>
      <c r="F340">
        <v>0</v>
      </c>
    </row>
    <row r="341" spans="1:6" x14ac:dyDescent="0.35">
      <c r="A341" s="8">
        <v>42064</v>
      </c>
      <c r="B341" s="71">
        <v>0.125</v>
      </c>
      <c r="C341">
        <v>11.6</v>
      </c>
      <c r="D341">
        <v>0.3</v>
      </c>
      <c r="E341">
        <v>0</v>
      </c>
      <c r="F341">
        <v>0</v>
      </c>
    </row>
    <row r="342" spans="1:6" x14ac:dyDescent="0.35">
      <c r="A342" s="8">
        <v>42064</v>
      </c>
      <c r="B342" s="71">
        <v>0.16666666666666666</v>
      </c>
      <c r="C342">
        <v>11.6</v>
      </c>
      <c r="D342">
        <v>0.4</v>
      </c>
      <c r="E342">
        <v>0</v>
      </c>
      <c r="F342">
        <v>0</v>
      </c>
    </row>
    <row r="343" spans="1:6" x14ac:dyDescent="0.35">
      <c r="A343" s="8">
        <v>42064</v>
      </c>
      <c r="B343" s="71">
        <v>0.20833333333333334</v>
      </c>
      <c r="C343">
        <v>11.6</v>
      </c>
      <c r="D343">
        <v>0.8</v>
      </c>
      <c r="E343">
        <v>0</v>
      </c>
      <c r="F343">
        <v>0</v>
      </c>
    </row>
    <row r="344" spans="1:6" x14ac:dyDescent="0.35">
      <c r="A344" s="8">
        <v>42064</v>
      </c>
      <c r="B344" s="71">
        <v>0.25</v>
      </c>
      <c r="C344">
        <v>11.6</v>
      </c>
      <c r="D344">
        <v>1.1000000000000001</v>
      </c>
      <c r="E344">
        <v>0</v>
      </c>
      <c r="F344">
        <v>0</v>
      </c>
    </row>
    <row r="345" spans="1:6" x14ac:dyDescent="0.35">
      <c r="A345" s="8">
        <v>42064</v>
      </c>
      <c r="B345" s="71">
        <v>0.29166666666666669</v>
      </c>
      <c r="C345">
        <v>11.6</v>
      </c>
      <c r="D345">
        <v>0.4</v>
      </c>
      <c r="E345">
        <v>0</v>
      </c>
      <c r="F345">
        <v>0</v>
      </c>
    </row>
    <row r="346" spans="1:6" x14ac:dyDescent="0.35">
      <c r="A346" s="8">
        <v>42064</v>
      </c>
      <c r="B346" s="71">
        <v>0.33333333333333331</v>
      </c>
      <c r="C346">
        <v>11.7</v>
      </c>
      <c r="D346">
        <v>0</v>
      </c>
      <c r="E346">
        <v>0</v>
      </c>
      <c r="F346">
        <v>0</v>
      </c>
    </row>
    <row r="347" spans="1:6" x14ac:dyDescent="0.35">
      <c r="A347" s="8">
        <v>42064</v>
      </c>
      <c r="B347" s="71">
        <v>0.375</v>
      </c>
      <c r="C347">
        <v>11.7</v>
      </c>
      <c r="D347">
        <v>0.2</v>
      </c>
      <c r="E347">
        <v>0</v>
      </c>
      <c r="F347">
        <v>0</v>
      </c>
    </row>
    <row r="348" spans="1:6" x14ac:dyDescent="0.35">
      <c r="A348" s="8">
        <v>42064</v>
      </c>
      <c r="B348" s="71">
        <v>0.41666666666666669</v>
      </c>
      <c r="C348">
        <v>11.8</v>
      </c>
      <c r="D348">
        <v>0</v>
      </c>
      <c r="E348">
        <v>2</v>
      </c>
      <c r="F348">
        <v>10</v>
      </c>
    </row>
    <row r="349" spans="1:6" x14ac:dyDescent="0.35">
      <c r="A349" s="8">
        <v>42064</v>
      </c>
      <c r="B349" s="71">
        <v>0.45833333333333331</v>
      </c>
      <c r="C349">
        <v>12</v>
      </c>
      <c r="D349">
        <v>0</v>
      </c>
      <c r="E349">
        <v>0</v>
      </c>
      <c r="F349">
        <v>21</v>
      </c>
    </row>
    <row r="350" spans="1:6" x14ac:dyDescent="0.35">
      <c r="A350" s="8">
        <v>42064</v>
      </c>
      <c r="B350" s="71">
        <v>0.5</v>
      </c>
      <c r="C350">
        <v>12.2</v>
      </c>
      <c r="D350">
        <v>0</v>
      </c>
      <c r="E350">
        <v>1</v>
      </c>
      <c r="F350">
        <v>31</v>
      </c>
    </row>
    <row r="351" spans="1:6" x14ac:dyDescent="0.35">
      <c r="A351" s="8">
        <v>42064</v>
      </c>
      <c r="B351" s="71">
        <v>0.54166666666666663</v>
      </c>
      <c r="C351">
        <v>12.4</v>
      </c>
      <c r="D351">
        <v>0</v>
      </c>
      <c r="E351">
        <v>0</v>
      </c>
      <c r="F351">
        <v>55</v>
      </c>
    </row>
    <row r="352" spans="1:6" x14ac:dyDescent="0.35">
      <c r="A352" s="8">
        <v>42064</v>
      </c>
      <c r="B352" s="71">
        <v>0.58333333333333337</v>
      </c>
      <c r="C352">
        <v>13</v>
      </c>
      <c r="D352">
        <v>0</v>
      </c>
      <c r="E352">
        <v>19</v>
      </c>
      <c r="F352">
        <v>95</v>
      </c>
    </row>
    <row r="353" spans="1:6" x14ac:dyDescent="0.35">
      <c r="A353" s="8">
        <v>42064</v>
      </c>
      <c r="B353" s="71">
        <v>0.625</v>
      </c>
      <c r="C353">
        <v>13.3</v>
      </c>
      <c r="D353">
        <v>0</v>
      </c>
      <c r="E353">
        <v>18</v>
      </c>
      <c r="F353">
        <v>116</v>
      </c>
    </row>
    <row r="354" spans="1:6" x14ac:dyDescent="0.35">
      <c r="A354" s="8">
        <v>42064</v>
      </c>
      <c r="B354" s="71">
        <v>0.66666666666666663</v>
      </c>
      <c r="C354">
        <v>13.2</v>
      </c>
      <c r="D354">
        <v>0</v>
      </c>
      <c r="E354">
        <v>48</v>
      </c>
      <c r="F354">
        <v>67</v>
      </c>
    </row>
    <row r="355" spans="1:6" x14ac:dyDescent="0.35">
      <c r="A355" s="8">
        <v>42064</v>
      </c>
      <c r="B355" s="71">
        <v>0.70833333333333337</v>
      </c>
      <c r="C355">
        <v>13.2</v>
      </c>
      <c r="D355">
        <v>0</v>
      </c>
      <c r="E355">
        <v>21</v>
      </c>
      <c r="F355">
        <v>78</v>
      </c>
    </row>
    <row r="356" spans="1:6" x14ac:dyDescent="0.35">
      <c r="A356" s="8">
        <v>42064</v>
      </c>
      <c r="B356" s="71">
        <v>0.75</v>
      </c>
      <c r="C356">
        <v>13.1</v>
      </c>
      <c r="D356">
        <v>0</v>
      </c>
      <c r="E356">
        <v>3</v>
      </c>
      <c r="F356">
        <v>63</v>
      </c>
    </row>
    <row r="357" spans="1:6" x14ac:dyDescent="0.35">
      <c r="A357" s="8">
        <v>42064</v>
      </c>
      <c r="B357" s="71">
        <v>0.79166666666666663</v>
      </c>
      <c r="C357">
        <v>12.8</v>
      </c>
      <c r="D357">
        <v>0.2</v>
      </c>
      <c r="E357">
        <v>0</v>
      </c>
      <c r="F357">
        <v>23</v>
      </c>
    </row>
    <row r="358" spans="1:6" x14ac:dyDescent="0.35">
      <c r="A358" s="8">
        <v>42064</v>
      </c>
      <c r="B358" s="71">
        <v>0.83333333333333337</v>
      </c>
      <c r="C358">
        <v>12.4</v>
      </c>
      <c r="D358">
        <v>0.5</v>
      </c>
      <c r="E358">
        <v>0</v>
      </c>
      <c r="F358">
        <v>3</v>
      </c>
    </row>
    <row r="359" spans="1:6" x14ac:dyDescent="0.35">
      <c r="A359" s="8">
        <v>42064</v>
      </c>
      <c r="B359" s="71">
        <v>0.875</v>
      </c>
      <c r="C359">
        <v>12.1</v>
      </c>
      <c r="D359">
        <v>0.1</v>
      </c>
      <c r="E359">
        <v>0</v>
      </c>
      <c r="F359">
        <v>0</v>
      </c>
    </row>
    <row r="360" spans="1:6" x14ac:dyDescent="0.35">
      <c r="A360" s="8">
        <v>42064</v>
      </c>
      <c r="B360" s="71">
        <v>0.91666666666666663</v>
      </c>
      <c r="C360">
        <v>12.1</v>
      </c>
      <c r="D360">
        <v>0.1</v>
      </c>
      <c r="E360">
        <v>0</v>
      </c>
      <c r="F360">
        <v>0</v>
      </c>
    </row>
    <row r="361" spans="1:6" x14ac:dyDescent="0.35">
      <c r="A361" s="8">
        <v>42064</v>
      </c>
      <c r="B361" s="71">
        <v>0.95833333333333337</v>
      </c>
      <c r="C361">
        <v>12.1</v>
      </c>
      <c r="D361">
        <v>0.3</v>
      </c>
      <c r="E361">
        <v>0</v>
      </c>
      <c r="F361">
        <v>0</v>
      </c>
    </row>
    <row r="362" spans="1:6" x14ac:dyDescent="0.35">
      <c r="A362" s="8">
        <v>42065</v>
      </c>
      <c r="B362" s="71">
        <v>0</v>
      </c>
      <c r="C362">
        <v>12.1</v>
      </c>
      <c r="D362">
        <v>0</v>
      </c>
      <c r="E362">
        <v>0</v>
      </c>
      <c r="F362">
        <v>0</v>
      </c>
    </row>
    <row r="363" spans="1:6" x14ac:dyDescent="0.35">
      <c r="A363" s="8">
        <v>42065</v>
      </c>
      <c r="B363" s="71">
        <v>4.1666666666666664E-2</v>
      </c>
      <c r="C363">
        <v>12.1</v>
      </c>
      <c r="D363">
        <v>0</v>
      </c>
      <c r="E363">
        <v>0</v>
      </c>
      <c r="F363">
        <v>0</v>
      </c>
    </row>
    <row r="364" spans="1:6" x14ac:dyDescent="0.35">
      <c r="A364" s="8">
        <v>42065</v>
      </c>
      <c r="B364" s="71">
        <v>8.3333333333333329E-2</v>
      </c>
      <c r="C364">
        <v>12.1</v>
      </c>
      <c r="D364">
        <v>0.1</v>
      </c>
      <c r="E364">
        <v>0</v>
      </c>
      <c r="F364">
        <v>0</v>
      </c>
    </row>
    <row r="365" spans="1:6" x14ac:dyDescent="0.35">
      <c r="A365" s="8">
        <v>42065</v>
      </c>
      <c r="B365" s="71">
        <v>0.125</v>
      </c>
      <c r="C365">
        <v>12.1</v>
      </c>
      <c r="D365">
        <v>0.1</v>
      </c>
      <c r="E365">
        <v>0</v>
      </c>
      <c r="F365">
        <v>0</v>
      </c>
    </row>
    <row r="366" spans="1:6" x14ac:dyDescent="0.35">
      <c r="A366" s="8">
        <v>42065</v>
      </c>
      <c r="B366" s="71">
        <v>0.16666666666666666</v>
      </c>
      <c r="C366">
        <v>12.1</v>
      </c>
      <c r="D366">
        <v>0.3</v>
      </c>
      <c r="E366">
        <v>0</v>
      </c>
      <c r="F366">
        <v>0</v>
      </c>
    </row>
    <row r="367" spans="1:6" x14ac:dyDescent="0.35">
      <c r="A367" s="8">
        <v>42065</v>
      </c>
      <c r="B367" s="71">
        <v>0.20833333333333334</v>
      </c>
      <c r="C367">
        <v>12.1</v>
      </c>
      <c r="D367">
        <v>0.5</v>
      </c>
      <c r="E367">
        <v>0</v>
      </c>
      <c r="F367">
        <v>0</v>
      </c>
    </row>
    <row r="368" spans="1:6" x14ac:dyDescent="0.35">
      <c r="A368" s="8">
        <v>42065</v>
      </c>
      <c r="B368" s="71">
        <v>0.25</v>
      </c>
      <c r="C368">
        <v>12.1</v>
      </c>
      <c r="D368">
        <v>0.4</v>
      </c>
      <c r="E368">
        <v>0</v>
      </c>
      <c r="F368">
        <v>0</v>
      </c>
    </row>
    <row r="369" spans="1:6" x14ac:dyDescent="0.35">
      <c r="A369" s="8">
        <v>42065</v>
      </c>
      <c r="B369" s="71">
        <v>0.29166666666666669</v>
      </c>
      <c r="C369">
        <v>12</v>
      </c>
      <c r="D369">
        <v>0.4</v>
      </c>
      <c r="E369">
        <v>0</v>
      </c>
      <c r="F369">
        <v>0</v>
      </c>
    </row>
    <row r="370" spans="1:6" x14ac:dyDescent="0.35">
      <c r="A370" s="8">
        <v>42065</v>
      </c>
      <c r="B370" s="71">
        <v>0.33333333333333331</v>
      </c>
      <c r="C370">
        <v>11.8</v>
      </c>
      <c r="D370">
        <v>0.2</v>
      </c>
      <c r="E370">
        <v>0</v>
      </c>
      <c r="F370">
        <v>0</v>
      </c>
    </row>
    <row r="371" spans="1:6" x14ac:dyDescent="0.35">
      <c r="A371" s="8">
        <v>42065</v>
      </c>
      <c r="B371" s="71">
        <v>0.375</v>
      </c>
      <c r="C371">
        <v>11.2</v>
      </c>
      <c r="D371">
        <v>0.3</v>
      </c>
      <c r="E371">
        <v>0</v>
      </c>
      <c r="F371">
        <v>0</v>
      </c>
    </row>
    <row r="372" spans="1:6" x14ac:dyDescent="0.35">
      <c r="A372" s="8">
        <v>42065</v>
      </c>
      <c r="B372" s="71">
        <v>0.41666666666666669</v>
      </c>
      <c r="C372">
        <v>11</v>
      </c>
      <c r="D372">
        <v>0.2</v>
      </c>
      <c r="E372">
        <v>0</v>
      </c>
      <c r="F372">
        <v>9</v>
      </c>
    </row>
    <row r="373" spans="1:6" x14ac:dyDescent="0.35">
      <c r="A373" s="8">
        <v>42065</v>
      </c>
      <c r="B373" s="71">
        <v>0.45833333333333331</v>
      </c>
      <c r="C373">
        <v>11</v>
      </c>
      <c r="D373">
        <v>0.2</v>
      </c>
      <c r="E373">
        <v>3</v>
      </c>
      <c r="F373">
        <v>38</v>
      </c>
    </row>
    <row r="374" spans="1:6" x14ac:dyDescent="0.35">
      <c r="A374" s="8">
        <v>42065</v>
      </c>
      <c r="B374" s="71">
        <v>0.5</v>
      </c>
      <c r="C374">
        <v>11.3</v>
      </c>
      <c r="D374">
        <v>0.2</v>
      </c>
      <c r="E374">
        <v>20</v>
      </c>
      <c r="F374">
        <v>83</v>
      </c>
    </row>
    <row r="375" spans="1:6" x14ac:dyDescent="0.35">
      <c r="A375" s="8">
        <v>42065</v>
      </c>
      <c r="B375" s="71">
        <v>0.54166666666666663</v>
      </c>
      <c r="C375">
        <v>11.8</v>
      </c>
      <c r="D375">
        <v>0</v>
      </c>
      <c r="E375">
        <v>44</v>
      </c>
      <c r="F375">
        <v>117</v>
      </c>
    </row>
    <row r="376" spans="1:6" x14ac:dyDescent="0.35">
      <c r="A376" s="8">
        <v>42065</v>
      </c>
      <c r="B376" s="71">
        <v>0.58333333333333337</v>
      </c>
      <c r="C376">
        <v>12.7</v>
      </c>
      <c r="D376">
        <v>0</v>
      </c>
      <c r="E376">
        <v>145</v>
      </c>
      <c r="F376">
        <v>151</v>
      </c>
    </row>
    <row r="377" spans="1:6" x14ac:dyDescent="0.35">
      <c r="A377" s="8">
        <v>42065</v>
      </c>
      <c r="B377" s="71">
        <v>0.625</v>
      </c>
      <c r="C377">
        <v>13</v>
      </c>
      <c r="D377">
        <v>0.1</v>
      </c>
      <c r="E377">
        <v>223</v>
      </c>
      <c r="F377">
        <v>151</v>
      </c>
    </row>
    <row r="378" spans="1:6" x14ac:dyDescent="0.35">
      <c r="A378" s="8">
        <v>42065</v>
      </c>
      <c r="B378" s="71">
        <v>0.66666666666666663</v>
      </c>
      <c r="C378">
        <v>12.9</v>
      </c>
      <c r="D378">
        <v>0.1</v>
      </c>
      <c r="E378">
        <v>255</v>
      </c>
      <c r="F378">
        <v>131</v>
      </c>
    </row>
    <row r="379" spans="1:6" x14ac:dyDescent="0.35">
      <c r="A379" s="8">
        <v>42065</v>
      </c>
      <c r="B379" s="71">
        <v>0.70833333333333337</v>
      </c>
      <c r="C379">
        <v>12.9</v>
      </c>
      <c r="D379">
        <v>0</v>
      </c>
      <c r="E379">
        <v>256</v>
      </c>
      <c r="F379">
        <v>95</v>
      </c>
    </row>
    <row r="380" spans="1:6" x14ac:dyDescent="0.35">
      <c r="A380" s="8">
        <v>42065</v>
      </c>
      <c r="B380" s="71">
        <v>0.75</v>
      </c>
      <c r="C380">
        <v>12.6</v>
      </c>
      <c r="D380">
        <v>0</v>
      </c>
      <c r="E380">
        <v>210</v>
      </c>
      <c r="F380">
        <v>81</v>
      </c>
    </row>
    <row r="381" spans="1:6" x14ac:dyDescent="0.35">
      <c r="A381" s="8">
        <v>42065</v>
      </c>
      <c r="B381" s="71">
        <v>0.79166666666666663</v>
      </c>
      <c r="C381">
        <v>11.7</v>
      </c>
      <c r="D381">
        <v>0.1</v>
      </c>
      <c r="E381">
        <v>100</v>
      </c>
      <c r="F381">
        <v>51</v>
      </c>
    </row>
    <row r="382" spans="1:6" x14ac:dyDescent="0.35">
      <c r="A382" s="8">
        <v>42065</v>
      </c>
      <c r="B382" s="71">
        <v>0.83333333333333337</v>
      </c>
      <c r="C382">
        <v>10.5</v>
      </c>
      <c r="D382">
        <v>0</v>
      </c>
      <c r="E382">
        <v>10</v>
      </c>
      <c r="F382">
        <v>13</v>
      </c>
    </row>
    <row r="383" spans="1:6" x14ac:dyDescent="0.35">
      <c r="A383" s="8">
        <v>42065</v>
      </c>
      <c r="B383" s="71">
        <v>0.875</v>
      </c>
      <c r="C383">
        <v>10.4</v>
      </c>
      <c r="D383">
        <v>0</v>
      </c>
      <c r="E383">
        <v>0</v>
      </c>
      <c r="F383">
        <v>0</v>
      </c>
    </row>
    <row r="384" spans="1:6" x14ac:dyDescent="0.35">
      <c r="A384" s="8">
        <v>42065</v>
      </c>
      <c r="B384" s="71">
        <v>0.91666666666666663</v>
      </c>
      <c r="C384">
        <v>9.9</v>
      </c>
      <c r="D384">
        <v>0</v>
      </c>
      <c r="E384">
        <v>0</v>
      </c>
      <c r="F384">
        <v>0</v>
      </c>
    </row>
    <row r="385" spans="1:6" x14ac:dyDescent="0.35">
      <c r="A385" s="8">
        <v>42065</v>
      </c>
      <c r="B385" s="71">
        <v>0.95833333333333337</v>
      </c>
      <c r="C385">
        <v>9.3000000000000007</v>
      </c>
      <c r="D385">
        <v>0</v>
      </c>
      <c r="E385">
        <v>0</v>
      </c>
      <c r="F385">
        <v>0</v>
      </c>
    </row>
    <row r="386" spans="1:6" x14ac:dyDescent="0.35">
      <c r="A386" s="8">
        <v>42066</v>
      </c>
      <c r="B386" s="71">
        <v>0</v>
      </c>
      <c r="C386">
        <v>8.5</v>
      </c>
      <c r="D386">
        <v>0</v>
      </c>
      <c r="E386">
        <v>0</v>
      </c>
      <c r="F386">
        <v>0</v>
      </c>
    </row>
    <row r="387" spans="1:6" x14ac:dyDescent="0.35">
      <c r="A387" s="8">
        <v>42066</v>
      </c>
      <c r="B387" s="71">
        <v>4.1666666666666664E-2</v>
      </c>
      <c r="C387">
        <v>7.8</v>
      </c>
      <c r="D387">
        <v>0</v>
      </c>
      <c r="E387">
        <v>0</v>
      </c>
      <c r="F387">
        <v>0</v>
      </c>
    </row>
    <row r="388" spans="1:6" x14ac:dyDescent="0.35">
      <c r="A388" s="8">
        <v>42066</v>
      </c>
      <c r="B388" s="71">
        <v>8.3333333333333329E-2</v>
      </c>
      <c r="C388">
        <v>7.7</v>
      </c>
      <c r="D388">
        <v>0</v>
      </c>
      <c r="E388">
        <v>0</v>
      </c>
      <c r="F388">
        <v>0</v>
      </c>
    </row>
    <row r="389" spans="1:6" x14ac:dyDescent="0.35">
      <c r="A389" s="8">
        <v>42066</v>
      </c>
      <c r="B389" s="71">
        <v>0.125</v>
      </c>
      <c r="C389">
        <v>7.8</v>
      </c>
      <c r="D389">
        <v>0</v>
      </c>
      <c r="E389">
        <v>0</v>
      </c>
      <c r="F389">
        <v>0</v>
      </c>
    </row>
    <row r="390" spans="1:6" x14ac:dyDescent="0.35">
      <c r="A390" s="8">
        <v>42066</v>
      </c>
      <c r="B390" s="71">
        <v>0.16666666666666666</v>
      </c>
      <c r="C390">
        <v>7.6</v>
      </c>
      <c r="D390">
        <v>0</v>
      </c>
      <c r="E390">
        <v>0</v>
      </c>
      <c r="F390">
        <v>0</v>
      </c>
    </row>
    <row r="391" spans="1:6" x14ac:dyDescent="0.35">
      <c r="A391" s="8">
        <v>42066</v>
      </c>
      <c r="B391" s="71">
        <v>0.20833333333333334</v>
      </c>
      <c r="C391">
        <v>7.7</v>
      </c>
      <c r="D391">
        <v>0</v>
      </c>
      <c r="E391">
        <v>0</v>
      </c>
      <c r="F391">
        <v>0</v>
      </c>
    </row>
    <row r="392" spans="1:6" x14ac:dyDescent="0.35">
      <c r="A392" s="8">
        <v>42066</v>
      </c>
      <c r="B392" s="71">
        <v>0.25</v>
      </c>
      <c r="C392">
        <v>7.4</v>
      </c>
      <c r="D392">
        <v>0</v>
      </c>
      <c r="E392">
        <v>0</v>
      </c>
      <c r="F392">
        <v>0</v>
      </c>
    </row>
    <row r="393" spans="1:6" x14ac:dyDescent="0.35">
      <c r="A393" s="8">
        <v>42066</v>
      </c>
      <c r="B393" s="71">
        <v>0.29166666666666669</v>
      </c>
      <c r="C393">
        <v>7.5</v>
      </c>
      <c r="D393">
        <v>0</v>
      </c>
      <c r="E393">
        <v>0</v>
      </c>
      <c r="F393">
        <v>0</v>
      </c>
    </row>
    <row r="394" spans="1:6" x14ac:dyDescent="0.35">
      <c r="A394" s="8">
        <v>42066</v>
      </c>
      <c r="B394" s="71">
        <v>0.33333333333333331</v>
      </c>
      <c r="C394">
        <v>7.7</v>
      </c>
      <c r="D394">
        <v>0</v>
      </c>
      <c r="E394">
        <v>0</v>
      </c>
      <c r="F394">
        <v>0</v>
      </c>
    </row>
    <row r="395" spans="1:6" x14ac:dyDescent="0.35">
      <c r="A395" s="8">
        <v>42066</v>
      </c>
      <c r="B395" s="71">
        <v>0.375</v>
      </c>
      <c r="C395">
        <v>7.5</v>
      </c>
      <c r="D395">
        <v>0</v>
      </c>
      <c r="E395">
        <v>0</v>
      </c>
      <c r="F395">
        <v>2</v>
      </c>
    </row>
    <row r="396" spans="1:6" x14ac:dyDescent="0.35">
      <c r="A396" s="8">
        <v>42066</v>
      </c>
      <c r="B396" s="71">
        <v>0.41666666666666669</v>
      </c>
      <c r="C396">
        <v>8.4</v>
      </c>
      <c r="D396">
        <v>0</v>
      </c>
      <c r="E396">
        <v>4</v>
      </c>
      <c r="F396">
        <v>43</v>
      </c>
    </row>
    <row r="397" spans="1:6" x14ac:dyDescent="0.35">
      <c r="A397" s="8">
        <v>42066</v>
      </c>
      <c r="B397" s="71">
        <v>0.45833333333333331</v>
      </c>
      <c r="C397">
        <v>10</v>
      </c>
      <c r="D397">
        <v>0</v>
      </c>
      <c r="E397">
        <v>13</v>
      </c>
      <c r="F397">
        <v>95</v>
      </c>
    </row>
    <row r="398" spans="1:6" x14ac:dyDescent="0.35">
      <c r="A398" s="8">
        <v>42066</v>
      </c>
      <c r="B398" s="71">
        <v>0.5</v>
      </c>
      <c r="C398">
        <v>11.1</v>
      </c>
      <c r="D398">
        <v>0</v>
      </c>
      <c r="E398">
        <v>35</v>
      </c>
      <c r="F398">
        <v>137</v>
      </c>
    </row>
    <row r="399" spans="1:6" x14ac:dyDescent="0.35">
      <c r="A399" s="8">
        <v>42066</v>
      </c>
      <c r="B399" s="71">
        <v>0.54166666666666663</v>
      </c>
      <c r="C399">
        <v>12.3</v>
      </c>
      <c r="D399">
        <v>0</v>
      </c>
      <c r="E399">
        <v>53</v>
      </c>
      <c r="F399">
        <v>247</v>
      </c>
    </row>
    <row r="400" spans="1:6" x14ac:dyDescent="0.35">
      <c r="A400" s="8">
        <v>42066</v>
      </c>
      <c r="B400" s="71">
        <v>0.58333333333333337</v>
      </c>
      <c r="C400">
        <v>12.9</v>
      </c>
      <c r="D400">
        <v>0</v>
      </c>
      <c r="E400">
        <v>70</v>
      </c>
      <c r="F400">
        <v>235</v>
      </c>
    </row>
    <row r="401" spans="1:6" x14ac:dyDescent="0.35">
      <c r="A401" s="8">
        <v>42066</v>
      </c>
      <c r="B401" s="71">
        <v>0.625</v>
      </c>
      <c r="C401">
        <v>12.7</v>
      </c>
      <c r="D401">
        <v>0</v>
      </c>
      <c r="E401">
        <v>31</v>
      </c>
      <c r="F401">
        <v>200</v>
      </c>
    </row>
    <row r="402" spans="1:6" x14ac:dyDescent="0.35">
      <c r="A402" s="8">
        <v>42066</v>
      </c>
      <c r="B402" s="71">
        <v>0.66666666666666663</v>
      </c>
      <c r="C402">
        <v>12</v>
      </c>
      <c r="D402">
        <v>0.1</v>
      </c>
      <c r="E402">
        <v>5</v>
      </c>
      <c r="F402">
        <v>117</v>
      </c>
    </row>
    <row r="403" spans="1:6" x14ac:dyDescent="0.35">
      <c r="A403" s="8">
        <v>42066</v>
      </c>
      <c r="B403" s="71">
        <v>0.70833333333333337</v>
      </c>
      <c r="C403">
        <v>11.5</v>
      </c>
      <c r="D403">
        <v>0.3</v>
      </c>
      <c r="E403">
        <v>0</v>
      </c>
      <c r="F403">
        <v>73</v>
      </c>
    </row>
    <row r="404" spans="1:6" x14ac:dyDescent="0.35">
      <c r="A404" s="8">
        <v>42066</v>
      </c>
      <c r="B404" s="71">
        <v>0.75</v>
      </c>
      <c r="C404">
        <v>10.8</v>
      </c>
      <c r="D404">
        <v>0.5</v>
      </c>
      <c r="E404">
        <v>0</v>
      </c>
      <c r="F404">
        <v>44</v>
      </c>
    </row>
    <row r="405" spans="1:6" x14ac:dyDescent="0.35">
      <c r="A405" s="8">
        <v>42066</v>
      </c>
      <c r="B405" s="71">
        <v>0.79166666666666663</v>
      </c>
      <c r="C405">
        <v>10.199999999999999</v>
      </c>
      <c r="D405">
        <v>0.7</v>
      </c>
      <c r="E405">
        <v>4</v>
      </c>
      <c r="F405">
        <v>27</v>
      </c>
    </row>
    <row r="406" spans="1:6" x14ac:dyDescent="0.35">
      <c r="A406" s="8">
        <v>42066</v>
      </c>
      <c r="B406" s="71">
        <v>0.83333333333333337</v>
      </c>
      <c r="C406">
        <v>9.6</v>
      </c>
      <c r="D406">
        <v>0.7</v>
      </c>
      <c r="E406">
        <v>0</v>
      </c>
      <c r="F406">
        <v>8</v>
      </c>
    </row>
    <row r="407" spans="1:6" x14ac:dyDescent="0.35">
      <c r="A407" s="8">
        <v>42066</v>
      </c>
      <c r="B407" s="71">
        <v>0.875</v>
      </c>
      <c r="C407">
        <v>9</v>
      </c>
      <c r="D407">
        <v>0.3</v>
      </c>
      <c r="E407">
        <v>0</v>
      </c>
      <c r="F407">
        <v>0</v>
      </c>
    </row>
    <row r="408" spans="1:6" x14ac:dyDescent="0.35">
      <c r="A408" s="8">
        <v>42066</v>
      </c>
      <c r="B408" s="71">
        <v>0.91666666666666663</v>
      </c>
      <c r="C408">
        <v>8.3000000000000007</v>
      </c>
      <c r="D408">
        <v>0</v>
      </c>
      <c r="E408">
        <v>0</v>
      </c>
      <c r="F408">
        <v>0</v>
      </c>
    </row>
    <row r="409" spans="1:6" x14ac:dyDescent="0.35">
      <c r="A409" s="8">
        <v>42066</v>
      </c>
      <c r="B409" s="71">
        <v>0.95833333333333337</v>
      </c>
      <c r="C409">
        <v>8.1999999999999993</v>
      </c>
      <c r="D409">
        <v>0</v>
      </c>
      <c r="E409">
        <v>0</v>
      </c>
      <c r="F409">
        <v>0</v>
      </c>
    </row>
    <row r="410" spans="1:6" x14ac:dyDescent="0.35">
      <c r="A410" s="8">
        <v>42067</v>
      </c>
      <c r="B410" s="71">
        <v>0</v>
      </c>
      <c r="C410">
        <v>8.3000000000000007</v>
      </c>
      <c r="D410">
        <v>0.2</v>
      </c>
      <c r="E410">
        <v>0</v>
      </c>
      <c r="F410">
        <v>0</v>
      </c>
    </row>
    <row r="411" spans="1:6" x14ac:dyDescent="0.35">
      <c r="A411" s="8">
        <v>42067</v>
      </c>
      <c r="B411" s="71">
        <v>4.1666666666666664E-2</v>
      </c>
      <c r="C411">
        <v>8.3000000000000007</v>
      </c>
      <c r="D411">
        <v>0.3</v>
      </c>
      <c r="E411">
        <v>0</v>
      </c>
      <c r="F411">
        <v>0</v>
      </c>
    </row>
    <row r="412" spans="1:6" x14ac:dyDescent="0.35">
      <c r="A412" s="8">
        <v>42067</v>
      </c>
      <c r="B412" s="71">
        <v>8.3333333333333329E-2</v>
      </c>
      <c r="C412">
        <v>8</v>
      </c>
      <c r="D412">
        <v>0.3</v>
      </c>
      <c r="E412">
        <v>0</v>
      </c>
      <c r="F412">
        <v>0</v>
      </c>
    </row>
    <row r="413" spans="1:6" x14ac:dyDescent="0.35">
      <c r="A413" s="8">
        <v>42067</v>
      </c>
      <c r="B413" s="71">
        <v>0.125</v>
      </c>
      <c r="C413">
        <v>7.6</v>
      </c>
      <c r="D413">
        <v>0.2</v>
      </c>
      <c r="E413">
        <v>0</v>
      </c>
      <c r="F413">
        <v>0</v>
      </c>
    </row>
    <row r="414" spans="1:6" x14ac:dyDescent="0.35">
      <c r="A414" s="8">
        <v>42067</v>
      </c>
      <c r="B414" s="71">
        <v>0.16666666666666666</v>
      </c>
      <c r="C414">
        <v>7.2</v>
      </c>
      <c r="D414">
        <v>0.1</v>
      </c>
      <c r="E414">
        <v>0</v>
      </c>
      <c r="F414">
        <v>0</v>
      </c>
    </row>
    <row r="415" spans="1:6" x14ac:dyDescent="0.35">
      <c r="A415" s="8">
        <v>42067</v>
      </c>
      <c r="B415" s="71">
        <v>0.20833333333333334</v>
      </c>
      <c r="C415">
        <v>6.8</v>
      </c>
      <c r="D415">
        <v>0</v>
      </c>
      <c r="E415">
        <v>0</v>
      </c>
      <c r="F415">
        <v>0</v>
      </c>
    </row>
    <row r="416" spans="1:6" x14ac:dyDescent="0.35">
      <c r="A416" s="8">
        <v>42067</v>
      </c>
      <c r="B416" s="71">
        <v>0.25</v>
      </c>
      <c r="C416">
        <v>6.5</v>
      </c>
      <c r="D416">
        <v>0</v>
      </c>
      <c r="E416">
        <v>0</v>
      </c>
      <c r="F416">
        <v>0</v>
      </c>
    </row>
    <row r="417" spans="1:6" x14ac:dyDescent="0.35">
      <c r="A417" s="8">
        <v>42067</v>
      </c>
      <c r="B417" s="71">
        <v>0.29166666666666669</v>
      </c>
      <c r="C417">
        <v>6.1</v>
      </c>
      <c r="D417">
        <v>0</v>
      </c>
      <c r="E417">
        <v>0</v>
      </c>
      <c r="F417">
        <v>0</v>
      </c>
    </row>
    <row r="418" spans="1:6" x14ac:dyDescent="0.35">
      <c r="A418" s="8">
        <v>42067</v>
      </c>
      <c r="B418" s="71">
        <v>0.33333333333333331</v>
      </c>
      <c r="C418">
        <v>5.7</v>
      </c>
      <c r="D418">
        <v>0</v>
      </c>
      <c r="E418">
        <v>0</v>
      </c>
      <c r="F418">
        <v>0</v>
      </c>
    </row>
    <row r="419" spans="1:6" x14ac:dyDescent="0.35">
      <c r="A419" s="8">
        <v>42067</v>
      </c>
      <c r="B419" s="71">
        <v>0.375</v>
      </c>
      <c r="C419">
        <v>5</v>
      </c>
      <c r="D419">
        <v>0</v>
      </c>
      <c r="E419">
        <v>1</v>
      </c>
      <c r="F419">
        <v>3</v>
      </c>
    </row>
    <row r="420" spans="1:6" x14ac:dyDescent="0.35">
      <c r="A420" s="8">
        <v>42067</v>
      </c>
      <c r="B420" s="71">
        <v>0.41666666666666669</v>
      </c>
      <c r="C420">
        <v>5.9</v>
      </c>
      <c r="D420">
        <v>0</v>
      </c>
      <c r="E420">
        <v>61</v>
      </c>
      <c r="F420">
        <v>43</v>
      </c>
    </row>
    <row r="421" spans="1:6" x14ac:dyDescent="0.35">
      <c r="A421" s="8">
        <v>42067</v>
      </c>
      <c r="B421" s="71">
        <v>0.45833333333333331</v>
      </c>
      <c r="C421">
        <v>7.4</v>
      </c>
      <c r="D421">
        <v>0</v>
      </c>
      <c r="E421">
        <v>161</v>
      </c>
      <c r="F421">
        <v>88</v>
      </c>
    </row>
    <row r="422" spans="1:6" x14ac:dyDescent="0.35">
      <c r="A422" s="8">
        <v>42067</v>
      </c>
      <c r="B422" s="71">
        <v>0.5</v>
      </c>
      <c r="C422">
        <v>8.5</v>
      </c>
      <c r="D422">
        <v>0</v>
      </c>
      <c r="E422">
        <v>316</v>
      </c>
      <c r="F422">
        <v>106</v>
      </c>
    </row>
    <row r="423" spans="1:6" x14ac:dyDescent="0.35">
      <c r="A423" s="8">
        <v>42067</v>
      </c>
      <c r="B423" s="71">
        <v>0.54166666666666663</v>
      </c>
      <c r="C423">
        <v>9.1</v>
      </c>
      <c r="D423">
        <v>0</v>
      </c>
      <c r="E423">
        <v>396</v>
      </c>
      <c r="F423">
        <v>107</v>
      </c>
    </row>
    <row r="424" spans="1:6" x14ac:dyDescent="0.35">
      <c r="A424" s="8">
        <v>42067</v>
      </c>
      <c r="B424" s="71">
        <v>0.58333333333333337</v>
      </c>
      <c r="C424">
        <v>9.6999999999999993</v>
      </c>
      <c r="D424">
        <v>0.1</v>
      </c>
      <c r="E424">
        <v>453</v>
      </c>
      <c r="F424">
        <v>121</v>
      </c>
    </row>
    <row r="425" spans="1:6" x14ac:dyDescent="0.35">
      <c r="A425" s="8">
        <v>42067</v>
      </c>
      <c r="B425" s="71">
        <v>0.625</v>
      </c>
      <c r="C425">
        <v>10</v>
      </c>
      <c r="D425">
        <v>0.2</v>
      </c>
      <c r="E425">
        <v>463</v>
      </c>
      <c r="F425">
        <v>120</v>
      </c>
    </row>
    <row r="426" spans="1:6" x14ac:dyDescent="0.35">
      <c r="A426" s="8">
        <v>42067</v>
      </c>
      <c r="B426" s="71">
        <v>0.66666666666666663</v>
      </c>
      <c r="C426">
        <v>9.9</v>
      </c>
      <c r="D426">
        <v>0.6</v>
      </c>
      <c r="E426">
        <v>346</v>
      </c>
      <c r="F426">
        <v>163</v>
      </c>
    </row>
    <row r="427" spans="1:6" x14ac:dyDescent="0.35">
      <c r="A427" s="8">
        <v>42067</v>
      </c>
      <c r="B427" s="71">
        <v>0.70833333333333337</v>
      </c>
      <c r="C427">
        <v>9.8000000000000007</v>
      </c>
      <c r="D427">
        <v>0</v>
      </c>
      <c r="E427">
        <v>307</v>
      </c>
      <c r="F427">
        <v>133</v>
      </c>
    </row>
    <row r="428" spans="1:6" x14ac:dyDescent="0.35">
      <c r="A428" s="8">
        <v>42067</v>
      </c>
      <c r="B428" s="71">
        <v>0.75</v>
      </c>
      <c r="C428">
        <v>9.5</v>
      </c>
      <c r="D428">
        <v>0</v>
      </c>
      <c r="E428">
        <v>225</v>
      </c>
      <c r="F428">
        <v>96</v>
      </c>
    </row>
    <row r="429" spans="1:6" x14ac:dyDescent="0.35">
      <c r="A429" s="8">
        <v>42067</v>
      </c>
      <c r="B429" s="71">
        <v>0.79166666666666663</v>
      </c>
      <c r="C429">
        <v>8.8000000000000007</v>
      </c>
      <c r="D429">
        <v>0</v>
      </c>
      <c r="E429">
        <v>96</v>
      </c>
      <c r="F429">
        <v>60</v>
      </c>
    </row>
    <row r="430" spans="1:6" x14ac:dyDescent="0.35">
      <c r="A430" s="8">
        <v>42067</v>
      </c>
      <c r="B430" s="71">
        <v>0.83333333333333337</v>
      </c>
      <c r="C430">
        <v>7.9</v>
      </c>
      <c r="D430">
        <v>0</v>
      </c>
      <c r="E430">
        <v>19</v>
      </c>
      <c r="F430">
        <v>16</v>
      </c>
    </row>
    <row r="431" spans="1:6" x14ac:dyDescent="0.35">
      <c r="A431" s="8">
        <v>42067</v>
      </c>
      <c r="B431" s="71">
        <v>0.875</v>
      </c>
      <c r="C431">
        <v>7</v>
      </c>
      <c r="D431">
        <v>0</v>
      </c>
      <c r="E431">
        <v>0</v>
      </c>
      <c r="F431">
        <v>0</v>
      </c>
    </row>
    <row r="432" spans="1:6" x14ac:dyDescent="0.35">
      <c r="A432" s="8">
        <v>42067</v>
      </c>
      <c r="B432" s="71">
        <v>0.91666666666666663</v>
      </c>
      <c r="C432">
        <v>6.4</v>
      </c>
      <c r="D432">
        <v>0</v>
      </c>
      <c r="E432">
        <v>0</v>
      </c>
      <c r="F432">
        <v>0</v>
      </c>
    </row>
    <row r="433" spans="1:6" x14ac:dyDescent="0.35">
      <c r="A433" s="8">
        <v>42067</v>
      </c>
      <c r="B433" s="71">
        <v>0.95833333333333337</v>
      </c>
      <c r="C433">
        <v>5.9</v>
      </c>
      <c r="D433">
        <v>0</v>
      </c>
      <c r="E433">
        <v>0</v>
      </c>
      <c r="F433">
        <v>0</v>
      </c>
    </row>
    <row r="434" spans="1:6" x14ac:dyDescent="0.35">
      <c r="A434" s="8">
        <v>42068</v>
      </c>
      <c r="B434" s="71">
        <v>0</v>
      </c>
      <c r="C434">
        <v>5.3</v>
      </c>
      <c r="D434">
        <v>0</v>
      </c>
      <c r="E434">
        <v>0</v>
      </c>
      <c r="F434">
        <v>0</v>
      </c>
    </row>
    <row r="435" spans="1:6" x14ac:dyDescent="0.35">
      <c r="A435" s="8">
        <v>42068</v>
      </c>
      <c r="B435" s="71">
        <v>4.1666666666666664E-2</v>
      </c>
      <c r="C435">
        <v>4.9000000000000004</v>
      </c>
      <c r="D435">
        <v>0</v>
      </c>
      <c r="E435">
        <v>0</v>
      </c>
      <c r="F435">
        <v>0</v>
      </c>
    </row>
    <row r="436" spans="1:6" x14ac:dyDescent="0.35">
      <c r="A436" s="8">
        <v>42068</v>
      </c>
      <c r="B436" s="71">
        <v>8.3333333333333329E-2</v>
      </c>
      <c r="C436">
        <v>4.3</v>
      </c>
      <c r="D436">
        <v>0</v>
      </c>
      <c r="E436">
        <v>0</v>
      </c>
      <c r="F436">
        <v>0</v>
      </c>
    </row>
    <row r="437" spans="1:6" x14ac:dyDescent="0.35">
      <c r="A437" s="8">
        <v>42068</v>
      </c>
      <c r="B437" s="71">
        <v>0.125</v>
      </c>
      <c r="C437">
        <v>3.7</v>
      </c>
      <c r="D437">
        <v>0</v>
      </c>
      <c r="E437">
        <v>0</v>
      </c>
      <c r="F437">
        <v>0</v>
      </c>
    </row>
    <row r="438" spans="1:6" x14ac:dyDescent="0.35">
      <c r="A438" s="8">
        <v>42068</v>
      </c>
      <c r="B438" s="71">
        <v>0.16666666666666666</v>
      </c>
      <c r="C438">
        <v>3.2</v>
      </c>
      <c r="D438">
        <v>0</v>
      </c>
      <c r="E438">
        <v>0</v>
      </c>
      <c r="F438">
        <v>0</v>
      </c>
    </row>
    <row r="439" spans="1:6" x14ac:dyDescent="0.35">
      <c r="A439" s="8">
        <v>42068</v>
      </c>
      <c r="B439" s="71">
        <v>0.20833333333333334</v>
      </c>
      <c r="C439">
        <v>2.6</v>
      </c>
      <c r="D439">
        <v>0</v>
      </c>
      <c r="E439">
        <v>0</v>
      </c>
      <c r="F439">
        <v>0</v>
      </c>
    </row>
    <row r="440" spans="1:6" x14ac:dyDescent="0.35">
      <c r="A440" s="8">
        <v>42068</v>
      </c>
      <c r="B440" s="71">
        <v>0.25</v>
      </c>
      <c r="C440">
        <v>2.1</v>
      </c>
      <c r="D440">
        <v>0</v>
      </c>
      <c r="E440">
        <v>0</v>
      </c>
      <c r="F440">
        <v>0</v>
      </c>
    </row>
    <row r="441" spans="1:6" x14ac:dyDescent="0.35">
      <c r="A441" s="8">
        <v>42068</v>
      </c>
      <c r="B441" s="71">
        <v>0.29166666666666669</v>
      </c>
      <c r="C441">
        <v>1.6</v>
      </c>
      <c r="D441">
        <v>0</v>
      </c>
      <c r="E441">
        <v>0</v>
      </c>
      <c r="F441">
        <v>0</v>
      </c>
    </row>
    <row r="442" spans="1:6" x14ac:dyDescent="0.35">
      <c r="A442" s="8">
        <v>42068</v>
      </c>
      <c r="B442" s="71">
        <v>0.33333333333333331</v>
      </c>
      <c r="C442">
        <v>1.1000000000000001</v>
      </c>
      <c r="D442">
        <v>0</v>
      </c>
      <c r="E442">
        <v>0</v>
      </c>
      <c r="F442">
        <v>0</v>
      </c>
    </row>
    <row r="443" spans="1:6" x14ac:dyDescent="0.35">
      <c r="A443" s="8">
        <v>42068</v>
      </c>
      <c r="B443" s="71">
        <v>0.375</v>
      </c>
      <c r="C443">
        <v>0.7</v>
      </c>
      <c r="D443">
        <v>0</v>
      </c>
      <c r="E443">
        <v>2</v>
      </c>
      <c r="F443">
        <v>4</v>
      </c>
    </row>
    <row r="444" spans="1:6" x14ac:dyDescent="0.35">
      <c r="A444" s="8">
        <v>42068</v>
      </c>
      <c r="B444" s="71">
        <v>0.41666666666666669</v>
      </c>
      <c r="C444">
        <v>2.9</v>
      </c>
      <c r="D444">
        <v>0</v>
      </c>
      <c r="E444">
        <v>76</v>
      </c>
      <c r="F444">
        <v>41</v>
      </c>
    </row>
    <row r="445" spans="1:6" x14ac:dyDescent="0.35">
      <c r="A445" s="8">
        <v>42068</v>
      </c>
      <c r="B445" s="71">
        <v>0.45833333333333331</v>
      </c>
      <c r="C445">
        <v>5.4</v>
      </c>
      <c r="D445">
        <v>0</v>
      </c>
      <c r="E445">
        <v>223</v>
      </c>
      <c r="F445">
        <v>67</v>
      </c>
    </row>
    <row r="446" spans="1:6" x14ac:dyDescent="0.35">
      <c r="A446" s="8">
        <v>42068</v>
      </c>
      <c r="B446" s="71">
        <v>0.5</v>
      </c>
      <c r="C446">
        <v>7.1</v>
      </c>
      <c r="D446">
        <v>0</v>
      </c>
      <c r="E446">
        <v>369</v>
      </c>
      <c r="F446">
        <v>82</v>
      </c>
    </row>
    <row r="447" spans="1:6" x14ac:dyDescent="0.35">
      <c r="A447" s="8">
        <v>42068</v>
      </c>
      <c r="B447" s="71">
        <v>0.54166666666666663</v>
      </c>
      <c r="C447">
        <v>8.6999999999999993</v>
      </c>
      <c r="D447">
        <v>0</v>
      </c>
      <c r="E447">
        <v>483</v>
      </c>
      <c r="F447">
        <v>91</v>
      </c>
    </row>
    <row r="448" spans="1:6" x14ac:dyDescent="0.35">
      <c r="A448" s="8">
        <v>42068</v>
      </c>
      <c r="B448" s="71">
        <v>0.58333333333333337</v>
      </c>
      <c r="C448">
        <v>10</v>
      </c>
      <c r="D448">
        <v>0</v>
      </c>
      <c r="E448">
        <v>554</v>
      </c>
      <c r="F448">
        <v>93</v>
      </c>
    </row>
    <row r="449" spans="1:6" x14ac:dyDescent="0.35">
      <c r="A449" s="8">
        <v>42068</v>
      </c>
      <c r="B449" s="71">
        <v>0.625</v>
      </c>
      <c r="C449">
        <v>10.7</v>
      </c>
      <c r="D449">
        <v>0</v>
      </c>
      <c r="E449">
        <v>543</v>
      </c>
      <c r="F449">
        <v>108</v>
      </c>
    </row>
    <row r="450" spans="1:6" x14ac:dyDescent="0.35">
      <c r="A450" s="8">
        <v>42068</v>
      </c>
      <c r="B450" s="71">
        <v>0.66666666666666663</v>
      </c>
      <c r="C450">
        <v>11.1</v>
      </c>
      <c r="D450">
        <v>0</v>
      </c>
      <c r="E450">
        <v>507</v>
      </c>
      <c r="F450">
        <v>100</v>
      </c>
    </row>
    <row r="451" spans="1:6" x14ac:dyDescent="0.35">
      <c r="A451" s="8">
        <v>42068</v>
      </c>
      <c r="B451" s="71">
        <v>0.70833333333333337</v>
      </c>
      <c r="C451">
        <v>11.2</v>
      </c>
      <c r="D451">
        <v>0</v>
      </c>
      <c r="E451">
        <v>408</v>
      </c>
      <c r="F451">
        <v>96</v>
      </c>
    </row>
    <row r="452" spans="1:6" x14ac:dyDescent="0.35">
      <c r="A452" s="8">
        <v>42068</v>
      </c>
      <c r="B452" s="71">
        <v>0.75</v>
      </c>
      <c r="C452">
        <v>11</v>
      </c>
      <c r="D452">
        <v>0</v>
      </c>
      <c r="E452">
        <v>291</v>
      </c>
      <c r="F452">
        <v>74</v>
      </c>
    </row>
    <row r="453" spans="1:6" x14ac:dyDescent="0.35">
      <c r="A453" s="8">
        <v>42068</v>
      </c>
      <c r="B453" s="71">
        <v>0.79166666666666663</v>
      </c>
      <c r="C453">
        <v>10.3</v>
      </c>
      <c r="D453">
        <v>0</v>
      </c>
      <c r="E453">
        <v>139</v>
      </c>
      <c r="F453">
        <v>55</v>
      </c>
    </row>
    <row r="454" spans="1:6" x14ac:dyDescent="0.35">
      <c r="A454" s="8">
        <v>42068</v>
      </c>
      <c r="B454" s="71">
        <v>0.83333333333333337</v>
      </c>
      <c r="C454">
        <v>8.6999999999999993</v>
      </c>
      <c r="D454">
        <v>0</v>
      </c>
      <c r="E454">
        <v>23</v>
      </c>
      <c r="F454">
        <v>16</v>
      </c>
    </row>
    <row r="455" spans="1:6" x14ac:dyDescent="0.35">
      <c r="A455" s="8">
        <v>42068</v>
      </c>
      <c r="B455" s="71">
        <v>0.875</v>
      </c>
      <c r="C455">
        <v>7.5</v>
      </c>
      <c r="D455">
        <v>0</v>
      </c>
      <c r="E455">
        <v>0</v>
      </c>
      <c r="F455">
        <v>0</v>
      </c>
    </row>
    <row r="456" spans="1:6" x14ac:dyDescent="0.35">
      <c r="A456" s="8">
        <v>42068</v>
      </c>
      <c r="B456" s="71">
        <v>0.91666666666666663</v>
      </c>
      <c r="C456">
        <v>6.1</v>
      </c>
      <c r="D456">
        <v>0</v>
      </c>
      <c r="E456">
        <v>0</v>
      </c>
      <c r="F456">
        <v>0</v>
      </c>
    </row>
    <row r="457" spans="1:6" x14ac:dyDescent="0.35">
      <c r="A457" s="8">
        <v>42068</v>
      </c>
      <c r="B457" s="71">
        <v>0.95833333333333337</v>
      </c>
      <c r="C457">
        <v>5</v>
      </c>
      <c r="D457">
        <v>0</v>
      </c>
      <c r="E457">
        <v>0</v>
      </c>
      <c r="F457">
        <v>0</v>
      </c>
    </row>
    <row r="458" spans="1:6" x14ac:dyDescent="0.35">
      <c r="A458" s="8">
        <v>42069</v>
      </c>
      <c r="B458" s="71">
        <v>0</v>
      </c>
      <c r="C458">
        <v>4.2</v>
      </c>
      <c r="D458">
        <v>0</v>
      </c>
      <c r="E458">
        <v>0</v>
      </c>
      <c r="F458">
        <v>0</v>
      </c>
    </row>
    <row r="459" spans="1:6" x14ac:dyDescent="0.35">
      <c r="A459" s="8">
        <v>42069</v>
      </c>
      <c r="B459" s="71">
        <v>4.1666666666666664E-2</v>
      </c>
      <c r="C459">
        <v>3.4</v>
      </c>
      <c r="D459">
        <v>0</v>
      </c>
      <c r="E459">
        <v>0</v>
      </c>
      <c r="F459">
        <v>0</v>
      </c>
    </row>
    <row r="460" spans="1:6" x14ac:dyDescent="0.35">
      <c r="A460" s="8">
        <v>42069</v>
      </c>
      <c r="B460" s="71">
        <v>8.3333333333333329E-2</v>
      </c>
      <c r="C460">
        <v>2.8</v>
      </c>
      <c r="D460">
        <v>0</v>
      </c>
      <c r="E460">
        <v>0</v>
      </c>
      <c r="F460">
        <v>0</v>
      </c>
    </row>
    <row r="461" spans="1:6" x14ac:dyDescent="0.35">
      <c r="A461" s="8">
        <v>42069</v>
      </c>
      <c r="B461" s="71">
        <v>0.125</v>
      </c>
      <c r="C461">
        <v>2.1</v>
      </c>
      <c r="D461">
        <v>0</v>
      </c>
      <c r="E461">
        <v>0</v>
      </c>
      <c r="F461">
        <v>0</v>
      </c>
    </row>
    <row r="462" spans="1:6" x14ac:dyDescent="0.35">
      <c r="A462" s="8">
        <v>42069</v>
      </c>
      <c r="B462" s="71">
        <v>0.16666666666666666</v>
      </c>
      <c r="C462">
        <v>1.6</v>
      </c>
      <c r="D462">
        <v>0</v>
      </c>
      <c r="E462">
        <v>0</v>
      </c>
      <c r="F462">
        <v>0</v>
      </c>
    </row>
    <row r="463" spans="1:6" x14ac:dyDescent="0.35">
      <c r="A463" s="8">
        <v>42069</v>
      </c>
      <c r="B463" s="71">
        <v>0.20833333333333334</v>
      </c>
      <c r="C463">
        <v>1.2</v>
      </c>
      <c r="D463">
        <v>0</v>
      </c>
      <c r="E463">
        <v>0</v>
      </c>
      <c r="F463">
        <v>0</v>
      </c>
    </row>
    <row r="464" spans="1:6" x14ac:dyDescent="0.35">
      <c r="A464" s="8">
        <v>42069</v>
      </c>
      <c r="B464" s="71">
        <v>0.25</v>
      </c>
      <c r="C464">
        <v>0.7</v>
      </c>
      <c r="D464">
        <v>0</v>
      </c>
      <c r="E464">
        <v>0</v>
      </c>
      <c r="F464">
        <v>0</v>
      </c>
    </row>
    <row r="465" spans="1:6" x14ac:dyDescent="0.35">
      <c r="A465" s="8">
        <v>42069</v>
      </c>
      <c r="B465" s="71">
        <v>0.29166666666666669</v>
      </c>
      <c r="C465">
        <v>0.4</v>
      </c>
      <c r="D465">
        <v>0</v>
      </c>
      <c r="E465">
        <v>0</v>
      </c>
      <c r="F465">
        <v>0</v>
      </c>
    </row>
    <row r="466" spans="1:6" x14ac:dyDescent="0.35">
      <c r="A466" s="8">
        <v>42069</v>
      </c>
      <c r="B466" s="71">
        <v>0.33333333333333331</v>
      </c>
      <c r="C466">
        <v>0.1</v>
      </c>
      <c r="D466">
        <v>0</v>
      </c>
      <c r="E466">
        <v>0</v>
      </c>
      <c r="F466">
        <v>0</v>
      </c>
    </row>
    <row r="467" spans="1:6" x14ac:dyDescent="0.35">
      <c r="A467" s="8">
        <v>42069</v>
      </c>
      <c r="B467" s="71">
        <v>0.375</v>
      </c>
      <c r="C467">
        <v>0.1</v>
      </c>
      <c r="D467">
        <v>0</v>
      </c>
      <c r="E467">
        <v>3</v>
      </c>
      <c r="F467">
        <v>4</v>
      </c>
    </row>
    <row r="468" spans="1:6" x14ac:dyDescent="0.35">
      <c r="A468" s="8">
        <v>42069</v>
      </c>
      <c r="B468" s="71">
        <v>0.41666666666666669</v>
      </c>
      <c r="C468">
        <v>2.9</v>
      </c>
      <c r="D468">
        <v>0</v>
      </c>
      <c r="E468">
        <v>81</v>
      </c>
      <c r="F468">
        <v>41</v>
      </c>
    </row>
    <row r="469" spans="1:6" x14ac:dyDescent="0.35">
      <c r="A469" s="8">
        <v>42069</v>
      </c>
      <c r="B469" s="71">
        <v>0.45833333333333331</v>
      </c>
      <c r="C469">
        <v>6.9</v>
      </c>
      <c r="D469">
        <v>0</v>
      </c>
      <c r="E469">
        <v>230</v>
      </c>
      <c r="F469">
        <v>68</v>
      </c>
    </row>
    <row r="470" spans="1:6" x14ac:dyDescent="0.35">
      <c r="A470" s="8">
        <v>42069</v>
      </c>
      <c r="B470" s="71">
        <v>0.5</v>
      </c>
      <c r="C470">
        <v>9</v>
      </c>
      <c r="D470">
        <v>0</v>
      </c>
      <c r="E470">
        <v>377</v>
      </c>
      <c r="F470">
        <v>81</v>
      </c>
    </row>
    <row r="471" spans="1:6" x14ac:dyDescent="0.35">
      <c r="A471" s="8">
        <v>42069</v>
      </c>
      <c r="B471" s="71">
        <v>0.54166666666666663</v>
      </c>
      <c r="C471">
        <v>10.8</v>
      </c>
      <c r="D471">
        <v>0</v>
      </c>
      <c r="E471">
        <v>491</v>
      </c>
      <c r="F471">
        <v>89</v>
      </c>
    </row>
    <row r="472" spans="1:6" x14ac:dyDescent="0.35">
      <c r="A472" s="8">
        <v>42069</v>
      </c>
      <c r="B472" s="71">
        <v>0.58333333333333337</v>
      </c>
      <c r="C472">
        <v>12.4</v>
      </c>
      <c r="D472">
        <v>0</v>
      </c>
      <c r="E472">
        <v>557</v>
      </c>
      <c r="F472">
        <v>94</v>
      </c>
    </row>
    <row r="473" spans="1:6" x14ac:dyDescent="0.35">
      <c r="A473" s="8">
        <v>42069</v>
      </c>
      <c r="B473" s="71">
        <v>0.625</v>
      </c>
      <c r="C473">
        <v>13.7</v>
      </c>
      <c r="D473">
        <v>0</v>
      </c>
      <c r="E473">
        <v>569</v>
      </c>
      <c r="F473">
        <v>95</v>
      </c>
    </row>
    <row r="474" spans="1:6" x14ac:dyDescent="0.35">
      <c r="A474" s="8">
        <v>42069</v>
      </c>
      <c r="B474" s="71">
        <v>0.66666666666666663</v>
      </c>
      <c r="C474">
        <v>14.6</v>
      </c>
      <c r="D474">
        <v>0</v>
      </c>
      <c r="E474">
        <v>526</v>
      </c>
      <c r="F474">
        <v>92</v>
      </c>
    </row>
    <row r="475" spans="1:6" x14ac:dyDescent="0.35">
      <c r="A475" s="8">
        <v>42069</v>
      </c>
      <c r="B475" s="71">
        <v>0.70833333333333337</v>
      </c>
      <c r="C475">
        <v>15</v>
      </c>
      <c r="D475">
        <v>0</v>
      </c>
      <c r="E475">
        <v>432</v>
      </c>
      <c r="F475">
        <v>86</v>
      </c>
    </row>
    <row r="476" spans="1:6" x14ac:dyDescent="0.35">
      <c r="A476" s="8">
        <v>42069</v>
      </c>
      <c r="B476" s="71">
        <v>0.75</v>
      </c>
      <c r="C476">
        <v>14.9</v>
      </c>
      <c r="D476">
        <v>0</v>
      </c>
      <c r="E476">
        <v>298</v>
      </c>
      <c r="F476">
        <v>75</v>
      </c>
    </row>
    <row r="477" spans="1:6" x14ac:dyDescent="0.35">
      <c r="A477" s="8">
        <v>42069</v>
      </c>
      <c r="B477" s="71">
        <v>0.79166666666666663</v>
      </c>
      <c r="C477">
        <v>13.9</v>
      </c>
      <c r="D477">
        <v>0</v>
      </c>
      <c r="E477">
        <v>144</v>
      </c>
      <c r="F477">
        <v>56</v>
      </c>
    </row>
    <row r="478" spans="1:6" x14ac:dyDescent="0.35">
      <c r="A478" s="8">
        <v>42069</v>
      </c>
      <c r="B478" s="71">
        <v>0.83333333333333337</v>
      </c>
      <c r="C478">
        <v>12</v>
      </c>
      <c r="D478">
        <v>0</v>
      </c>
      <c r="E478">
        <v>21</v>
      </c>
      <c r="F478">
        <v>20</v>
      </c>
    </row>
    <row r="479" spans="1:6" x14ac:dyDescent="0.35">
      <c r="A479" s="8">
        <v>42069</v>
      </c>
      <c r="B479" s="71">
        <v>0.875</v>
      </c>
      <c r="C479">
        <v>9.6999999999999993</v>
      </c>
      <c r="D479">
        <v>0</v>
      </c>
      <c r="E479">
        <v>0</v>
      </c>
      <c r="F479">
        <v>0</v>
      </c>
    </row>
    <row r="480" spans="1:6" x14ac:dyDescent="0.35">
      <c r="A480" s="8">
        <v>42069</v>
      </c>
      <c r="B480" s="71">
        <v>0.91666666666666663</v>
      </c>
      <c r="C480">
        <v>7.9</v>
      </c>
      <c r="D480">
        <v>0</v>
      </c>
      <c r="E480">
        <v>0</v>
      </c>
      <c r="F480">
        <v>0</v>
      </c>
    </row>
    <row r="481" spans="1:6" x14ac:dyDescent="0.35">
      <c r="A481" s="8">
        <v>42069</v>
      </c>
      <c r="B481" s="71">
        <v>0.95833333333333337</v>
      </c>
      <c r="C481">
        <v>6.5</v>
      </c>
      <c r="D481">
        <v>0</v>
      </c>
      <c r="E481">
        <v>0</v>
      </c>
      <c r="F481">
        <v>0</v>
      </c>
    </row>
    <row r="482" spans="1:6" x14ac:dyDescent="0.35">
      <c r="A482" s="8">
        <v>42070</v>
      </c>
      <c r="B482" s="71">
        <v>0</v>
      </c>
      <c r="C482">
        <v>5.4</v>
      </c>
      <c r="D482">
        <v>0</v>
      </c>
      <c r="E482">
        <v>0</v>
      </c>
      <c r="F482">
        <v>0</v>
      </c>
    </row>
    <row r="483" spans="1:6" x14ac:dyDescent="0.35">
      <c r="A483" s="8">
        <v>42070</v>
      </c>
      <c r="B483" s="71">
        <v>4.1666666666666664E-2</v>
      </c>
      <c r="C483">
        <v>4.4000000000000004</v>
      </c>
      <c r="D483">
        <v>0</v>
      </c>
      <c r="E483">
        <v>0</v>
      </c>
      <c r="F483">
        <v>0</v>
      </c>
    </row>
    <row r="484" spans="1:6" x14ac:dyDescent="0.35">
      <c r="A484" s="8">
        <v>42070</v>
      </c>
      <c r="B484" s="71">
        <v>8.3333333333333329E-2</v>
      </c>
      <c r="C484">
        <v>3.7</v>
      </c>
      <c r="D484">
        <v>0</v>
      </c>
      <c r="E484">
        <v>0</v>
      </c>
      <c r="F484">
        <v>0</v>
      </c>
    </row>
    <row r="485" spans="1:6" x14ac:dyDescent="0.35">
      <c r="A485" s="8">
        <v>42070</v>
      </c>
      <c r="B485" s="71">
        <v>0.125</v>
      </c>
      <c r="C485">
        <v>3</v>
      </c>
      <c r="D485">
        <v>0</v>
      </c>
      <c r="E485">
        <v>0</v>
      </c>
      <c r="F485">
        <v>0</v>
      </c>
    </row>
    <row r="486" spans="1:6" x14ac:dyDescent="0.35">
      <c r="A486" s="8">
        <v>42070</v>
      </c>
      <c r="B486" s="71">
        <v>0.16666666666666666</v>
      </c>
      <c r="C486">
        <v>2.6</v>
      </c>
      <c r="D486">
        <v>0</v>
      </c>
      <c r="E486">
        <v>0</v>
      </c>
      <c r="F486">
        <v>0</v>
      </c>
    </row>
    <row r="487" spans="1:6" x14ac:dyDescent="0.35">
      <c r="A487" s="8">
        <v>42070</v>
      </c>
      <c r="B487" s="71">
        <v>0.20833333333333334</v>
      </c>
      <c r="C487">
        <v>1.9</v>
      </c>
      <c r="D487">
        <v>0</v>
      </c>
      <c r="E487">
        <v>0</v>
      </c>
      <c r="F487">
        <v>0</v>
      </c>
    </row>
    <row r="488" spans="1:6" x14ac:dyDescent="0.35">
      <c r="A488" s="8">
        <v>42070</v>
      </c>
      <c r="B488" s="71">
        <v>0.25</v>
      </c>
      <c r="C488">
        <v>1.1000000000000001</v>
      </c>
      <c r="D488">
        <v>0</v>
      </c>
      <c r="E488">
        <v>0</v>
      </c>
      <c r="F488">
        <v>0</v>
      </c>
    </row>
    <row r="489" spans="1:6" x14ac:dyDescent="0.35">
      <c r="A489" s="8">
        <v>42070</v>
      </c>
      <c r="B489" s="71">
        <v>0.29166666666666669</v>
      </c>
      <c r="C489">
        <v>0.7</v>
      </c>
      <c r="D489">
        <v>0</v>
      </c>
      <c r="E489">
        <v>0</v>
      </c>
      <c r="F489">
        <v>0</v>
      </c>
    </row>
    <row r="490" spans="1:6" x14ac:dyDescent="0.35">
      <c r="A490" s="8">
        <v>42070</v>
      </c>
      <c r="B490" s="71">
        <v>0.33333333333333331</v>
      </c>
      <c r="C490">
        <v>0.6</v>
      </c>
      <c r="D490">
        <v>0</v>
      </c>
      <c r="E490">
        <v>0</v>
      </c>
      <c r="F490">
        <v>0</v>
      </c>
    </row>
    <row r="491" spans="1:6" x14ac:dyDescent="0.35">
      <c r="A491" s="8">
        <v>42070</v>
      </c>
      <c r="B491" s="71">
        <v>0.375</v>
      </c>
      <c r="C491">
        <v>0.3</v>
      </c>
      <c r="D491">
        <v>0</v>
      </c>
      <c r="E491">
        <v>4</v>
      </c>
      <c r="F491">
        <v>5</v>
      </c>
    </row>
    <row r="492" spans="1:6" x14ac:dyDescent="0.35">
      <c r="A492" s="8">
        <v>42070</v>
      </c>
      <c r="B492" s="71">
        <v>0.41666666666666669</v>
      </c>
      <c r="C492">
        <v>3.3</v>
      </c>
      <c r="D492">
        <v>0</v>
      </c>
      <c r="E492">
        <v>88</v>
      </c>
      <c r="F492">
        <v>43</v>
      </c>
    </row>
    <row r="493" spans="1:6" x14ac:dyDescent="0.35">
      <c r="A493" s="8">
        <v>42070</v>
      </c>
      <c r="B493" s="71">
        <v>0.45833333333333331</v>
      </c>
      <c r="C493">
        <v>7.9</v>
      </c>
      <c r="D493">
        <v>0</v>
      </c>
      <c r="E493">
        <v>241</v>
      </c>
      <c r="F493">
        <v>68</v>
      </c>
    </row>
    <row r="494" spans="1:6" x14ac:dyDescent="0.35">
      <c r="A494" s="8">
        <v>42070</v>
      </c>
      <c r="B494" s="71">
        <v>0.5</v>
      </c>
      <c r="C494">
        <v>11.3</v>
      </c>
      <c r="D494">
        <v>0</v>
      </c>
      <c r="E494">
        <v>391</v>
      </c>
      <c r="F494">
        <v>82</v>
      </c>
    </row>
    <row r="495" spans="1:6" x14ac:dyDescent="0.35">
      <c r="A495" s="8">
        <v>42070</v>
      </c>
      <c r="B495" s="71">
        <v>0.54166666666666663</v>
      </c>
      <c r="C495">
        <v>14.5</v>
      </c>
      <c r="D495">
        <v>0</v>
      </c>
      <c r="E495">
        <v>507</v>
      </c>
      <c r="F495">
        <v>90</v>
      </c>
    </row>
    <row r="496" spans="1:6" x14ac:dyDescent="0.35">
      <c r="A496" s="8">
        <v>42070</v>
      </c>
      <c r="B496" s="71">
        <v>0.58333333333333337</v>
      </c>
      <c r="C496">
        <v>16.8</v>
      </c>
      <c r="D496">
        <v>0</v>
      </c>
      <c r="E496">
        <v>573</v>
      </c>
      <c r="F496">
        <v>95</v>
      </c>
    </row>
    <row r="497" spans="1:6" x14ac:dyDescent="0.35">
      <c r="A497" s="8">
        <v>42070</v>
      </c>
      <c r="B497" s="71">
        <v>0.625</v>
      </c>
      <c r="C497">
        <v>18.399999999999999</v>
      </c>
      <c r="D497">
        <v>0</v>
      </c>
      <c r="E497">
        <v>586</v>
      </c>
      <c r="F497">
        <v>95</v>
      </c>
    </row>
    <row r="498" spans="1:6" x14ac:dyDescent="0.35">
      <c r="A498" s="8">
        <v>42070</v>
      </c>
      <c r="B498" s="71">
        <v>0.66666666666666663</v>
      </c>
      <c r="C498">
        <v>19.2</v>
      </c>
      <c r="D498">
        <v>0</v>
      </c>
      <c r="E498">
        <v>520</v>
      </c>
      <c r="F498">
        <v>106</v>
      </c>
    </row>
    <row r="499" spans="1:6" x14ac:dyDescent="0.35">
      <c r="A499" s="8">
        <v>42070</v>
      </c>
      <c r="B499" s="71">
        <v>0.70833333333333337</v>
      </c>
      <c r="C499">
        <v>19.3</v>
      </c>
      <c r="D499">
        <v>0</v>
      </c>
      <c r="E499">
        <v>393</v>
      </c>
      <c r="F499">
        <v>119</v>
      </c>
    </row>
    <row r="500" spans="1:6" x14ac:dyDescent="0.35">
      <c r="A500" s="8">
        <v>42070</v>
      </c>
      <c r="B500" s="71">
        <v>0.75</v>
      </c>
      <c r="C500">
        <v>18.7</v>
      </c>
      <c r="D500">
        <v>0</v>
      </c>
      <c r="E500">
        <v>234</v>
      </c>
      <c r="F500">
        <v>117</v>
      </c>
    </row>
    <row r="501" spans="1:6" x14ac:dyDescent="0.35">
      <c r="A501" s="8">
        <v>42070</v>
      </c>
      <c r="B501" s="71">
        <v>0.79166666666666663</v>
      </c>
      <c r="C501">
        <v>17</v>
      </c>
      <c r="D501">
        <v>0</v>
      </c>
      <c r="E501">
        <v>114</v>
      </c>
      <c r="F501">
        <v>78</v>
      </c>
    </row>
    <row r="502" spans="1:6" x14ac:dyDescent="0.35">
      <c r="A502" s="8">
        <v>42070</v>
      </c>
      <c r="B502" s="71">
        <v>0.83333333333333337</v>
      </c>
      <c r="C502">
        <v>14.2</v>
      </c>
      <c r="D502">
        <v>0</v>
      </c>
      <c r="E502">
        <v>14</v>
      </c>
      <c r="F502">
        <v>26</v>
      </c>
    </row>
    <row r="503" spans="1:6" x14ac:dyDescent="0.35">
      <c r="A503" s="8">
        <v>42070</v>
      </c>
      <c r="B503" s="71">
        <v>0.875</v>
      </c>
      <c r="C503">
        <v>12.2</v>
      </c>
      <c r="D503">
        <v>0</v>
      </c>
      <c r="E503">
        <v>0</v>
      </c>
      <c r="F503">
        <v>0</v>
      </c>
    </row>
    <row r="504" spans="1:6" x14ac:dyDescent="0.35">
      <c r="A504" s="8">
        <v>42070</v>
      </c>
      <c r="B504" s="71">
        <v>0.91666666666666663</v>
      </c>
      <c r="C504">
        <v>10.5</v>
      </c>
      <c r="D504">
        <v>0</v>
      </c>
      <c r="E504">
        <v>0</v>
      </c>
      <c r="F504">
        <v>0</v>
      </c>
    </row>
    <row r="505" spans="1:6" x14ac:dyDescent="0.35">
      <c r="A505" s="8">
        <v>42070</v>
      </c>
      <c r="B505" s="71">
        <v>0.95833333333333337</v>
      </c>
      <c r="C505">
        <v>9</v>
      </c>
      <c r="D505">
        <v>0</v>
      </c>
      <c r="E505">
        <v>0</v>
      </c>
      <c r="F505">
        <v>0</v>
      </c>
    </row>
    <row r="506" spans="1:6" x14ac:dyDescent="0.35">
      <c r="A506" s="8">
        <v>42071</v>
      </c>
      <c r="B506" s="71">
        <v>0</v>
      </c>
      <c r="C506">
        <v>7.8</v>
      </c>
      <c r="D506">
        <v>0</v>
      </c>
      <c r="E506">
        <v>0</v>
      </c>
      <c r="F506">
        <v>0</v>
      </c>
    </row>
    <row r="507" spans="1:6" x14ac:dyDescent="0.35">
      <c r="A507" s="8">
        <v>42071</v>
      </c>
      <c r="B507" s="71">
        <v>4.1666666666666664E-2</v>
      </c>
      <c r="C507">
        <v>7.9</v>
      </c>
      <c r="D507">
        <v>0</v>
      </c>
      <c r="E507">
        <v>0</v>
      </c>
      <c r="F507">
        <v>0</v>
      </c>
    </row>
    <row r="508" spans="1:6" x14ac:dyDescent="0.35">
      <c r="A508" s="8">
        <v>42071</v>
      </c>
      <c r="B508" s="71">
        <v>8.3333333333333329E-2</v>
      </c>
      <c r="C508">
        <v>9</v>
      </c>
      <c r="D508">
        <v>0</v>
      </c>
      <c r="E508">
        <v>0</v>
      </c>
      <c r="F508">
        <v>0</v>
      </c>
    </row>
    <row r="509" spans="1:6" x14ac:dyDescent="0.35">
      <c r="A509" s="8">
        <v>42071</v>
      </c>
      <c r="B509" s="71">
        <v>0.125</v>
      </c>
      <c r="C509">
        <v>8.5</v>
      </c>
      <c r="D509">
        <v>0</v>
      </c>
      <c r="E509">
        <v>0</v>
      </c>
      <c r="F509">
        <v>0</v>
      </c>
    </row>
    <row r="510" spans="1:6" x14ac:dyDescent="0.35">
      <c r="A510" s="8">
        <v>42071</v>
      </c>
      <c r="B510" s="71">
        <v>0.16666666666666666</v>
      </c>
      <c r="C510">
        <v>5.2</v>
      </c>
      <c r="D510">
        <v>0</v>
      </c>
      <c r="E510">
        <v>0</v>
      </c>
      <c r="F510">
        <v>0</v>
      </c>
    </row>
    <row r="511" spans="1:6" x14ac:dyDescent="0.35">
      <c r="A511" s="8">
        <v>42071</v>
      </c>
      <c r="B511" s="71">
        <v>0.20833333333333334</v>
      </c>
      <c r="C511">
        <v>3.6</v>
      </c>
      <c r="D511">
        <v>0</v>
      </c>
      <c r="E511">
        <v>0</v>
      </c>
      <c r="F511">
        <v>0</v>
      </c>
    </row>
    <row r="512" spans="1:6" x14ac:dyDescent="0.35">
      <c r="A512" s="8">
        <v>42071</v>
      </c>
      <c r="B512" s="71">
        <v>0.25</v>
      </c>
      <c r="C512">
        <v>3.4</v>
      </c>
      <c r="D512">
        <v>0</v>
      </c>
      <c r="E512">
        <v>0</v>
      </c>
      <c r="F512">
        <v>0</v>
      </c>
    </row>
    <row r="513" spans="1:6" x14ac:dyDescent="0.35">
      <c r="A513" s="8">
        <v>42071</v>
      </c>
      <c r="B513" s="71">
        <v>0.29166666666666669</v>
      </c>
      <c r="C513">
        <v>3.6</v>
      </c>
      <c r="D513">
        <v>0</v>
      </c>
      <c r="E513">
        <v>0</v>
      </c>
      <c r="F513">
        <v>0</v>
      </c>
    </row>
    <row r="514" spans="1:6" x14ac:dyDescent="0.35">
      <c r="A514" s="8">
        <v>42071</v>
      </c>
      <c r="B514" s="71">
        <v>0.33333333333333331</v>
      </c>
      <c r="C514">
        <v>3.5</v>
      </c>
      <c r="D514">
        <v>0</v>
      </c>
      <c r="E514">
        <v>0</v>
      </c>
      <c r="F514">
        <v>0</v>
      </c>
    </row>
    <row r="515" spans="1:6" x14ac:dyDescent="0.35">
      <c r="A515" s="8">
        <v>42071</v>
      </c>
      <c r="B515" s="71">
        <v>0.375</v>
      </c>
      <c r="C515">
        <v>3.2</v>
      </c>
      <c r="D515">
        <v>0</v>
      </c>
      <c r="E515">
        <v>4</v>
      </c>
      <c r="F515">
        <v>6</v>
      </c>
    </row>
    <row r="516" spans="1:6" x14ac:dyDescent="0.35">
      <c r="A516" s="8">
        <v>42071</v>
      </c>
      <c r="B516" s="71">
        <v>0.41666666666666669</v>
      </c>
      <c r="C516">
        <v>5.5</v>
      </c>
      <c r="D516">
        <v>0</v>
      </c>
      <c r="E516">
        <v>82</v>
      </c>
      <c r="F516">
        <v>48</v>
      </c>
    </row>
    <row r="517" spans="1:6" x14ac:dyDescent="0.35">
      <c r="A517" s="8">
        <v>42071</v>
      </c>
      <c r="B517" s="71">
        <v>0.45833333333333331</v>
      </c>
      <c r="C517">
        <v>9.6</v>
      </c>
      <c r="D517">
        <v>0</v>
      </c>
      <c r="E517">
        <v>209</v>
      </c>
      <c r="F517">
        <v>85</v>
      </c>
    </row>
    <row r="518" spans="1:6" x14ac:dyDescent="0.35">
      <c r="A518" s="8">
        <v>42071</v>
      </c>
      <c r="B518" s="71">
        <v>0.5</v>
      </c>
      <c r="C518">
        <v>12.1</v>
      </c>
      <c r="D518">
        <v>0</v>
      </c>
      <c r="E518">
        <v>358</v>
      </c>
      <c r="F518">
        <v>103</v>
      </c>
    </row>
    <row r="519" spans="1:6" x14ac:dyDescent="0.35">
      <c r="A519" s="8">
        <v>42071</v>
      </c>
      <c r="B519" s="71">
        <v>0.54166666666666663</v>
      </c>
      <c r="C519">
        <v>14</v>
      </c>
      <c r="D519">
        <v>0</v>
      </c>
      <c r="E519">
        <v>496</v>
      </c>
      <c r="F519">
        <v>98</v>
      </c>
    </row>
    <row r="520" spans="1:6" x14ac:dyDescent="0.35">
      <c r="A520" s="8">
        <v>42071</v>
      </c>
      <c r="B520" s="71">
        <v>0.58333333333333337</v>
      </c>
      <c r="C520">
        <v>15.5</v>
      </c>
      <c r="D520">
        <v>0</v>
      </c>
      <c r="E520">
        <v>570</v>
      </c>
      <c r="F520">
        <v>97</v>
      </c>
    </row>
    <row r="521" spans="1:6" x14ac:dyDescent="0.35">
      <c r="A521" s="8">
        <v>42071</v>
      </c>
      <c r="B521" s="71">
        <v>0.625</v>
      </c>
      <c r="C521">
        <v>16.600000000000001</v>
      </c>
      <c r="D521">
        <v>0</v>
      </c>
      <c r="E521">
        <v>579</v>
      </c>
      <c r="F521">
        <v>100</v>
      </c>
    </row>
    <row r="522" spans="1:6" x14ac:dyDescent="0.35">
      <c r="A522" s="8">
        <v>42071</v>
      </c>
      <c r="B522" s="71">
        <v>0.66666666666666663</v>
      </c>
      <c r="C522">
        <v>16.7</v>
      </c>
      <c r="D522">
        <v>0</v>
      </c>
      <c r="E522">
        <v>531</v>
      </c>
      <c r="F522">
        <v>99</v>
      </c>
    </row>
    <row r="523" spans="1:6" x14ac:dyDescent="0.35">
      <c r="A523" s="8">
        <v>42071</v>
      </c>
      <c r="B523" s="71">
        <v>0.70833333333333337</v>
      </c>
      <c r="C523">
        <v>16.2</v>
      </c>
      <c r="D523">
        <v>0</v>
      </c>
      <c r="E523">
        <v>437</v>
      </c>
      <c r="F523">
        <v>92</v>
      </c>
    </row>
    <row r="524" spans="1:6" x14ac:dyDescent="0.35">
      <c r="A524" s="8">
        <v>42071</v>
      </c>
      <c r="B524" s="71">
        <v>0.75</v>
      </c>
      <c r="C524">
        <v>15.5</v>
      </c>
      <c r="D524">
        <v>0</v>
      </c>
      <c r="E524">
        <v>304</v>
      </c>
      <c r="F524">
        <v>79</v>
      </c>
    </row>
    <row r="525" spans="1:6" x14ac:dyDescent="0.35">
      <c r="A525" s="8">
        <v>42071</v>
      </c>
      <c r="B525" s="71">
        <v>0.79166666666666663</v>
      </c>
      <c r="C525">
        <v>14</v>
      </c>
      <c r="D525">
        <v>0</v>
      </c>
      <c r="E525">
        <v>148</v>
      </c>
      <c r="F525">
        <v>61</v>
      </c>
    </row>
    <row r="526" spans="1:6" x14ac:dyDescent="0.35">
      <c r="A526" s="8">
        <v>42071</v>
      </c>
      <c r="B526" s="71">
        <v>0.83333333333333337</v>
      </c>
      <c r="C526">
        <v>11.6</v>
      </c>
      <c r="D526">
        <v>0</v>
      </c>
      <c r="E526">
        <v>26</v>
      </c>
      <c r="F526">
        <v>21</v>
      </c>
    </row>
    <row r="527" spans="1:6" x14ac:dyDescent="0.35">
      <c r="A527" s="8">
        <v>42071</v>
      </c>
      <c r="B527" s="71">
        <v>0.875</v>
      </c>
      <c r="C527">
        <v>9.9</v>
      </c>
      <c r="D527">
        <v>0</v>
      </c>
      <c r="E527">
        <v>0</v>
      </c>
      <c r="F527">
        <v>0</v>
      </c>
    </row>
    <row r="528" spans="1:6" x14ac:dyDescent="0.35">
      <c r="A528" s="8">
        <v>42071</v>
      </c>
      <c r="B528" s="71">
        <v>0.91666666666666663</v>
      </c>
      <c r="C528">
        <v>8.6</v>
      </c>
      <c r="D528">
        <v>0</v>
      </c>
      <c r="E528">
        <v>0</v>
      </c>
      <c r="F528">
        <v>0</v>
      </c>
    </row>
    <row r="529" spans="1:6" x14ac:dyDescent="0.35">
      <c r="A529" s="8">
        <v>42071</v>
      </c>
      <c r="B529" s="71">
        <v>0.95833333333333337</v>
      </c>
      <c r="C529">
        <v>7.4</v>
      </c>
      <c r="D529">
        <v>0</v>
      </c>
      <c r="E529">
        <v>0</v>
      </c>
      <c r="F529">
        <v>0</v>
      </c>
    </row>
    <row r="530" spans="1:6" x14ac:dyDescent="0.35">
      <c r="A530" s="8">
        <v>42072</v>
      </c>
      <c r="B530" s="71">
        <v>0</v>
      </c>
      <c r="C530">
        <v>6.5</v>
      </c>
      <c r="D530">
        <v>0</v>
      </c>
      <c r="E530">
        <v>0</v>
      </c>
      <c r="F530">
        <v>0</v>
      </c>
    </row>
    <row r="531" spans="1:6" x14ac:dyDescent="0.35">
      <c r="A531" s="8">
        <v>42072</v>
      </c>
      <c r="B531" s="71">
        <v>4.1666666666666664E-2</v>
      </c>
      <c r="C531">
        <v>5.6</v>
      </c>
      <c r="D531">
        <v>0</v>
      </c>
      <c r="E531">
        <v>0</v>
      </c>
      <c r="F531">
        <v>0</v>
      </c>
    </row>
    <row r="532" spans="1:6" x14ac:dyDescent="0.35">
      <c r="A532" s="8">
        <v>42072</v>
      </c>
      <c r="B532" s="71">
        <v>8.3333333333333329E-2</v>
      </c>
      <c r="C532">
        <v>4.8</v>
      </c>
      <c r="D532">
        <v>0</v>
      </c>
      <c r="E532">
        <v>0</v>
      </c>
      <c r="F532">
        <v>0</v>
      </c>
    </row>
    <row r="533" spans="1:6" x14ac:dyDescent="0.35">
      <c r="A533" s="8">
        <v>42072</v>
      </c>
      <c r="B533" s="71">
        <v>0.125</v>
      </c>
      <c r="C533">
        <v>4.0999999999999996</v>
      </c>
      <c r="D533">
        <v>0</v>
      </c>
      <c r="E533">
        <v>0</v>
      </c>
      <c r="F533">
        <v>0</v>
      </c>
    </row>
    <row r="534" spans="1:6" x14ac:dyDescent="0.35">
      <c r="A534" s="8">
        <v>42072</v>
      </c>
      <c r="B534" s="71">
        <v>0.16666666666666666</v>
      </c>
      <c r="C534">
        <v>3.5</v>
      </c>
      <c r="D534">
        <v>0</v>
      </c>
      <c r="E534">
        <v>0</v>
      </c>
      <c r="F534">
        <v>0</v>
      </c>
    </row>
    <row r="535" spans="1:6" x14ac:dyDescent="0.35">
      <c r="A535" s="8">
        <v>42072</v>
      </c>
      <c r="B535" s="71">
        <v>0.20833333333333334</v>
      </c>
      <c r="C535">
        <v>3.2</v>
      </c>
      <c r="D535">
        <v>0</v>
      </c>
      <c r="E535">
        <v>0</v>
      </c>
      <c r="F535">
        <v>0</v>
      </c>
    </row>
    <row r="536" spans="1:6" x14ac:dyDescent="0.35">
      <c r="A536" s="8">
        <v>42072</v>
      </c>
      <c r="B536" s="71">
        <v>0.25</v>
      </c>
      <c r="C536">
        <v>3</v>
      </c>
      <c r="D536">
        <v>0</v>
      </c>
      <c r="E536">
        <v>0</v>
      </c>
      <c r="F536">
        <v>0</v>
      </c>
    </row>
    <row r="537" spans="1:6" x14ac:dyDescent="0.35">
      <c r="A537" s="8">
        <v>42072</v>
      </c>
      <c r="B537" s="71">
        <v>0.29166666666666669</v>
      </c>
      <c r="C537">
        <v>3.4</v>
      </c>
      <c r="D537">
        <v>0</v>
      </c>
      <c r="E537">
        <v>0</v>
      </c>
      <c r="F537">
        <v>0</v>
      </c>
    </row>
    <row r="538" spans="1:6" x14ac:dyDescent="0.35">
      <c r="A538" s="8">
        <v>42072</v>
      </c>
      <c r="B538" s="71">
        <v>0.33333333333333331</v>
      </c>
      <c r="C538">
        <v>4.5999999999999996</v>
      </c>
      <c r="D538">
        <v>0</v>
      </c>
      <c r="E538">
        <v>0</v>
      </c>
      <c r="F538">
        <v>0</v>
      </c>
    </row>
    <row r="539" spans="1:6" x14ac:dyDescent="0.35">
      <c r="A539" s="8">
        <v>42072</v>
      </c>
      <c r="B539" s="71">
        <v>0.375</v>
      </c>
      <c r="C539">
        <v>5.7</v>
      </c>
      <c r="D539">
        <v>0</v>
      </c>
      <c r="E539">
        <v>0</v>
      </c>
      <c r="F539">
        <v>5</v>
      </c>
    </row>
    <row r="540" spans="1:6" x14ac:dyDescent="0.35">
      <c r="A540" s="8">
        <v>42072</v>
      </c>
      <c r="B540" s="71">
        <v>0.41666666666666669</v>
      </c>
      <c r="C540">
        <v>6</v>
      </c>
      <c r="D540">
        <v>0</v>
      </c>
      <c r="E540">
        <v>0</v>
      </c>
      <c r="F540">
        <v>50</v>
      </c>
    </row>
    <row r="541" spans="1:6" x14ac:dyDescent="0.35">
      <c r="A541" s="8">
        <v>42072</v>
      </c>
      <c r="B541" s="71">
        <v>0.45833333333333331</v>
      </c>
      <c r="C541">
        <v>6.2</v>
      </c>
      <c r="D541">
        <v>0</v>
      </c>
      <c r="E541">
        <v>0</v>
      </c>
      <c r="F541">
        <v>97</v>
      </c>
    </row>
    <row r="542" spans="1:6" x14ac:dyDescent="0.35">
      <c r="A542" s="8">
        <v>42072</v>
      </c>
      <c r="B542" s="71">
        <v>0.5</v>
      </c>
      <c r="C542">
        <v>7.5</v>
      </c>
      <c r="D542">
        <v>0</v>
      </c>
      <c r="E542">
        <v>17</v>
      </c>
      <c r="F542">
        <v>202</v>
      </c>
    </row>
    <row r="543" spans="1:6" x14ac:dyDescent="0.35">
      <c r="A543" s="8">
        <v>42072</v>
      </c>
      <c r="B543" s="71">
        <v>0.54166666666666663</v>
      </c>
      <c r="C543">
        <v>8.6999999999999993</v>
      </c>
      <c r="D543">
        <v>0</v>
      </c>
      <c r="E543">
        <v>8</v>
      </c>
      <c r="F543">
        <v>256</v>
      </c>
    </row>
    <row r="544" spans="1:6" x14ac:dyDescent="0.35">
      <c r="A544" s="8">
        <v>42072</v>
      </c>
      <c r="B544" s="71">
        <v>0.58333333333333337</v>
      </c>
      <c r="C544">
        <v>10.3</v>
      </c>
      <c r="D544">
        <v>0</v>
      </c>
      <c r="E544">
        <v>73</v>
      </c>
      <c r="F544">
        <v>329</v>
      </c>
    </row>
    <row r="545" spans="1:6" x14ac:dyDescent="0.35">
      <c r="A545" s="8">
        <v>42072</v>
      </c>
      <c r="B545" s="71">
        <v>0.625</v>
      </c>
      <c r="C545">
        <v>11.8</v>
      </c>
      <c r="D545">
        <v>0</v>
      </c>
      <c r="E545">
        <v>187</v>
      </c>
      <c r="F545">
        <v>324</v>
      </c>
    </row>
    <row r="546" spans="1:6" x14ac:dyDescent="0.35">
      <c r="A546" s="8">
        <v>42072</v>
      </c>
      <c r="B546" s="71">
        <v>0.66666666666666663</v>
      </c>
      <c r="C546">
        <v>12.7</v>
      </c>
      <c r="D546">
        <v>0</v>
      </c>
      <c r="E546">
        <v>199</v>
      </c>
      <c r="F546">
        <v>281</v>
      </c>
    </row>
    <row r="547" spans="1:6" x14ac:dyDescent="0.35">
      <c r="A547" s="8">
        <v>42072</v>
      </c>
      <c r="B547" s="71">
        <v>0.70833333333333337</v>
      </c>
      <c r="C547">
        <v>13.1</v>
      </c>
      <c r="D547">
        <v>0</v>
      </c>
      <c r="E547">
        <v>122</v>
      </c>
      <c r="F547">
        <v>259</v>
      </c>
    </row>
    <row r="548" spans="1:6" x14ac:dyDescent="0.35">
      <c r="A548" s="8">
        <v>42072</v>
      </c>
      <c r="B548" s="71">
        <v>0.75</v>
      </c>
      <c r="C548">
        <v>13</v>
      </c>
      <c r="D548">
        <v>0</v>
      </c>
      <c r="E548">
        <v>59</v>
      </c>
      <c r="F548">
        <v>201</v>
      </c>
    </row>
    <row r="549" spans="1:6" x14ac:dyDescent="0.35">
      <c r="A549" s="8">
        <v>42072</v>
      </c>
      <c r="B549" s="71">
        <v>0.79166666666666663</v>
      </c>
      <c r="C549">
        <v>12.4</v>
      </c>
      <c r="D549">
        <v>0</v>
      </c>
      <c r="E549">
        <v>33</v>
      </c>
      <c r="F549">
        <v>110</v>
      </c>
    </row>
    <row r="550" spans="1:6" x14ac:dyDescent="0.35">
      <c r="A550" s="8">
        <v>42072</v>
      </c>
      <c r="B550" s="71">
        <v>0.83333333333333337</v>
      </c>
      <c r="C550">
        <v>11</v>
      </c>
      <c r="D550">
        <v>0</v>
      </c>
      <c r="E550">
        <v>3</v>
      </c>
      <c r="F550">
        <v>31</v>
      </c>
    </row>
    <row r="551" spans="1:6" x14ac:dyDescent="0.35">
      <c r="A551" s="8">
        <v>42072</v>
      </c>
      <c r="B551" s="71">
        <v>0.875</v>
      </c>
      <c r="C551">
        <v>10</v>
      </c>
      <c r="D551">
        <v>0</v>
      </c>
      <c r="E551">
        <v>0</v>
      </c>
      <c r="F551">
        <v>0</v>
      </c>
    </row>
    <row r="552" spans="1:6" x14ac:dyDescent="0.35">
      <c r="A552" s="8">
        <v>42072</v>
      </c>
      <c r="B552" s="71">
        <v>0.91666666666666663</v>
      </c>
      <c r="C552">
        <v>8.4</v>
      </c>
      <c r="D552">
        <v>0</v>
      </c>
      <c r="E552">
        <v>0</v>
      </c>
      <c r="F552">
        <v>0</v>
      </c>
    </row>
    <row r="553" spans="1:6" x14ac:dyDescent="0.35">
      <c r="A553" s="8">
        <v>42072</v>
      </c>
      <c r="B553" s="71">
        <v>0.95833333333333337</v>
      </c>
      <c r="C553">
        <v>6.9</v>
      </c>
      <c r="D553">
        <v>0</v>
      </c>
      <c r="E553">
        <v>0</v>
      </c>
      <c r="F553">
        <v>0</v>
      </c>
    </row>
    <row r="554" spans="1:6" x14ac:dyDescent="0.35">
      <c r="A554" s="8">
        <v>42073</v>
      </c>
      <c r="B554" s="71">
        <v>0</v>
      </c>
      <c r="C554">
        <v>5.9</v>
      </c>
      <c r="D554">
        <v>0</v>
      </c>
      <c r="E554">
        <v>0</v>
      </c>
      <c r="F554">
        <v>0</v>
      </c>
    </row>
    <row r="555" spans="1:6" x14ac:dyDescent="0.35">
      <c r="A555" s="8">
        <v>42073</v>
      </c>
      <c r="B555" s="71">
        <v>4.1666666666666664E-2</v>
      </c>
      <c r="C555">
        <v>5.3</v>
      </c>
      <c r="D555">
        <v>0</v>
      </c>
      <c r="E555">
        <v>0</v>
      </c>
      <c r="F555">
        <v>0</v>
      </c>
    </row>
    <row r="556" spans="1:6" x14ac:dyDescent="0.35">
      <c r="A556" s="8">
        <v>42073</v>
      </c>
      <c r="B556" s="71">
        <v>8.3333333333333329E-2</v>
      </c>
      <c r="C556">
        <v>4.4000000000000004</v>
      </c>
      <c r="D556">
        <v>0</v>
      </c>
      <c r="E556">
        <v>0</v>
      </c>
      <c r="F556">
        <v>0</v>
      </c>
    </row>
    <row r="557" spans="1:6" x14ac:dyDescent="0.35">
      <c r="A557" s="8">
        <v>42073</v>
      </c>
      <c r="B557" s="71">
        <v>0.125</v>
      </c>
      <c r="C557">
        <v>3.8</v>
      </c>
      <c r="D557">
        <v>0</v>
      </c>
      <c r="E557">
        <v>0</v>
      </c>
      <c r="F557">
        <v>0</v>
      </c>
    </row>
    <row r="558" spans="1:6" x14ac:dyDescent="0.35">
      <c r="A558" s="8">
        <v>42073</v>
      </c>
      <c r="B558" s="71">
        <v>0.16666666666666666</v>
      </c>
      <c r="C558">
        <v>3.6</v>
      </c>
      <c r="D558">
        <v>0</v>
      </c>
      <c r="E558">
        <v>0</v>
      </c>
      <c r="F558">
        <v>0</v>
      </c>
    </row>
    <row r="559" spans="1:6" x14ac:dyDescent="0.35">
      <c r="A559" s="8">
        <v>42073</v>
      </c>
      <c r="B559" s="71">
        <v>0.20833333333333334</v>
      </c>
      <c r="C559">
        <v>3.3</v>
      </c>
      <c r="D559">
        <v>0</v>
      </c>
      <c r="E559">
        <v>0</v>
      </c>
      <c r="F559">
        <v>0</v>
      </c>
    </row>
    <row r="560" spans="1:6" x14ac:dyDescent="0.35">
      <c r="A560" s="8">
        <v>42073</v>
      </c>
      <c r="B560" s="71">
        <v>0.25</v>
      </c>
      <c r="C560">
        <v>3.2</v>
      </c>
      <c r="D560">
        <v>0</v>
      </c>
      <c r="E560">
        <v>0</v>
      </c>
      <c r="F560">
        <v>0</v>
      </c>
    </row>
    <row r="561" spans="1:6" x14ac:dyDescent="0.35">
      <c r="A561" s="8">
        <v>42073</v>
      </c>
      <c r="B561" s="71">
        <v>0.29166666666666669</v>
      </c>
      <c r="C561">
        <v>3.4</v>
      </c>
      <c r="D561">
        <v>0</v>
      </c>
      <c r="E561">
        <v>0</v>
      </c>
      <c r="F561">
        <v>0</v>
      </c>
    </row>
    <row r="562" spans="1:6" x14ac:dyDescent="0.35">
      <c r="A562" s="8">
        <v>42073</v>
      </c>
      <c r="B562" s="71">
        <v>0.33333333333333331</v>
      </c>
      <c r="C562">
        <v>4.3</v>
      </c>
      <c r="D562">
        <v>0</v>
      </c>
      <c r="E562">
        <v>0</v>
      </c>
      <c r="F562">
        <v>0</v>
      </c>
    </row>
    <row r="563" spans="1:6" x14ac:dyDescent="0.35">
      <c r="A563" s="8">
        <v>42073</v>
      </c>
      <c r="B563" s="71">
        <v>0.375</v>
      </c>
      <c r="C563">
        <v>4.0999999999999996</v>
      </c>
      <c r="D563">
        <v>0</v>
      </c>
      <c r="E563">
        <v>2</v>
      </c>
      <c r="F563">
        <v>8</v>
      </c>
    </row>
    <row r="564" spans="1:6" x14ac:dyDescent="0.35">
      <c r="A564" s="8">
        <v>42073</v>
      </c>
      <c r="B564" s="71">
        <v>0.41666666666666669</v>
      </c>
      <c r="C564">
        <v>5.2</v>
      </c>
      <c r="D564">
        <v>0</v>
      </c>
      <c r="E564">
        <v>32</v>
      </c>
      <c r="F564">
        <v>64</v>
      </c>
    </row>
    <row r="565" spans="1:6" x14ac:dyDescent="0.35">
      <c r="A565" s="8">
        <v>42073</v>
      </c>
      <c r="B565" s="71">
        <v>0.45833333333333331</v>
      </c>
      <c r="C565">
        <v>7.2</v>
      </c>
      <c r="D565">
        <v>0</v>
      </c>
      <c r="E565">
        <v>66</v>
      </c>
      <c r="F565">
        <v>147</v>
      </c>
    </row>
    <row r="566" spans="1:6" x14ac:dyDescent="0.35">
      <c r="A566" s="8">
        <v>42073</v>
      </c>
      <c r="B566" s="71">
        <v>0.5</v>
      </c>
      <c r="C566">
        <v>9.8000000000000007</v>
      </c>
      <c r="D566">
        <v>0</v>
      </c>
      <c r="E566">
        <v>199</v>
      </c>
      <c r="F566">
        <v>175</v>
      </c>
    </row>
    <row r="567" spans="1:6" x14ac:dyDescent="0.35">
      <c r="A567" s="8">
        <v>42073</v>
      </c>
      <c r="B567" s="71">
        <v>0.54166666666666663</v>
      </c>
      <c r="C567">
        <v>12.1</v>
      </c>
      <c r="D567">
        <v>0</v>
      </c>
      <c r="E567">
        <v>393</v>
      </c>
      <c r="F567">
        <v>142</v>
      </c>
    </row>
    <row r="568" spans="1:6" x14ac:dyDescent="0.35">
      <c r="A568" s="8">
        <v>42073</v>
      </c>
      <c r="B568" s="71">
        <v>0.58333333333333337</v>
      </c>
      <c r="C568">
        <v>13.7</v>
      </c>
      <c r="D568">
        <v>0</v>
      </c>
      <c r="E568">
        <v>484</v>
      </c>
      <c r="F568">
        <v>140</v>
      </c>
    </row>
    <row r="569" spans="1:6" x14ac:dyDescent="0.35">
      <c r="A569" s="8">
        <v>42073</v>
      </c>
      <c r="B569" s="71">
        <v>0.625</v>
      </c>
      <c r="C569">
        <v>14.9</v>
      </c>
      <c r="D569">
        <v>0</v>
      </c>
      <c r="E569">
        <v>553</v>
      </c>
      <c r="F569">
        <v>107</v>
      </c>
    </row>
    <row r="570" spans="1:6" x14ac:dyDescent="0.35">
      <c r="A570" s="8">
        <v>42073</v>
      </c>
      <c r="B570" s="71">
        <v>0.66666666666666663</v>
      </c>
      <c r="C570">
        <v>15.8</v>
      </c>
      <c r="D570">
        <v>0</v>
      </c>
      <c r="E570">
        <v>542</v>
      </c>
      <c r="F570">
        <v>86</v>
      </c>
    </row>
    <row r="571" spans="1:6" x14ac:dyDescent="0.35">
      <c r="A571" s="8">
        <v>42073</v>
      </c>
      <c r="B571" s="71">
        <v>0.70833333333333337</v>
      </c>
      <c r="C571">
        <v>16.2</v>
      </c>
      <c r="D571">
        <v>0</v>
      </c>
      <c r="E571">
        <v>437</v>
      </c>
      <c r="F571">
        <v>87</v>
      </c>
    </row>
    <row r="572" spans="1:6" x14ac:dyDescent="0.35">
      <c r="A572" s="8">
        <v>42073</v>
      </c>
      <c r="B572" s="71">
        <v>0.75</v>
      </c>
      <c r="C572">
        <v>16.100000000000001</v>
      </c>
      <c r="D572">
        <v>0</v>
      </c>
      <c r="E572">
        <v>262</v>
      </c>
      <c r="F572">
        <v>96</v>
      </c>
    </row>
    <row r="573" spans="1:6" x14ac:dyDescent="0.35">
      <c r="A573" s="8">
        <v>42073</v>
      </c>
      <c r="B573" s="71">
        <v>0.79166666666666663</v>
      </c>
      <c r="C573">
        <v>15.1</v>
      </c>
      <c r="D573">
        <v>0</v>
      </c>
      <c r="E573">
        <v>87</v>
      </c>
      <c r="F573">
        <v>90</v>
      </c>
    </row>
    <row r="574" spans="1:6" x14ac:dyDescent="0.35">
      <c r="A574" s="8">
        <v>42073</v>
      </c>
      <c r="B574" s="71">
        <v>0.83333333333333337</v>
      </c>
      <c r="C574">
        <v>13.3</v>
      </c>
      <c r="D574">
        <v>0</v>
      </c>
      <c r="E574">
        <v>12</v>
      </c>
      <c r="F574">
        <v>29</v>
      </c>
    </row>
    <row r="575" spans="1:6" x14ac:dyDescent="0.35">
      <c r="A575" s="8">
        <v>42073</v>
      </c>
      <c r="B575" s="71">
        <v>0.875</v>
      </c>
      <c r="C575">
        <v>12.3</v>
      </c>
      <c r="D575">
        <v>0</v>
      </c>
      <c r="E575">
        <v>0</v>
      </c>
      <c r="F575">
        <v>0</v>
      </c>
    </row>
    <row r="576" spans="1:6" x14ac:dyDescent="0.35">
      <c r="A576" s="8">
        <v>42073</v>
      </c>
      <c r="B576" s="71">
        <v>0.91666666666666663</v>
      </c>
      <c r="C576">
        <v>11.5</v>
      </c>
      <c r="D576">
        <v>0</v>
      </c>
      <c r="E576">
        <v>0</v>
      </c>
      <c r="F576">
        <v>0</v>
      </c>
    </row>
    <row r="577" spans="1:6" x14ac:dyDescent="0.35">
      <c r="A577" s="8">
        <v>42073</v>
      </c>
      <c r="B577" s="71">
        <v>0.95833333333333337</v>
      </c>
      <c r="C577">
        <v>10.7</v>
      </c>
      <c r="D577">
        <v>0</v>
      </c>
      <c r="E577">
        <v>0</v>
      </c>
      <c r="F577">
        <v>0</v>
      </c>
    </row>
    <row r="578" spans="1:6" x14ac:dyDescent="0.35">
      <c r="A578" s="8">
        <v>42074</v>
      </c>
      <c r="B578" s="71">
        <v>0</v>
      </c>
      <c r="C578">
        <v>10.3</v>
      </c>
      <c r="D578">
        <v>0</v>
      </c>
      <c r="E578">
        <v>0</v>
      </c>
      <c r="F578">
        <v>0</v>
      </c>
    </row>
    <row r="579" spans="1:6" x14ac:dyDescent="0.35">
      <c r="A579" s="8">
        <v>42074</v>
      </c>
      <c r="B579" s="71">
        <v>4.1666666666666664E-2</v>
      </c>
      <c r="C579">
        <v>9.6</v>
      </c>
      <c r="D579">
        <v>0</v>
      </c>
      <c r="E579">
        <v>0</v>
      </c>
      <c r="F579">
        <v>0</v>
      </c>
    </row>
    <row r="580" spans="1:6" x14ac:dyDescent="0.35">
      <c r="A580" s="8">
        <v>42074</v>
      </c>
      <c r="B580" s="71">
        <v>8.3333333333333329E-2</v>
      </c>
      <c r="C580">
        <v>9</v>
      </c>
      <c r="D580">
        <v>0</v>
      </c>
      <c r="E580">
        <v>0</v>
      </c>
      <c r="F580">
        <v>0</v>
      </c>
    </row>
    <row r="581" spans="1:6" x14ac:dyDescent="0.35">
      <c r="A581" s="8">
        <v>42074</v>
      </c>
      <c r="B581" s="71">
        <v>0.125</v>
      </c>
      <c r="C581">
        <v>8.8000000000000007</v>
      </c>
      <c r="D581">
        <v>0</v>
      </c>
      <c r="E581">
        <v>0</v>
      </c>
      <c r="F581">
        <v>0</v>
      </c>
    </row>
    <row r="582" spans="1:6" x14ac:dyDescent="0.35">
      <c r="A582" s="8">
        <v>42074</v>
      </c>
      <c r="B582" s="71">
        <v>0.16666666666666666</v>
      </c>
      <c r="C582">
        <v>9</v>
      </c>
      <c r="D582">
        <v>0</v>
      </c>
      <c r="E582">
        <v>0</v>
      </c>
      <c r="F582">
        <v>0</v>
      </c>
    </row>
    <row r="583" spans="1:6" x14ac:dyDescent="0.35">
      <c r="A583" s="8">
        <v>42074</v>
      </c>
      <c r="B583" s="71">
        <v>0.20833333333333334</v>
      </c>
      <c r="C583">
        <v>9.6</v>
      </c>
      <c r="D583">
        <v>0</v>
      </c>
      <c r="E583">
        <v>0</v>
      </c>
      <c r="F583">
        <v>0</v>
      </c>
    </row>
    <row r="584" spans="1:6" x14ac:dyDescent="0.35">
      <c r="A584" s="8">
        <v>42074</v>
      </c>
      <c r="B584" s="71">
        <v>0.25</v>
      </c>
      <c r="C584">
        <v>8.1999999999999993</v>
      </c>
      <c r="D584">
        <v>0</v>
      </c>
      <c r="E584">
        <v>0</v>
      </c>
      <c r="F584">
        <v>0</v>
      </c>
    </row>
    <row r="585" spans="1:6" x14ac:dyDescent="0.35">
      <c r="A585" s="8">
        <v>42074</v>
      </c>
      <c r="B585" s="71">
        <v>0.29166666666666669</v>
      </c>
      <c r="C585">
        <v>8.1</v>
      </c>
      <c r="D585">
        <v>0</v>
      </c>
      <c r="E585">
        <v>0</v>
      </c>
      <c r="F585">
        <v>0</v>
      </c>
    </row>
    <row r="586" spans="1:6" x14ac:dyDescent="0.35">
      <c r="A586" s="8">
        <v>42074</v>
      </c>
      <c r="B586" s="71">
        <v>0.33333333333333331</v>
      </c>
      <c r="C586">
        <v>8.4</v>
      </c>
      <c r="D586">
        <v>0</v>
      </c>
      <c r="E586">
        <v>0</v>
      </c>
      <c r="F586">
        <v>0</v>
      </c>
    </row>
    <row r="587" spans="1:6" x14ac:dyDescent="0.35">
      <c r="A587" s="8">
        <v>42074</v>
      </c>
      <c r="B587" s="71">
        <v>0.375</v>
      </c>
      <c r="C587">
        <v>8.1999999999999993</v>
      </c>
      <c r="D587">
        <v>0</v>
      </c>
      <c r="E587">
        <v>6</v>
      </c>
      <c r="F587">
        <v>8</v>
      </c>
    </row>
    <row r="588" spans="1:6" x14ac:dyDescent="0.35">
      <c r="A588" s="8">
        <v>42074</v>
      </c>
      <c r="B588" s="71">
        <v>0.41666666666666669</v>
      </c>
      <c r="C588">
        <v>9.6999999999999993</v>
      </c>
      <c r="D588">
        <v>0</v>
      </c>
      <c r="E588">
        <v>96</v>
      </c>
      <c r="F588">
        <v>47</v>
      </c>
    </row>
    <row r="589" spans="1:6" x14ac:dyDescent="0.35">
      <c r="A589" s="8">
        <v>42074</v>
      </c>
      <c r="B589" s="71">
        <v>0.45833333333333331</v>
      </c>
      <c r="C589">
        <v>12.6</v>
      </c>
      <c r="D589">
        <v>0</v>
      </c>
      <c r="E589">
        <v>240</v>
      </c>
      <c r="F589">
        <v>73</v>
      </c>
    </row>
    <row r="590" spans="1:6" x14ac:dyDescent="0.35">
      <c r="A590" s="8">
        <v>42074</v>
      </c>
      <c r="B590" s="71">
        <v>0.5</v>
      </c>
      <c r="C590">
        <v>14.7</v>
      </c>
      <c r="D590">
        <v>0</v>
      </c>
      <c r="E590">
        <v>389</v>
      </c>
      <c r="F590">
        <v>83</v>
      </c>
    </row>
    <row r="591" spans="1:6" x14ac:dyDescent="0.35">
      <c r="A591" s="8">
        <v>42074</v>
      </c>
      <c r="B591" s="71">
        <v>0.54166666666666663</v>
      </c>
      <c r="C591">
        <v>16.2</v>
      </c>
      <c r="D591">
        <v>0</v>
      </c>
      <c r="E591">
        <v>499</v>
      </c>
      <c r="F591">
        <v>92</v>
      </c>
    </row>
    <row r="592" spans="1:6" x14ac:dyDescent="0.35">
      <c r="A592" s="8">
        <v>42074</v>
      </c>
      <c r="B592" s="71">
        <v>0.58333333333333337</v>
      </c>
      <c r="C592">
        <v>17.2</v>
      </c>
      <c r="D592">
        <v>0</v>
      </c>
      <c r="E592">
        <v>566</v>
      </c>
      <c r="F592">
        <v>96</v>
      </c>
    </row>
    <row r="593" spans="1:6" x14ac:dyDescent="0.35">
      <c r="A593" s="8">
        <v>42074</v>
      </c>
      <c r="B593" s="71">
        <v>0.625</v>
      </c>
      <c r="C593">
        <v>17.7</v>
      </c>
      <c r="D593">
        <v>0</v>
      </c>
      <c r="E593">
        <v>587</v>
      </c>
      <c r="F593">
        <v>90</v>
      </c>
    </row>
    <row r="594" spans="1:6" x14ac:dyDescent="0.35">
      <c r="A594" s="8">
        <v>42074</v>
      </c>
      <c r="B594" s="71">
        <v>0.66666666666666663</v>
      </c>
      <c r="C594">
        <v>17.7</v>
      </c>
      <c r="D594">
        <v>0</v>
      </c>
      <c r="E594">
        <v>518</v>
      </c>
      <c r="F594">
        <v>106</v>
      </c>
    </row>
    <row r="595" spans="1:6" x14ac:dyDescent="0.35">
      <c r="A595" s="8">
        <v>42074</v>
      </c>
      <c r="B595" s="71">
        <v>0.70833333333333337</v>
      </c>
      <c r="C595">
        <v>16.899999999999999</v>
      </c>
      <c r="D595">
        <v>0</v>
      </c>
      <c r="E595">
        <v>374</v>
      </c>
      <c r="F595">
        <v>132</v>
      </c>
    </row>
    <row r="596" spans="1:6" x14ac:dyDescent="0.35">
      <c r="A596" s="8">
        <v>42074</v>
      </c>
      <c r="B596" s="71">
        <v>0.75</v>
      </c>
      <c r="C596">
        <v>15.3</v>
      </c>
      <c r="D596">
        <v>0</v>
      </c>
      <c r="E596">
        <v>218</v>
      </c>
      <c r="F596">
        <v>127</v>
      </c>
    </row>
    <row r="597" spans="1:6" x14ac:dyDescent="0.35">
      <c r="A597" s="8">
        <v>42074</v>
      </c>
      <c r="B597" s="71">
        <v>0.79166666666666663</v>
      </c>
      <c r="C597">
        <v>13.8</v>
      </c>
      <c r="D597">
        <v>0</v>
      </c>
      <c r="E597">
        <v>59</v>
      </c>
      <c r="F597">
        <v>106</v>
      </c>
    </row>
    <row r="598" spans="1:6" x14ac:dyDescent="0.35">
      <c r="A598" s="8">
        <v>42074</v>
      </c>
      <c r="B598" s="71">
        <v>0.83333333333333337</v>
      </c>
      <c r="C598">
        <v>12.1</v>
      </c>
      <c r="D598">
        <v>0</v>
      </c>
      <c r="E598">
        <v>8</v>
      </c>
      <c r="F598">
        <v>31</v>
      </c>
    </row>
    <row r="599" spans="1:6" x14ac:dyDescent="0.35">
      <c r="A599" s="8">
        <v>42074</v>
      </c>
      <c r="B599" s="71">
        <v>0.875</v>
      </c>
      <c r="C599">
        <v>10.199999999999999</v>
      </c>
      <c r="D599">
        <v>0</v>
      </c>
      <c r="E599">
        <v>0</v>
      </c>
      <c r="F599">
        <v>0</v>
      </c>
    </row>
    <row r="600" spans="1:6" x14ac:dyDescent="0.35">
      <c r="A600" s="8">
        <v>42074</v>
      </c>
      <c r="B600" s="71">
        <v>0.91666666666666663</v>
      </c>
      <c r="C600">
        <v>9.4</v>
      </c>
      <c r="D600">
        <v>0</v>
      </c>
      <c r="E600">
        <v>0</v>
      </c>
      <c r="F600">
        <v>0</v>
      </c>
    </row>
    <row r="601" spans="1:6" x14ac:dyDescent="0.35">
      <c r="A601" s="8">
        <v>42074</v>
      </c>
      <c r="B601" s="71">
        <v>0.95833333333333337</v>
      </c>
      <c r="C601">
        <v>8.6999999999999993</v>
      </c>
      <c r="D601">
        <v>0</v>
      </c>
      <c r="E601">
        <v>0</v>
      </c>
      <c r="F601">
        <v>0</v>
      </c>
    </row>
    <row r="602" spans="1:6" x14ac:dyDescent="0.35">
      <c r="A602" s="8">
        <v>42075</v>
      </c>
      <c r="B602" s="71">
        <v>0</v>
      </c>
      <c r="C602">
        <v>8.1</v>
      </c>
      <c r="D602">
        <v>0</v>
      </c>
      <c r="E602">
        <v>0</v>
      </c>
      <c r="F602">
        <v>0</v>
      </c>
    </row>
    <row r="603" spans="1:6" x14ac:dyDescent="0.35">
      <c r="A603" s="8">
        <v>42075</v>
      </c>
      <c r="B603" s="71">
        <v>4.1666666666666664E-2</v>
      </c>
      <c r="C603">
        <v>7.6</v>
      </c>
      <c r="D603">
        <v>0</v>
      </c>
      <c r="E603">
        <v>0</v>
      </c>
      <c r="F603">
        <v>0</v>
      </c>
    </row>
    <row r="604" spans="1:6" x14ac:dyDescent="0.35">
      <c r="A604" s="8">
        <v>42075</v>
      </c>
      <c r="B604" s="71">
        <v>8.3333333333333329E-2</v>
      </c>
      <c r="C604">
        <v>7</v>
      </c>
      <c r="D604">
        <v>0</v>
      </c>
      <c r="E604">
        <v>0</v>
      </c>
      <c r="F604">
        <v>0</v>
      </c>
    </row>
    <row r="605" spans="1:6" x14ac:dyDescent="0.35">
      <c r="A605" s="8">
        <v>42075</v>
      </c>
      <c r="B605" s="71">
        <v>0.125</v>
      </c>
      <c r="C605">
        <v>6.4</v>
      </c>
      <c r="D605">
        <v>0</v>
      </c>
      <c r="E605">
        <v>0</v>
      </c>
      <c r="F605">
        <v>0</v>
      </c>
    </row>
    <row r="606" spans="1:6" x14ac:dyDescent="0.35">
      <c r="A606" s="8">
        <v>42075</v>
      </c>
      <c r="B606" s="71">
        <v>0.16666666666666666</v>
      </c>
      <c r="C606">
        <v>5.9</v>
      </c>
      <c r="D606">
        <v>0</v>
      </c>
      <c r="E606">
        <v>0</v>
      </c>
      <c r="F606">
        <v>0</v>
      </c>
    </row>
    <row r="607" spans="1:6" x14ac:dyDescent="0.35">
      <c r="A607" s="8">
        <v>42075</v>
      </c>
      <c r="B607" s="71">
        <v>0.20833333333333334</v>
      </c>
      <c r="C607">
        <v>6</v>
      </c>
      <c r="D607">
        <v>0</v>
      </c>
      <c r="E607">
        <v>0</v>
      </c>
      <c r="F607">
        <v>0</v>
      </c>
    </row>
    <row r="608" spans="1:6" x14ac:dyDescent="0.35">
      <c r="A608" s="8">
        <v>42075</v>
      </c>
      <c r="B608" s="71">
        <v>0.25</v>
      </c>
      <c r="C608">
        <v>5.7</v>
      </c>
      <c r="D608">
        <v>0</v>
      </c>
      <c r="E608">
        <v>0</v>
      </c>
      <c r="F608">
        <v>0</v>
      </c>
    </row>
    <row r="609" spans="1:6" x14ac:dyDescent="0.35">
      <c r="A609" s="8">
        <v>42075</v>
      </c>
      <c r="B609" s="71">
        <v>0.29166666666666669</v>
      </c>
      <c r="C609">
        <v>5.5</v>
      </c>
      <c r="D609">
        <v>0</v>
      </c>
      <c r="E609">
        <v>0</v>
      </c>
      <c r="F609">
        <v>0</v>
      </c>
    </row>
    <row r="610" spans="1:6" x14ac:dyDescent="0.35">
      <c r="A610" s="8">
        <v>42075</v>
      </c>
      <c r="B610" s="71">
        <v>0.33333333333333331</v>
      </c>
      <c r="C610">
        <v>5.5</v>
      </c>
      <c r="D610">
        <v>0</v>
      </c>
      <c r="E610">
        <v>0</v>
      </c>
      <c r="F610">
        <v>0</v>
      </c>
    </row>
    <row r="611" spans="1:6" x14ac:dyDescent="0.35">
      <c r="A611" s="8">
        <v>42075</v>
      </c>
      <c r="B611" s="71">
        <v>0.375</v>
      </c>
      <c r="C611">
        <v>5.9</v>
      </c>
      <c r="D611">
        <v>0</v>
      </c>
      <c r="E611">
        <v>5</v>
      </c>
      <c r="F611">
        <v>8</v>
      </c>
    </row>
    <row r="612" spans="1:6" x14ac:dyDescent="0.35">
      <c r="A612" s="8">
        <v>42075</v>
      </c>
      <c r="B612" s="71">
        <v>0.41666666666666669</v>
      </c>
      <c r="C612">
        <v>7.3</v>
      </c>
      <c r="D612">
        <v>0</v>
      </c>
      <c r="E612">
        <v>60</v>
      </c>
      <c r="F612">
        <v>62</v>
      </c>
    </row>
    <row r="613" spans="1:6" x14ac:dyDescent="0.35">
      <c r="A613" s="8">
        <v>42075</v>
      </c>
      <c r="B613" s="71">
        <v>0.45833333333333331</v>
      </c>
      <c r="C613">
        <v>9.8000000000000007</v>
      </c>
      <c r="D613">
        <v>0</v>
      </c>
      <c r="E613">
        <v>178</v>
      </c>
      <c r="F613">
        <v>99</v>
      </c>
    </row>
    <row r="614" spans="1:6" x14ac:dyDescent="0.35">
      <c r="A614" s="8">
        <v>42075</v>
      </c>
      <c r="B614" s="71">
        <v>0.5</v>
      </c>
      <c r="C614">
        <v>11.7</v>
      </c>
      <c r="D614">
        <v>0</v>
      </c>
      <c r="E614">
        <v>274</v>
      </c>
      <c r="F614">
        <v>131</v>
      </c>
    </row>
    <row r="615" spans="1:6" x14ac:dyDescent="0.35">
      <c r="A615" s="8">
        <v>42075</v>
      </c>
      <c r="B615" s="71">
        <v>0.54166666666666663</v>
      </c>
      <c r="C615">
        <v>13.5</v>
      </c>
      <c r="D615">
        <v>0</v>
      </c>
      <c r="E615">
        <v>400</v>
      </c>
      <c r="F615">
        <v>142</v>
      </c>
    </row>
    <row r="616" spans="1:6" x14ac:dyDescent="0.35">
      <c r="A616" s="8">
        <v>42075</v>
      </c>
      <c r="B616" s="71">
        <v>0.58333333333333337</v>
      </c>
      <c r="C616">
        <v>15.3</v>
      </c>
      <c r="D616">
        <v>0</v>
      </c>
      <c r="E616">
        <v>547</v>
      </c>
      <c r="F616">
        <v>106</v>
      </c>
    </row>
    <row r="617" spans="1:6" x14ac:dyDescent="0.35">
      <c r="A617" s="8">
        <v>42075</v>
      </c>
      <c r="B617" s="71">
        <v>0.625</v>
      </c>
      <c r="C617">
        <v>16.7</v>
      </c>
      <c r="D617">
        <v>0</v>
      </c>
      <c r="E617">
        <v>575</v>
      </c>
      <c r="F617">
        <v>101</v>
      </c>
    </row>
    <row r="618" spans="1:6" x14ac:dyDescent="0.35">
      <c r="A618" s="8">
        <v>42075</v>
      </c>
      <c r="B618" s="71">
        <v>0.66666666666666663</v>
      </c>
      <c r="C618">
        <v>17.600000000000001</v>
      </c>
      <c r="D618">
        <v>0</v>
      </c>
      <c r="E618">
        <v>538</v>
      </c>
      <c r="F618">
        <v>95</v>
      </c>
    </row>
    <row r="619" spans="1:6" x14ac:dyDescent="0.35">
      <c r="A619" s="8">
        <v>42075</v>
      </c>
      <c r="B619" s="71">
        <v>0.70833333333333337</v>
      </c>
      <c r="C619">
        <v>17.8</v>
      </c>
      <c r="D619">
        <v>0</v>
      </c>
      <c r="E619">
        <v>372</v>
      </c>
      <c r="F619">
        <v>134</v>
      </c>
    </row>
    <row r="620" spans="1:6" x14ac:dyDescent="0.35">
      <c r="A620" s="8">
        <v>42075</v>
      </c>
      <c r="B620" s="71">
        <v>0.75</v>
      </c>
      <c r="C620">
        <v>17.3</v>
      </c>
      <c r="D620">
        <v>0</v>
      </c>
      <c r="E620">
        <v>148</v>
      </c>
      <c r="F620">
        <v>163</v>
      </c>
    </row>
    <row r="621" spans="1:6" x14ac:dyDescent="0.35">
      <c r="A621" s="8">
        <v>42075</v>
      </c>
      <c r="B621" s="71">
        <v>0.79166666666666663</v>
      </c>
      <c r="C621">
        <v>15.8</v>
      </c>
      <c r="D621">
        <v>0</v>
      </c>
      <c r="E621">
        <v>23</v>
      </c>
      <c r="F621">
        <v>115</v>
      </c>
    </row>
    <row r="622" spans="1:6" x14ac:dyDescent="0.35">
      <c r="A622" s="8">
        <v>42075</v>
      </c>
      <c r="B622" s="71">
        <v>0.83333333333333337</v>
      </c>
      <c r="C622">
        <v>13.6</v>
      </c>
      <c r="D622">
        <v>0</v>
      </c>
      <c r="E622">
        <v>2</v>
      </c>
      <c r="F622">
        <v>30</v>
      </c>
    </row>
    <row r="623" spans="1:6" x14ac:dyDescent="0.35">
      <c r="A623" s="8">
        <v>42075</v>
      </c>
      <c r="B623" s="71">
        <v>0.875</v>
      </c>
      <c r="C623">
        <v>10.1</v>
      </c>
      <c r="D623">
        <v>0</v>
      </c>
      <c r="E623">
        <v>0</v>
      </c>
      <c r="F623">
        <v>0</v>
      </c>
    </row>
    <row r="624" spans="1:6" x14ac:dyDescent="0.35">
      <c r="A624" s="8">
        <v>42075</v>
      </c>
      <c r="B624" s="71">
        <v>0.91666666666666663</v>
      </c>
      <c r="C624">
        <v>9</v>
      </c>
      <c r="D624">
        <v>0</v>
      </c>
      <c r="E624">
        <v>0</v>
      </c>
      <c r="F624">
        <v>0</v>
      </c>
    </row>
    <row r="625" spans="1:6" x14ac:dyDescent="0.35">
      <c r="A625" s="8">
        <v>42075</v>
      </c>
      <c r="B625" s="71">
        <v>0.95833333333333337</v>
      </c>
      <c r="C625">
        <v>8.1999999999999993</v>
      </c>
      <c r="D625">
        <v>0</v>
      </c>
      <c r="E625">
        <v>0</v>
      </c>
      <c r="F625">
        <v>0</v>
      </c>
    </row>
    <row r="626" spans="1:6" x14ac:dyDescent="0.35">
      <c r="A626" s="8">
        <v>42076</v>
      </c>
      <c r="B626" s="71">
        <v>0</v>
      </c>
      <c r="C626">
        <v>8</v>
      </c>
      <c r="D626">
        <v>0</v>
      </c>
      <c r="E626">
        <v>0</v>
      </c>
      <c r="F626">
        <v>0</v>
      </c>
    </row>
    <row r="627" spans="1:6" x14ac:dyDescent="0.35">
      <c r="A627" s="8">
        <v>42076</v>
      </c>
      <c r="B627" s="71">
        <v>4.1666666666666664E-2</v>
      </c>
      <c r="C627">
        <v>8.1999999999999993</v>
      </c>
      <c r="D627">
        <v>0</v>
      </c>
      <c r="E627">
        <v>0</v>
      </c>
      <c r="F627">
        <v>0</v>
      </c>
    </row>
    <row r="628" spans="1:6" x14ac:dyDescent="0.35">
      <c r="A628" s="8">
        <v>42076</v>
      </c>
      <c r="B628" s="71">
        <v>8.3333333333333329E-2</v>
      </c>
      <c r="C628">
        <v>8.3000000000000007</v>
      </c>
      <c r="D628">
        <v>0</v>
      </c>
      <c r="E628">
        <v>0</v>
      </c>
      <c r="F628">
        <v>0</v>
      </c>
    </row>
    <row r="629" spans="1:6" x14ac:dyDescent="0.35">
      <c r="A629" s="8">
        <v>42076</v>
      </c>
      <c r="B629" s="71">
        <v>0.125</v>
      </c>
      <c r="C629">
        <v>8.6999999999999993</v>
      </c>
      <c r="D629">
        <v>0</v>
      </c>
      <c r="E629">
        <v>0</v>
      </c>
      <c r="F629">
        <v>0</v>
      </c>
    </row>
    <row r="630" spans="1:6" x14ac:dyDescent="0.35">
      <c r="A630" s="8">
        <v>42076</v>
      </c>
      <c r="B630" s="71">
        <v>0.16666666666666666</v>
      </c>
      <c r="C630">
        <v>9</v>
      </c>
      <c r="D630">
        <v>0</v>
      </c>
      <c r="E630">
        <v>0</v>
      </c>
      <c r="F630">
        <v>0</v>
      </c>
    </row>
    <row r="631" spans="1:6" x14ac:dyDescent="0.35">
      <c r="A631" s="8">
        <v>42076</v>
      </c>
      <c r="B631" s="71">
        <v>0.20833333333333334</v>
      </c>
      <c r="C631">
        <v>9.3000000000000007</v>
      </c>
      <c r="D631">
        <v>0</v>
      </c>
      <c r="E631">
        <v>0</v>
      </c>
      <c r="F631">
        <v>0</v>
      </c>
    </row>
    <row r="632" spans="1:6" x14ac:dyDescent="0.35">
      <c r="A632" s="8">
        <v>42076</v>
      </c>
      <c r="B632" s="71">
        <v>0.25</v>
      </c>
      <c r="C632">
        <v>9.4</v>
      </c>
      <c r="D632">
        <v>0</v>
      </c>
      <c r="E632">
        <v>0</v>
      </c>
      <c r="F632">
        <v>0</v>
      </c>
    </row>
    <row r="633" spans="1:6" x14ac:dyDescent="0.35">
      <c r="A633" s="8">
        <v>42076</v>
      </c>
      <c r="B633" s="71">
        <v>0.29166666666666669</v>
      </c>
      <c r="C633">
        <v>9.5</v>
      </c>
      <c r="D633">
        <v>0</v>
      </c>
      <c r="E633">
        <v>0</v>
      </c>
      <c r="F633">
        <v>0</v>
      </c>
    </row>
    <row r="634" spans="1:6" x14ac:dyDescent="0.35">
      <c r="A634" s="8">
        <v>42076</v>
      </c>
      <c r="B634" s="71">
        <v>0.33333333333333331</v>
      </c>
      <c r="C634">
        <v>9.5</v>
      </c>
      <c r="D634">
        <v>0</v>
      </c>
      <c r="E634">
        <v>0</v>
      </c>
      <c r="F634">
        <v>0</v>
      </c>
    </row>
    <row r="635" spans="1:6" x14ac:dyDescent="0.35">
      <c r="A635" s="8">
        <v>42076</v>
      </c>
      <c r="B635" s="71">
        <v>0.375</v>
      </c>
      <c r="C635">
        <v>10.199999999999999</v>
      </c>
      <c r="D635">
        <v>0.2</v>
      </c>
      <c r="E635">
        <v>0</v>
      </c>
      <c r="F635">
        <v>3</v>
      </c>
    </row>
    <row r="636" spans="1:6" x14ac:dyDescent="0.35">
      <c r="A636" s="8">
        <v>42076</v>
      </c>
      <c r="B636" s="71">
        <v>0.41666666666666669</v>
      </c>
      <c r="C636">
        <v>10.3</v>
      </c>
      <c r="D636">
        <v>0</v>
      </c>
      <c r="E636">
        <v>1</v>
      </c>
      <c r="F636">
        <v>23</v>
      </c>
    </row>
    <row r="637" spans="1:6" x14ac:dyDescent="0.35">
      <c r="A637" s="8">
        <v>42076</v>
      </c>
      <c r="B637" s="71">
        <v>0.45833333333333331</v>
      </c>
      <c r="C637">
        <v>10.3</v>
      </c>
      <c r="D637">
        <v>0.2</v>
      </c>
      <c r="E637">
        <v>1</v>
      </c>
      <c r="F637">
        <v>60</v>
      </c>
    </row>
    <row r="638" spans="1:6" x14ac:dyDescent="0.35">
      <c r="A638" s="8">
        <v>42076</v>
      </c>
      <c r="B638" s="71">
        <v>0.5</v>
      </c>
      <c r="C638">
        <v>10.7</v>
      </c>
      <c r="D638">
        <v>0.5</v>
      </c>
      <c r="E638">
        <v>94</v>
      </c>
      <c r="F638">
        <v>117</v>
      </c>
    </row>
    <row r="639" spans="1:6" x14ac:dyDescent="0.35">
      <c r="A639" s="8">
        <v>42076</v>
      </c>
      <c r="B639" s="71">
        <v>0.54166666666666663</v>
      </c>
      <c r="C639">
        <v>10.9</v>
      </c>
      <c r="D639">
        <v>0</v>
      </c>
      <c r="E639">
        <v>117</v>
      </c>
      <c r="F639">
        <v>130</v>
      </c>
    </row>
    <row r="640" spans="1:6" x14ac:dyDescent="0.35">
      <c r="A640" s="8">
        <v>42076</v>
      </c>
      <c r="B640" s="71">
        <v>0.58333333333333337</v>
      </c>
      <c r="C640">
        <v>11.7</v>
      </c>
      <c r="D640">
        <v>0</v>
      </c>
      <c r="E640">
        <v>240</v>
      </c>
      <c r="F640">
        <v>177</v>
      </c>
    </row>
    <row r="641" spans="1:6" x14ac:dyDescent="0.35">
      <c r="A641" s="8">
        <v>42076</v>
      </c>
      <c r="B641" s="71">
        <v>0.625</v>
      </c>
      <c r="C641">
        <v>11.9</v>
      </c>
      <c r="D641">
        <v>0</v>
      </c>
      <c r="E641">
        <v>399</v>
      </c>
      <c r="F641">
        <v>144</v>
      </c>
    </row>
    <row r="642" spans="1:6" x14ac:dyDescent="0.35">
      <c r="A642" s="8">
        <v>42076</v>
      </c>
      <c r="B642" s="71">
        <v>0.66666666666666663</v>
      </c>
      <c r="C642">
        <v>11.3</v>
      </c>
      <c r="D642">
        <v>0</v>
      </c>
      <c r="E642">
        <v>304</v>
      </c>
      <c r="F642">
        <v>172</v>
      </c>
    </row>
    <row r="643" spans="1:6" x14ac:dyDescent="0.35">
      <c r="A643" s="8">
        <v>42076</v>
      </c>
      <c r="B643" s="71">
        <v>0.70833333333333337</v>
      </c>
      <c r="C643">
        <v>10.4</v>
      </c>
      <c r="D643">
        <v>0</v>
      </c>
      <c r="E643">
        <v>219</v>
      </c>
      <c r="F643">
        <v>157</v>
      </c>
    </row>
    <row r="644" spans="1:6" x14ac:dyDescent="0.35">
      <c r="A644" s="8">
        <v>42076</v>
      </c>
      <c r="B644" s="71">
        <v>0.75</v>
      </c>
      <c r="C644">
        <v>9.3000000000000007</v>
      </c>
      <c r="D644">
        <v>0.1</v>
      </c>
      <c r="E644">
        <v>149</v>
      </c>
      <c r="F644">
        <v>128</v>
      </c>
    </row>
    <row r="645" spans="1:6" x14ac:dyDescent="0.35">
      <c r="A645" s="8">
        <v>42076</v>
      </c>
      <c r="B645" s="71">
        <v>0.79166666666666663</v>
      </c>
      <c r="C645">
        <v>8.1</v>
      </c>
      <c r="D645">
        <v>0.1</v>
      </c>
      <c r="E645">
        <v>101</v>
      </c>
      <c r="F645">
        <v>73</v>
      </c>
    </row>
    <row r="646" spans="1:6" x14ac:dyDescent="0.35">
      <c r="A646" s="8">
        <v>42076</v>
      </c>
      <c r="B646" s="71">
        <v>0.83333333333333337</v>
      </c>
      <c r="C646">
        <v>7.6</v>
      </c>
      <c r="D646">
        <v>0</v>
      </c>
      <c r="E646">
        <v>26</v>
      </c>
      <c r="F646">
        <v>26</v>
      </c>
    </row>
    <row r="647" spans="1:6" x14ac:dyDescent="0.35">
      <c r="A647" s="8">
        <v>42076</v>
      </c>
      <c r="B647" s="71">
        <v>0.875</v>
      </c>
      <c r="C647">
        <v>7</v>
      </c>
      <c r="D647">
        <v>0.1</v>
      </c>
      <c r="E647">
        <v>0</v>
      </c>
      <c r="F647">
        <v>0</v>
      </c>
    </row>
    <row r="648" spans="1:6" x14ac:dyDescent="0.35">
      <c r="A648" s="8">
        <v>42076</v>
      </c>
      <c r="B648" s="71">
        <v>0.91666666666666663</v>
      </c>
      <c r="C648">
        <v>6.3</v>
      </c>
      <c r="D648">
        <v>0.5</v>
      </c>
      <c r="E648">
        <v>0</v>
      </c>
      <c r="F648">
        <v>0</v>
      </c>
    </row>
    <row r="649" spans="1:6" x14ac:dyDescent="0.35">
      <c r="A649" s="8">
        <v>42076</v>
      </c>
      <c r="B649" s="71">
        <v>0.95833333333333337</v>
      </c>
      <c r="C649">
        <v>6.1</v>
      </c>
      <c r="D649">
        <v>0.1</v>
      </c>
      <c r="E649">
        <v>0</v>
      </c>
      <c r="F649">
        <v>0</v>
      </c>
    </row>
    <row r="650" spans="1:6" x14ac:dyDescent="0.35">
      <c r="A650" s="8">
        <v>42077</v>
      </c>
      <c r="B650" s="71">
        <v>0</v>
      </c>
      <c r="C650">
        <v>5.7</v>
      </c>
      <c r="D650">
        <v>0</v>
      </c>
      <c r="E650">
        <v>0</v>
      </c>
      <c r="F650">
        <v>0</v>
      </c>
    </row>
    <row r="651" spans="1:6" x14ac:dyDescent="0.35">
      <c r="A651" s="8">
        <v>42077</v>
      </c>
      <c r="B651" s="71">
        <v>4.1666666666666664E-2</v>
      </c>
      <c r="C651">
        <v>5.5</v>
      </c>
      <c r="D651">
        <v>0</v>
      </c>
      <c r="E651">
        <v>0</v>
      </c>
      <c r="F651">
        <v>0</v>
      </c>
    </row>
    <row r="652" spans="1:6" x14ac:dyDescent="0.35">
      <c r="A652" s="8">
        <v>42077</v>
      </c>
      <c r="B652" s="71">
        <v>8.3333333333333329E-2</v>
      </c>
      <c r="C652">
        <v>5.2</v>
      </c>
      <c r="D652">
        <v>0</v>
      </c>
      <c r="E652">
        <v>0</v>
      </c>
      <c r="F652">
        <v>0</v>
      </c>
    </row>
    <row r="653" spans="1:6" x14ac:dyDescent="0.35">
      <c r="A653" s="8">
        <v>42077</v>
      </c>
      <c r="B653" s="71">
        <v>0.125</v>
      </c>
      <c r="C653">
        <v>5.3</v>
      </c>
      <c r="D653">
        <v>0</v>
      </c>
      <c r="E653">
        <v>0</v>
      </c>
      <c r="F653">
        <v>0</v>
      </c>
    </row>
    <row r="654" spans="1:6" x14ac:dyDescent="0.35">
      <c r="A654" s="8">
        <v>42077</v>
      </c>
      <c r="B654" s="71">
        <v>0.16666666666666666</v>
      </c>
      <c r="C654">
        <v>5</v>
      </c>
      <c r="D654">
        <v>0</v>
      </c>
      <c r="E654">
        <v>0</v>
      </c>
      <c r="F654">
        <v>0</v>
      </c>
    </row>
    <row r="655" spans="1:6" x14ac:dyDescent="0.35">
      <c r="A655" s="8">
        <v>42077</v>
      </c>
      <c r="B655" s="71">
        <v>0.20833333333333334</v>
      </c>
      <c r="C655">
        <v>4.7</v>
      </c>
      <c r="D655">
        <v>0</v>
      </c>
      <c r="E655">
        <v>0</v>
      </c>
      <c r="F655">
        <v>0</v>
      </c>
    </row>
    <row r="656" spans="1:6" x14ac:dyDescent="0.35">
      <c r="A656" s="8">
        <v>42077</v>
      </c>
      <c r="B656" s="71">
        <v>0.25</v>
      </c>
      <c r="C656">
        <v>4.2</v>
      </c>
      <c r="D656">
        <v>0</v>
      </c>
      <c r="E656">
        <v>0</v>
      </c>
      <c r="F656">
        <v>0</v>
      </c>
    </row>
    <row r="657" spans="1:6" x14ac:dyDescent="0.35">
      <c r="A657" s="8">
        <v>42077</v>
      </c>
      <c r="B657" s="71">
        <v>0.29166666666666669</v>
      </c>
      <c r="C657">
        <v>3.6</v>
      </c>
      <c r="D657">
        <v>0</v>
      </c>
      <c r="E657">
        <v>0</v>
      </c>
      <c r="F657">
        <v>0</v>
      </c>
    </row>
    <row r="658" spans="1:6" x14ac:dyDescent="0.35">
      <c r="A658" s="8">
        <v>42077</v>
      </c>
      <c r="B658" s="71">
        <v>0.33333333333333331</v>
      </c>
      <c r="C658">
        <v>3.2</v>
      </c>
      <c r="D658">
        <v>0</v>
      </c>
      <c r="E658">
        <v>0</v>
      </c>
      <c r="F658">
        <v>0</v>
      </c>
    </row>
    <row r="659" spans="1:6" x14ac:dyDescent="0.35">
      <c r="A659" s="8">
        <v>42077</v>
      </c>
      <c r="B659" s="71">
        <v>0.375</v>
      </c>
      <c r="C659">
        <v>3.7</v>
      </c>
      <c r="D659">
        <v>0</v>
      </c>
      <c r="E659">
        <v>4</v>
      </c>
      <c r="F659">
        <v>11</v>
      </c>
    </row>
    <row r="660" spans="1:6" x14ac:dyDescent="0.35">
      <c r="A660" s="8">
        <v>42077</v>
      </c>
      <c r="B660" s="71">
        <v>0.41666666666666669</v>
      </c>
      <c r="C660">
        <v>5.8</v>
      </c>
      <c r="D660">
        <v>0</v>
      </c>
      <c r="E660">
        <v>30</v>
      </c>
      <c r="F660">
        <v>72</v>
      </c>
    </row>
    <row r="661" spans="1:6" x14ac:dyDescent="0.35">
      <c r="A661" s="8">
        <v>42077</v>
      </c>
      <c r="B661" s="71">
        <v>0.45833333333333331</v>
      </c>
      <c r="C661">
        <v>7.2</v>
      </c>
      <c r="D661">
        <v>0</v>
      </c>
      <c r="E661">
        <v>83</v>
      </c>
      <c r="F661">
        <v>131</v>
      </c>
    </row>
    <row r="662" spans="1:6" x14ac:dyDescent="0.35">
      <c r="A662" s="8">
        <v>42077</v>
      </c>
      <c r="B662" s="71">
        <v>0.5</v>
      </c>
      <c r="C662">
        <v>8.5</v>
      </c>
      <c r="D662">
        <v>0.1</v>
      </c>
      <c r="E662">
        <v>147</v>
      </c>
      <c r="F662">
        <v>164</v>
      </c>
    </row>
    <row r="663" spans="1:6" x14ac:dyDescent="0.35">
      <c r="A663" s="8">
        <v>42077</v>
      </c>
      <c r="B663" s="71">
        <v>0.54166666666666663</v>
      </c>
      <c r="C663">
        <v>9.1999999999999993</v>
      </c>
      <c r="D663">
        <v>0</v>
      </c>
      <c r="E663">
        <v>116</v>
      </c>
      <c r="F663">
        <v>186</v>
      </c>
    </row>
    <row r="664" spans="1:6" x14ac:dyDescent="0.35">
      <c r="A664" s="8">
        <v>42077</v>
      </c>
      <c r="B664" s="71">
        <v>0.58333333333333337</v>
      </c>
      <c r="C664">
        <v>9.6</v>
      </c>
      <c r="D664">
        <v>0.2</v>
      </c>
      <c r="E664">
        <v>83</v>
      </c>
      <c r="F664">
        <v>220</v>
      </c>
    </row>
    <row r="665" spans="1:6" x14ac:dyDescent="0.35">
      <c r="A665" s="8">
        <v>42077</v>
      </c>
      <c r="B665" s="71">
        <v>0.625</v>
      </c>
      <c r="C665">
        <v>9.9</v>
      </c>
      <c r="D665">
        <v>0.2</v>
      </c>
      <c r="E665">
        <v>169</v>
      </c>
      <c r="F665">
        <v>151</v>
      </c>
    </row>
    <row r="666" spans="1:6" x14ac:dyDescent="0.35">
      <c r="A666" s="8">
        <v>42077</v>
      </c>
      <c r="B666" s="71">
        <v>0.66666666666666663</v>
      </c>
      <c r="C666">
        <v>10.5</v>
      </c>
      <c r="D666">
        <v>0.3</v>
      </c>
      <c r="E666">
        <v>325</v>
      </c>
      <c r="F666">
        <v>153</v>
      </c>
    </row>
    <row r="667" spans="1:6" x14ac:dyDescent="0.35">
      <c r="A667" s="8">
        <v>42077</v>
      </c>
      <c r="B667" s="71">
        <v>0.70833333333333337</v>
      </c>
      <c r="C667">
        <v>10.4</v>
      </c>
      <c r="D667">
        <v>0</v>
      </c>
      <c r="E667">
        <v>172</v>
      </c>
      <c r="F667">
        <v>156</v>
      </c>
    </row>
    <row r="668" spans="1:6" x14ac:dyDescent="0.35">
      <c r="A668" s="8">
        <v>42077</v>
      </c>
      <c r="B668" s="71">
        <v>0.75</v>
      </c>
      <c r="C668">
        <v>10.3</v>
      </c>
      <c r="D668">
        <v>0</v>
      </c>
      <c r="E668">
        <v>169</v>
      </c>
      <c r="F668">
        <v>131</v>
      </c>
    </row>
    <row r="669" spans="1:6" x14ac:dyDescent="0.35">
      <c r="A669" s="8">
        <v>42077</v>
      </c>
      <c r="B669" s="71">
        <v>0.79166666666666663</v>
      </c>
      <c r="C669">
        <v>9.6</v>
      </c>
      <c r="D669">
        <v>0</v>
      </c>
      <c r="E669">
        <v>63</v>
      </c>
      <c r="F669">
        <v>86</v>
      </c>
    </row>
    <row r="670" spans="1:6" x14ac:dyDescent="0.35">
      <c r="A670" s="8">
        <v>42077</v>
      </c>
      <c r="B670" s="71">
        <v>0.83333333333333337</v>
      </c>
      <c r="C670">
        <v>8.8000000000000007</v>
      </c>
      <c r="D670">
        <v>0.1</v>
      </c>
      <c r="E670">
        <v>16</v>
      </c>
      <c r="F670">
        <v>24</v>
      </c>
    </row>
    <row r="671" spans="1:6" x14ac:dyDescent="0.35">
      <c r="A671" s="8">
        <v>42077</v>
      </c>
      <c r="B671" s="71">
        <v>0.875</v>
      </c>
      <c r="C671">
        <v>8.3000000000000007</v>
      </c>
      <c r="D671">
        <v>0</v>
      </c>
      <c r="E671">
        <v>0</v>
      </c>
      <c r="F671">
        <v>0</v>
      </c>
    </row>
    <row r="672" spans="1:6" x14ac:dyDescent="0.35">
      <c r="A672" s="8">
        <v>42077</v>
      </c>
      <c r="B672" s="71">
        <v>0.91666666666666663</v>
      </c>
      <c r="C672">
        <v>7.4</v>
      </c>
      <c r="D672">
        <v>0</v>
      </c>
      <c r="E672">
        <v>0</v>
      </c>
      <c r="F672">
        <v>0</v>
      </c>
    </row>
    <row r="673" spans="1:6" x14ac:dyDescent="0.35">
      <c r="A673" s="8">
        <v>42077</v>
      </c>
      <c r="B673" s="71">
        <v>0.95833333333333337</v>
      </c>
      <c r="C673">
        <v>6.5</v>
      </c>
      <c r="D673">
        <v>0</v>
      </c>
      <c r="E673">
        <v>0</v>
      </c>
      <c r="F673">
        <v>0</v>
      </c>
    </row>
    <row r="674" spans="1:6" x14ac:dyDescent="0.35">
      <c r="A674" s="8">
        <v>42078</v>
      </c>
      <c r="B674" s="71">
        <v>0</v>
      </c>
      <c r="C674">
        <v>5.7</v>
      </c>
      <c r="D674">
        <v>0</v>
      </c>
      <c r="E674">
        <v>0</v>
      </c>
      <c r="F674">
        <v>0</v>
      </c>
    </row>
    <row r="675" spans="1:6" x14ac:dyDescent="0.35">
      <c r="A675" s="8">
        <v>42078</v>
      </c>
      <c r="B675" s="71">
        <v>4.1666666666666664E-2</v>
      </c>
      <c r="C675">
        <v>5.7</v>
      </c>
      <c r="D675">
        <v>0</v>
      </c>
      <c r="E675">
        <v>0</v>
      </c>
      <c r="F675">
        <v>0</v>
      </c>
    </row>
    <row r="676" spans="1:6" x14ac:dyDescent="0.35">
      <c r="A676" s="8">
        <v>42078</v>
      </c>
      <c r="B676" s="71">
        <v>8.3333333333333329E-2</v>
      </c>
      <c r="C676">
        <v>5.2</v>
      </c>
      <c r="D676">
        <v>0</v>
      </c>
      <c r="E676">
        <v>0</v>
      </c>
      <c r="F676">
        <v>0</v>
      </c>
    </row>
    <row r="677" spans="1:6" x14ac:dyDescent="0.35">
      <c r="A677" s="8">
        <v>42078</v>
      </c>
      <c r="B677" s="71">
        <v>0.125</v>
      </c>
      <c r="C677">
        <v>5</v>
      </c>
      <c r="D677">
        <v>0</v>
      </c>
      <c r="E677">
        <v>0</v>
      </c>
      <c r="F677">
        <v>0</v>
      </c>
    </row>
    <row r="678" spans="1:6" x14ac:dyDescent="0.35">
      <c r="A678" s="8">
        <v>42078</v>
      </c>
      <c r="B678" s="71">
        <v>0.16666666666666666</v>
      </c>
      <c r="C678">
        <v>4.7</v>
      </c>
      <c r="D678">
        <v>0</v>
      </c>
      <c r="E678">
        <v>0</v>
      </c>
      <c r="F678">
        <v>0</v>
      </c>
    </row>
    <row r="679" spans="1:6" x14ac:dyDescent="0.35">
      <c r="A679" s="8">
        <v>42078</v>
      </c>
      <c r="B679" s="71">
        <v>0.20833333333333334</v>
      </c>
      <c r="C679">
        <v>4.3</v>
      </c>
      <c r="D679">
        <v>0</v>
      </c>
      <c r="E679">
        <v>0</v>
      </c>
      <c r="F679">
        <v>0</v>
      </c>
    </row>
    <row r="680" spans="1:6" x14ac:dyDescent="0.35">
      <c r="A680" s="8">
        <v>42078</v>
      </c>
      <c r="B680" s="71">
        <v>0.25</v>
      </c>
      <c r="C680">
        <v>4.0999999999999996</v>
      </c>
      <c r="D680">
        <v>0</v>
      </c>
      <c r="E680">
        <v>0</v>
      </c>
      <c r="F680">
        <v>0</v>
      </c>
    </row>
    <row r="681" spans="1:6" x14ac:dyDescent="0.35">
      <c r="A681" s="8">
        <v>42078</v>
      </c>
      <c r="B681" s="71">
        <v>0.29166666666666669</v>
      </c>
      <c r="C681">
        <v>3.9</v>
      </c>
      <c r="D681">
        <v>0</v>
      </c>
      <c r="E681">
        <v>0</v>
      </c>
      <c r="F681">
        <v>0</v>
      </c>
    </row>
    <row r="682" spans="1:6" x14ac:dyDescent="0.35">
      <c r="A682" s="8">
        <v>42078</v>
      </c>
      <c r="B682" s="71">
        <v>0.33333333333333331</v>
      </c>
      <c r="C682">
        <v>3.2</v>
      </c>
      <c r="D682">
        <v>0</v>
      </c>
      <c r="E682">
        <v>0</v>
      </c>
      <c r="F682">
        <v>0</v>
      </c>
    </row>
    <row r="683" spans="1:6" x14ac:dyDescent="0.35">
      <c r="A683" s="8">
        <v>42078</v>
      </c>
      <c r="B683" s="71">
        <v>0.375</v>
      </c>
      <c r="C683">
        <v>2.2999999999999998</v>
      </c>
      <c r="D683">
        <v>0</v>
      </c>
      <c r="E683">
        <v>11</v>
      </c>
      <c r="F683">
        <v>11</v>
      </c>
    </row>
    <row r="684" spans="1:6" x14ac:dyDescent="0.35">
      <c r="A684" s="8">
        <v>42078</v>
      </c>
      <c r="B684" s="71">
        <v>0.41666666666666669</v>
      </c>
      <c r="C684">
        <v>5</v>
      </c>
      <c r="D684">
        <v>0</v>
      </c>
      <c r="E684">
        <v>116</v>
      </c>
      <c r="F684">
        <v>52</v>
      </c>
    </row>
    <row r="685" spans="1:6" x14ac:dyDescent="0.35">
      <c r="A685" s="8">
        <v>42078</v>
      </c>
      <c r="B685" s="71">
        <v>0.45833333333333331</v>
      </c>
      <c r="C685">
        <v>7.4</v>
      </c>
      <c r="D685">
        <v>0</v>
      </c>
      <c r="E685">
        <v>279</v>
      </c>
      <c r="F685">
        <v>74</v>
      </c>
    </row>
    <row r="686" spans="1:6" x14ac:dyDescent="0.35">
      <c r="A686" s="8">
        <v>42078</v>
      </c>
      <c r="B686" s="71">
        <v>0.5</v>
      </c>
      <c r="C686">
        <v>9.6</v>
      </c>
      <c r="D686">
        <v>0</v>
      </c>
      <c r="E686">
        <v>435</v>
      </c>
      <c r="F686">
        <v>81</v>
      </c>
    </row>
    <row r="687" spans="1:6" x14ac:dyDescent="0.35">
      <c r="A687" s="8">
        <v>42078</v>
      </c>
      <c r="B687" s="71">
        <v>0.54166666666666663</v>
      </c>
      <c r="C687">
        <v>11.1</v>
      </c>
      <c r="D687">
        <v>0</v>
      </c>
      <c r="E687">
        <v>556</v>
      </c>
      <c r="F687">
        <v>87</v>
      </c>
    </row>
    <row r="688" spans="1:6" x14ac:dyDescent="0.35">
      <c r="A688" s="8">
        <v>42078</v>
      </c>
      <c r="B688" s="71">
        <v>0.58333333333333337</v>
      </c>
      <c r="C688">
        <v>12</v>
      </c>
      <c r="D688">
        <v>0</v>
      </c>
      <c r="E688">
        <v>566</v>
      </c>
      <c r="F688">
        <v>113</v>
      </c>
    </row>
    <row r="689" spans="1:6" x14ac:dyDescent="0.35">
      <c r="A689" s="8">
        <v>42078</v>
      </c>
      <c r="B689" s="71">
        <v>0.625</v>
      </c>
      <c r="C689">
        <v>12.3</v>
      </c>
      <c r="D689">
        <v>0</v>
      </c>
      <c r="E689">
        <v>423</v>
      </c>
      <c r="F689">
        <v>158</v>
      </c>
    </row>
    <row r="690" spans="1:6" x14ac:dyDescent="0.35">
      <c r="A690" s="8">
        <v>42078</v>
      </c>
      <c r="B690" s="71">
        <v>0.66666666666666663</v>
      </c>
      <c r="C690">
        <v>12.3</v>
      </c>
      <c r="D690">
        <v>0</v>
      </c>
      <c r="E690">
        <v>266</v>
      </c>
      <c r="F690">
        <v>199</v>
      </c>
    </row>
    <row r="691" spans="1:6" x14ac:dyDescent="0.35">
      <c r="A691" s="8">
        <v>42078</v>
      </c>
      <c r="B691" s="71">
        <v>0.70833333333333337</v>
      </c>
      <c r="C691">
        <v>12.2</v>
      </c>
      <c r="D691">
        <v>0</v>
      </c>
      <c r="E691">
        <v>175</v>
      </c>
      <c r="F691">
        <v>185</v>
      </c>
    </row>
    <row r="692" spans="1:6" x14ac:dyDescent="0.35">
      <c r="A692" s="8">
        <v>42078</v>
      </c>
      <c r="B692" s="71">
        <v>0.75</v>
      </c>
      <c r="C692">
        <v>11.9</v>
      </c>
      <c r="D692">
        <v>0</v>
      </c>
      <c r="E692">
        <v>80</v>
      </c>
      <c r="F692">
        <v>144</v>
      </c>
    </row>
    <row r="693" spans="1:6" x14ac:dyDescent="0.35">
      <c r="A693" s="8">
        <v>42078</v>
      </c>
      <c r="B693" s="71">
        <v>0.79166666666666663</v>
      </c>
      <c r="C693">
        <v>11.5</v>
      </c>
      <c r="D693">
        <v>0</v>
      </c>
      <c r="E693">
        <v>1</v>
      </c>
      <c r="F693">
        <v>89</v>
      </c>
    </row>
    <row r="694" spans="1:6" x14ac:dyDescent="0.35">
      <c r="A694" s="8">
        <v>42078</v>
      </c>
      <c r="B694" s="71">
        <v>0.83333333333333337</v>
      </c>
      <c r="C694">
        <v>10.6</v>
      </c>
      <c r="D694">
        <v>0</v>
      </c>
      <c r="E694">
        <v>4</v>
      </c>
      <c r="F694">
        <v>23</v>
      </c>
    </row>
    <row r="695" spans="1:6" x14ac:dyDescent="0.35">
      <c r="A695" s="8">
        <v>42078</v>
      </c>
      <c r="B695" s="71">
        <v>0.875</v>
      </c>
      <c r="C695">
        <v>9.8000000000000007</v>
      </c>
      <c r="D695">
        <v>0</v>
      </c>
      <c r="E695">
        <v>0</v>
      </c>
      <c r="F695">
        <v>0</v>
      </c>
    </row>
    <row r="696" spans="1:6" x14ac:dyDescent="0.35">
      <c r="A696" s="8">
        <v>42078</v>
      </c>
      <c r="B696" s="71">
        <v>0.91666666666666663</v>
      </c>
      <c r="C696">
        <v>9.1</v>
      </c>
      <c r="D696">
        <v>0</v>
      </c>
      <c r="E696">
        <v>0</v>
      </c>
      <c r="F696">
        <v>0</v>
      </c>
    </row>
    <row r="697" spans="1:6" x14ac:dyDescent="0.35">
      <c r="A697" s="8">
        <v>42078</v>
      </c>
      <c r="B697" s="71">
        <v>0.95833333333333337</v>
      </c>
      <c r="C697">
        <v>8.6999999999999993</v>
      </c>
      <c r="D697">
        <v>0</v>
      </c>
      <c r="E697">
        <v>0</v>
      </c>
      <c r="F697">
        <v>0</v>
      </c>
    </row>
    <row r="698" spans="1:6" x14ac:dyDescent="0.35">
      <c r="A698" s="8">
        <v>42079</v>
      </c>
      <c r="B698" s="71">
        <v>0</v>
      </c>
      <c r="C698">
        <v>8.4</v>
      </c>
      <c r="D698">
        <v>0</v>
      </c>
      <c r="E698">
        <v>0</v>
      </c>
      <c r="F698">
        <v>0</v>
      </c>
    </row>
    <row r="699" spans="1:6" x14ac:dyDescent="0.35">
      <c r="A699" s="8">
        <v>42079</v>
      </c>
      <c r="B699" s="71">
        <v>4.1666666666666664E-2</v>
      </c>
      <c r="C699">
        <v>7.9</v>
      </c>
      <c r="D699">
        <v>0</v>
      </c>
      <c r="E699">
        <v>0</v>
      </c>
      <c r="F699">
        <v>0</v>
      </c>
    </row>
    <row r="700" spans="1:6" x14ac:dyDescent="0.35">
      <c r="A700" s="8">
        <v>42079</v>
      </c>
      <c r="B700" s="71">
        <v>8.3333333333333329E-2</v>
      </c>
      <c r="C700">
        <v>7.6</v>
      </c>
      <c r="D700">
        <v>0</v>
      </c>
      <c r="E700">
        <v>0</v>
      </c>
      <c r="F700">
        <v>0</v>
      </c>
    </row>
    <row r="701" spans="1:6" x14ac:dyDescent="0.35">
      <c r="A701" s="8">
        <v>42079</v>
      </c>
      <c r="B701" s="71">
        <v>0.125</v>
      </c>
      <c r="C701">
        <v>7.3</v>
      </c>
      <c r="D701">
        <v>0</v>
      </c>
      <c r="E701">
        <v>0</v>
      </c>
      <c r="F701">
        <v>0</v>
      </c>
    </row>
    <row r="702" spans="1:6" x14ac:dyDescent="0.35">
      <c r="A702" s="8">
        <v>42079</v>
      </c>
      <c r="B702" s="71">
        <v>0.16666666666666666</v>
      </c>
      <c r="C702">
        <v>6.9</v>
      </c>
      <c r="D702">
        <v>0</v>
      </c>
      <c r="E702">
        <v>0</v>
      </c>
      <c r="F702">
        <v>0</v>
      </c>
    </row>
    <row r="703" spans="1:6" x14ac:dyDescent="0.35">
      <c r="A703" s="8">
        <v>42079</v>
      </c>
      <c r="B703" s="71">
        <v>0.20833333333333334</v>
      </c>
      <c r="C703">
        <v>6.7</v>
      </c>
      <c r="D703">
        <v>0</v>
      </c>
      <c r="E703">
        <v>0</v>
      </c>
      <c r="F703">
        <v>0</v>
      </c>
    </row>
    <row r="704" spans="1:6" x14ac:dyDescent="0.35">
      <c r="A704" s="8">
        <v>42079</v>
      </c>
      <c r="B704" s="71">
        <v>0.25</v>
      </c>
      <c r="C704">
        <v>6.2</v>
      </c>
      <c r="D704">
        <v>0</v>
      </c>
      <c r="E704">
        <v>0</v>
      </c>
      <c r="F704">
        <v>0</v>
      </c>
    </row>
    <row r="705" spans="1:6" x14ac:dyDescent="0.35">
      <c r="A705" s="8">
        <v>42079</v>
      </c>
      <c r="B705" s="71">
        <v>0.29166666666666669</v>
      </c>
      <c r="C705">
        <v>6</v>
      </c>
      <c r="D705">
        <v>0</v>
      </c>
      <c r="E705">
        <v>0</v>
      </c>
      <c r="F705">
        <v>0</v>
      </c>
    </row>
    <row r="706" spans="1:6" x14ac:dyDescent="0.35">
      <c r="A706" s="8">
        <v>42079</v>
      </c>
      <c r="B706" s="71">
        <v>0.33333333333333331</v>
      </c>
      <c r="C706">
        <v>5.8</v>
      </c>
      <c r="D706">
        <v>0</v>
      </c>
      <c r="E706">
        <v>0</v>
      </c>
      <c r="F706">
        <v>0</v>
      </c>
    </row>
    <row r="707" spans="1:6" x14ac:dyDescent="0.35">
      <c r="A707" s="8">
        <v>42079</v>
      </c>
      <c r="B707" s="71">
        <v>0.375</v>
      </c>
      <c r="C707">
        <v>5.9</v>
      </c>
      <c r="D707">
        <v>0</v>
      </c>
      <c r="E707">
        <v>3</v>
      </c>
      <c r="F707">
        <v>9</v>
      </c>
    </row>
    <row r="708" spans="1:6" x14ac:dyDescent="0.35">
      <c r="A708" s="8">
        <v>42079</v>
      </c>
      <c r="B708" s="71">
        <v>0.41666666666666669</v>
      </c>
      <c r="C708">
        <v>7.1</v>
      </c>
      <c r="D708">
        <v>0</v>
      </c>
      <c r="E708">
        <v>22</v>
      </c>
      <c r="F708">
        <v>51</v>
      </c>
    </row>
    <row r="709" spans="1:6" x14ac:dyDescent="0.35">
      <c r="A709" s="8">
        <v>42079</v>
      </c>
      <c r="B709" s="71">
        <v>0.45833333333333331</v>
      </c>
      <c r="C709">
        <v>8.4</v>
      </c>
      <c r="D709">
        <v>0</v>
      </c>
      <c r="E709">
        <v>81</v>
      </c>
      <c r="F709">
        <v>127</v>
      </c>
    </row>
    <row r="710" spans="1:6" x14ac:dyDescent="0.35">
      <c r="A710" s="8">
        <v>42079</v>
      </c>
      <c r="B710" s="71">
        <v>0.5</v>
      </c>
      <c r="C710">
        <v>10.199999999999999</v>
      </c>
      <c r="D710">
        <v>0</v>
      </c>
      <c r="E710">
        <v>235</v>
      </c>
      <c r="F710">
        <v>173</v>
      </c>
    </row>
    <row r="711" spans="1:6" x14ac:dyDescent="0.35">
      <c r="A711" s="8">
        <v>42079</v>
      </c>
      <c r="B711" s="71">
        <v>0.54166666666666663</v>
      </c>
      <c r="C711">
        <v>11.9</v>
      </c>
      <c r="D711">
        <v>0</v>
      </c>
      <c r="E711">
        <v>476</v>
      </c>
      <c r="F711">
        <v>131</v>
      </c>
    </row>
    <row r="712" spans="1:6" x14ac:dyDescent="0.35">
      <c r="A712" s="8">
        <v>42079</v>
      </c>
      <c r="B712" s="71">
        <v>0.58333333333333337</v>
      </c>
      <c r="C712">
        <v>12.9</v>
      </c>
      <c r="D712">
        <v>0</v>
      </c>
      <c r="E712">
        <v>476</v>
      </c>
      <c r="F712">
        <v>135</v>
      </c>
    </row>
    <row r="713" spans="1:6" x14ac:dyDescent="0.35">
      <c r="A713" s="8">
        <v>42079</v>
      </c>
      <c r="B713" s="71">
        <v>0.625</v>
      </c>
      <c r="C713">
        <v>13.3</v>
      </c>
      <c r="D713">
        <v>0.2</v>
      </c>
      <c r="E713">
        <v>410</v>
      </c>
      <c r="F713">
        <v>152</v>
      </c>
    </row>
    <row r="714" spans="1:6" x14ac:dyDescent="0.35">
      <c r="A714" s="8">
        <v>42079</v>
      </c>
      <c r="B714" s="71">
        <v>0.66666666666666663</v>
      </c>
      <c r="C714">
        <v>13.2</v>
      </c>
      <c r="D714">
        <v>0.2</v>
      </c>
      <c r="E714">
        <v>151</v>
      </c>
      <c r="F714">
        <v>201</v>
      </c>
    </row>
    <row r="715" spans="1:6" x14ac:dyDescent="0.35">
      <c r="A715" s="8">
        <v>42079</v>
      </c>
      <c r="B715" s="71">
        <v>0.70833333333333337</v>
      </c>
      <c r="C715">
        <v>13.3</v>
      </c>
      <c r="D715">
        <v>0</v>
      </c>
      <c r="E715">
        <v>159</v>
      </c>
      <c r="F715">
        <v>183</v>
      </c>
    </row>
    <row r="716" spans="1:6" x14ac:dyDescent="0.35">
      <c r="A716" s="8">
        <v>42079</v>
      </c>
      <c r="B716" s="71">
        <v>0.75</v>
      </c>
      <c r="C716">
        <v>13.1</v>
      </c>
      <c r="D716">
        <v>0</v>
      </c>
      <c r="E716">
        <v>158</v>
      </c>
      <c r="F716">
        <v>113</v>
      </c>
    </row>
    <row r="717" spans="1:6" x14ac:dyDescent="0.35">
      <c r="A717" s="8">
        <v>42079</v>
      </c>
      <c r="B717" s="71">
        <v>0.79166666666666663</v>
      </c>
      <c r="C717">
        <v>12.6</v>
      </c>
      <c r="D717">
        <v>0</v>
      </c>
      <c r="E717">
        <v>80</v>
      </c>
      <c r="F717">
        <v>73</v>
      </c>
    </row>
    <row r="718" spans="1:6" x14ac:dyDescent="0.35">
      <c r="A718" s="8">
        <v>42079</v>
      </c>
      <c r="B718" s="71">
        <v>0.83333333333333337</v>
      </c>
      <c r="C718">
        <v>11.7</v>
      </c>
      <c r="D718">
        <v>0</v>
      </c>
      <c r="E718">
        <v>26</v>
      </c>
      <c r="F718">
        <v>29</v>
      </c>
    </row>
    <row r="719" spans="1:6" x14ac:dyDescent="0.35">
      <c r="A719" s="8">
        <v>42079</v>
      </c>
      <c r="B719" s="71">
        <v>0.875</v>
      </c>
      <c r="C719">
        <v>10.1</v>
      </c>
      <c r="D719">
        <v>0</v>
      </c>
      <c r="E719">
        <v>0</v>
      </c>
      <c r="F719">
        <v>0</v>
      </c>
    </row>
    <row r="720" spans="1:6" x14ac:dyDescent="0.35">
      <c r="A720" s="8">
        <v>42079</v>
      </c>
      <c r="B720" s="71">
        <v>0.91666666666666663</v>
      </c>
      <c r="C720">
        <v>9</v>
      </c>
      <c r="D720">
        <v>0</v>
      </c>
      <c r="E720">
        <v>0</v>
      </c>
      <c r="F720">
        <v>0</v>
      </c>
    </row>
    <row r="721" spans="1:6" x14ac:dyDescent="0.35">
      <c r="A721" s="8">
        <v>42079</v>
      </c>
      <c r="B721" s="71">
        <v>0.95833333333333337</v>
      </c>
      <c r="C721">
        <v>8.1</v>
      </c>
      <c r="D721">
        <v>0</v>
      </c>
      <c r="E721">
        <v>0</v>
      </c>
      <c r="F721">
        <v>0</v>
      </c>
    </row>
    <row r="722" spans="1:6" x14ac:dyDescent="0.35">
      <c r="A722" s="8">
        <v>42080</v>
      </c>
      <c r="B722" s="71">
        <v>0</v>
      </c>
      <c r="C722">
        <v>7.4</v>
      </c>
      <c r="D722">
        <v>0</v>
      </c>
      <c r="E722">
        <v>0</v>
      </c>
      <c r="F722">
        <v>0</v>
      </c>
    </row>
    <row r="723" spans="1:6" x14ac:dyDescent="0.35">
      <c r="A723" s="8">
        <v>42080</v>
      </c>
      <c r="B723" s="71">
        <v>4.1666666666666664E-2</v>
      </c>
      <c r="C723">
        <v>6.7</v>
      </c>
      <c r="D723">
        <v>0</v>
      </c>
      <c r="E723">
        <v>0</v>
      </c>
      <c r="F723">
        <v>0</v>
      </c>
    </row>
    <row r="724" spans="1:6" x14ac:dyDescent="0.35">
      <c r="A724" s="8">
        <v>42080</v>
      </c>
      <c r="B724" s="71">
        <v>8.3333333333333329E-2</v>
      </c>
      <c r="C724">
        <v>6.2</v>
      </c>
      <c r="D724">
        <v>0</v>
      </c>
      <c r="E724">
        <v>0</v>
      </c>
      <c r="F724">
        <v>0</v>
      </c>
    </row>
    <row r="725" spans="1:6" x14ac:dyDescent="0.35">
      <c r="A725" s="8">
        <v>42080</v>
      </c>
      <c r="B725" s="71">
        <v>0.125</v>
      </c>
      <c r="C725">
        <v>5.7</v>
      </c>
      <c r="D725">
        <v>0</v>
      </c>
      <c r="E725">
        <v>0</v>
      </c>
      <c r="F725">
        <v>0</v>
      </c>
    </row>
    <row r="726" spans="1:6" x14ac:dyDescent="0.35">
      <c r="A726" s="8">
        <v>42080</v>
      </c>
      <c r="B726" s="71">
        <v>0.16666666666666666</v>
      </c>
      <c r="C726">
        <v>5.3</v>
      </c>
      <c r="D726">
        <v>0</v>
      </c>
      <c r="E726">
        <v>0</v>
      </c>
      <c r="F726">
        <v>0</v>
      </c>
    </row>
    <row r="727" spans="1:6" x14ac:dyDescent="0.35">
      <c r="A727" s="8">
        <v>42080</v>
      </c>
      <c r="B727" s="71">
        <v>0.20833333333333334</v>
      </c>
      <c r="C727">
        <v>4.9000000000000004</v>
      </c>
      <c r="D727">
        <v>0</v>
      </c>
      <c r="E727">
        <v>0</v>
      </c>
      <c r="F727">
        <v>0</v>
      </c>
    </row>
    <row r="728" spans="1:6" x14ac:dyDescent="0.35">
      <c r="A728" s="8">
        <v>42080</v>
      </c>
      <c r="B728" s="71">
        <v>0.25</v>
      </c>
      <c r="C728">
        <v>4.5999999999999996</v>
      </c>
      <c r="D728">
        <v>0</v>
      </c>
      <c r="E728">
        <v>0</v>
      </c>
      <c r="F728">
        <v>0</v>
      </c>
    </row>
    <row r="729" spans="1:6" x14ac:dyDescent="0.35">
      <c r="A729" s="8">
        <v>42080</v>
      </c>
      <c r="B729" s="71">
        <v>0.29166666666666669</v>
      </c>
      <c r="C729">
        <v>4.3</v>
      </c>
      <c r="D729">
        <v>0</v>
      </c>
      <c r="E729">
        <v>0</v>
      </c>
      <c r="F729">
        <v>0</v>
      </c>
    </row>
    <row r="730" spans="1:6" x14ac:dyDescent="0.35">
      <c r="A730" s="8">
        <v>42080</v>
      </c>
      <c r="B730" s="71">
        <v>0.33333333333333331</v>
      </c>
      <c r="C730">
        <v>4.0999999999999996</v>
      </c>
      <c r="D730">
        <v>0</v>
      </c>
      <c r="E730">
        <v>0</v>
      </c>
      <c r="F730">
        <v>0</v>
      </c>
    </row>
    <row r="731" spans="1:6" x14ac:dyDescent="0.35">
      <c r="A731" s="8">
        <v>42080</v>
      </c>
      <c r="B731" s="71">
        <v>0.375</v>
      </c>
      <c r="C731">
        <v>4.7</v>
      </c>
      <c r="D731">
        <v>0</v>
      </c>
      <c r="E731">
        <v>15</v>
      </c>
      <c r="F731">
        <v>14</v>
      </c>
    </row>
    <row r="732" spans="1:6" x14ac:dyDescent="0.35">
      <c r="A732" s="8">
        <v>42080</v>
      </c>
      <c r="B732" s="71">
        <v>0.41666666666666669</v>
      </c>
      <c r="C732">
        <v>6.8</v>
      </c>
      <c r="D732">
        <v>0</v>
      </c>
      <c r="E732">
        <v>124</v>
      </c>
      <c r="F732">
        <v>56</v>
      </c>
    </row>
    <row r="733" spans="1:6" x14ac:dyDescent="0.35">
      <c r="A733" s="8">
        <v>42080</v>
      </c>
      <c r="B733" s="71">
        <v>0.45833333333333331</v>
      </c>
      <c r="C733">
        <v>9.4</v>
      </c>
      <c r="D733">
        <v>0</v>
      </c>
      <c r="E733">
        <v>263</v>
      </c>
      <c r="F733">
        <v>90</v>
      </c>
    </row>
    <row r="734" spans="1:6" x14ac:dyDescent="0.35">
      <c r="A734" s="8">
        <v>42080</v>
      </c>
      <c r="B734" s="71">
        <v>0.5</v>
      </c>
      <c r="C734">
        <v>11.8</v>
      </c>
      <c r="D734">
        <v>0</v>
      </c>
      <c r="E734">
        <v>394</v>
      </c>
      <c r="F734">
        <v>113</v>
      </c>
    </row>
    <row r="735" spans="1:6" x14ac:dyDescent="0.35">
      <c r="A735" s="8">
        <v>42080</v>
      </c>
      <c r="B735" s="71">
        <v>0.54166666666666663</v>
      </c>
      <c r="C735">
        <v>13.8</v>
      </c>
      <c r="D735">
        <v>0</v>
      </c>
      <c r="E735">
        <v>496</v>
      </c>
      <c r="F735">
        <v>127</v>
      </c>
    </row>
    <row r="736" spans="1:6" x14ac:dyDescent="0.35">
      <c r="A736" s="8">
        <v>42080</v>
      </c>
      <c r="B736" s="71">
        <v>0.58333333333333337</v>
      </c>
      <c r="C736">
        <v>15.4</v>
      </c>
      <c r="D736">
        <v>0</v>
      </c>
      <c r="E736">
        <v>528</v>
      </c>
      <c r="F736">
        <v>153</v>
      </c>
    </row>
    <row r="737" spans="1:6" x14ac:dyDescent="0.35">
      <c r="A737" s="8">
        <v>42080</v>
      </c>
      <c r="B737" s="71">
        <v>0.625</v>
      </c>
      <c r="C737">
        <v>16.399999999999999</v>
      </c>
      <c r="D737">
        <v>0</v>
      </c>
      <c r="E737">
        <v>545</v>
      </c>
      <c r="F737">
        <v>150</v>
      </c>
    </row>
    <row r="738" spans="1:6" x14ac:dyDescent="0.35">
      <c r="A738" s="8">
        <v>42080</v>
      </c>
      <c r="B738" s="71">
        <v>0.66666666666666663</v>
      </c>
      <c r="C738">
        <v>17</v>
      </c>
      <c r="D738">
        <v>0</v>
      </c>
      <c r="E738">
        <v>516</v>
      </c>
      <c r="F738">
        <v>138</v>
      </c>
    </row>
    <row r="739" spans="1:6" x14ac:dyDescent="0.35">
      <c r="A739" s="8">
        <v>42080</v>
      </c>
      <c r="B739" s="71">
        <v>0.70833333333333337</v>
      </c>
      <c r="C739">
        <v>17.2</v>
      </c>
      <c r="D739">
        <v>0</v>
      </c>
      <c r="E739">
        <v>376</v>
      </c>
      <c r="F739">
        <v>151</v>
      </c>
    </row>
    <row r="740" spans="1:6" x14ac:dyDescent="0.35">
      <c r="A740" s="8">
        <v>42080</v>
      </c>
      <c r="B740" s="71">
        <v>0.75</v>
      </c>
      <c r="C740">
        <v>17</v>
      </c>
      <c r="D740">
        <v>0</v>
      </c>
      <c r="E740">
        <v>260</v>
      </c>
      <c r="F740">
        <v>118</v>
      </c>
    </row>
    <row r="741" spans="1:6" x14ac:dyDescent="0.35">
      <c r="A741" s="8">
        <v>42080</v>
      </c>
      <c r="B741" s="71">
        <v>0.79166666666666663</v>
      </c>
      <c r="C741">
        <v>16.3</v>
      </c>
      <c r="D741">
        <v>0</v>
      </c>
      <c r="E741">
        <v>128</v>
      </c>
      <c r="F741">
        <v>83</v>
      </c>
    </row>
    <row r="742" spans="1:6" x14ac:dyDescent="0.35">
      <c r="A742" s="8">
        <v>42080</v>
      </c>
      <c r="B742" s="71">
        <v>0.83333333333333337</v>
      </c>
      <c r="C742">
        <v>14.5</v>
      </c>
      <c r="D742">
        <v>0</v>
      </c>
      <c r="E742">
        <v>26</v>
      </c>
      <c r="F742">
        <v>33</v>
      </c>
    </row>
    <row r="743" spans="1:6" x14ac:dyDescent="0.35">
      <c r="A743" s="8">
        <v>42080</v>
      </c>
      <c r="B743" s="71">
        <v>0.875</v>
      </c>
      <c r="C743">
        <v>13</v>
      </c>
      <c r="D743">
        <v>0</v>
      </c>
      <c r="E743">
        <v>0</v>
      </c>
      <c r="F743">
        <v>0</v>
      </c>
    </row>
    <row r="744" spans="1:6" x14ac:dyDescent="0.35">
      <c r="A744" s="8">
        <v>42080</v>
      </c>
      <c r="B744" s="71">
        <v>0.91666666666666663</v>
      </c>
      <c r="C744">
        <v>12</v>
      </c>
      <c r="D744">
        <v>0</v>
      </c>
      <c r="E744">
        <v>0</v>
      </c>
      <c r="F744">
        <v>0</v>
      </c>
    </row>
    <row r="745" spans="1:6" x14ac:dyDescent="0.35">
      <c r="A745" s="8">
        <v>42080</v>
      </c>
      <c r="B745" s="71">
        <v>0.95833333333333337</v>
      </c>
      <c r="C745">
        <v>11.3</v>
      </c>
      <c r="D745">
        <v>0</v>
      </c>
      <c r="E745">
        <v>0</v>
      </c>
      <c r="F745">
        <v>0</v>
      </c>
    </row>
    <row r="746" spans="1:6" x14ac:dyDescent="0.35">
      <c r="A746" s="8">
        <v>42081</v>
      </c>
      <c r="B746" s="71">
        <v>0</v>
      </c>
      <c r="C746">
        <v>10.7</v>
      </c>
      <c r="D746">
        <v>0</v>
      </c>
      <c r="E746">
        <v>0</v>
      </c>
      <c r="F746">
        <v>0</v>
      </c>
    </row>
    <row r="747" spans="1:6" x14ac:dyDescent="0.35">
      <c r="A747" s="8">
        <v>42081</v>
      </c>
      <c r="B747" s="71">
        <v>4.1666666666666664E-2</v>
      </c>
      <c r="C747">
        <v>10</v>
      </c>
      <c r="D747">
        <v>0</v>
      </c>
      <c r="E747">
        <v>0</v>
      </c>
      <c r="F747">
        <v>0</v>
      </c>
    </row>
    <row r="748" spans="1:6" x14ac:dyDescent="0.35">
      <c r="A748" s="8">
        <v>42081</v>
      </c>
      <c r="B748" s="71">
        <v>8.3333333333333329E-2</v>
      </c>
      <c r="C748">
        <v>9.3000000000000007</v>
      </c>
      <c r="D748">
        <v>0</v>
      </c>
      <c r="E748">
        <v>0</v>
      </c>
      <c r="F748">
        <v>0</v>
      </c>
    </row>
    <row r="749" spans="1:6" x14ac:dyDescent="0.35">
      <c r="A749" s="8">
        <v>42081</v>
      </c>
      <c r="B749" s="71">
        <v>0.125</v>
      </c>
      <c r="C749">
        <v>8.6</v>
      </c>
      <c r="D749">
        <v>0</v>
      </c>
      <c r="E749">
        <v>0</v>
      </c>
      <c r="F749">
        <v>0</v>
      </c>
    </row>
    <row r="750" spans="1:6" x14ac:dyDescent="0.35">
      <c r="A750" s="8">
        <v>42081</v>
      </c>
      <c r="B750" s="71">
        <v>0.16666666666666666</v>
      </c>
      <c r="C750">
        <v>8.1999999999999993</v>
      </c>
      <c r="D750">
        <v>0</v>
      </c>
      <c r="E750">
        <v>0</v>
      </c>
      <c r="F750">
        <v>0</v>
      </c>
    </row>
    <row r="751" spans="1:6" x14ac:dyDescent="0.35">
      <c r="A751" s="8">
        <v>42081</v>
      </c>
      <c r="B751" s="71">
        <v>0.20833333333333334</v>
      </c>
      <c r="C751">
        <v>7.8</v>
      </c>
      <c r="D751">
        <v>0</v>
      </c>
      <c r="E751">
        <v>0</v>
      </c>
      <c r="F751">
        <v>0</v>
      </c>
    </row>
    <row r="752" spans="1:6" x14ac:dyDescent="0.35">
      <c r="A752" s="8">
        <v>42081</v>
      </c>
      <c r="B752" s="71">
        <v>0.25</v>
      </c>
      <c r="C752">
        <v>7.8</v>
      </c>
      <c r="D752">
        <v>0</v>
      </c>
      <c r="E752">
        <v>0</v>
      </c>
      <c r="F752">
        <v>0</v>
      </c>
    </row>
    <row r="753" spans="1:6" x14ac:dyDescent="0.35">
      <c r="A753" s="8">
        <v>42081</v>
      </c>
      <c r="B753" s="71">
        <v>0.29166666666666669</v>
      </c>
      <c r="C753">
        <v>7.6</v>
      </c>
      <c r="D753">
        <v>0</v>
      </c>
      <c r="E753">
        <v>0</v>
      </c>
      <c r="F753">
        <v>0</v>
      </c>
    </row>
    <row r="754" spans="1:6" x14ac:dyDescent="0.35">
      <c r="A754" s="8">
        <v>42081</v>
      </c>
      <c r="B754" s="71">
        <v>0.33333333333333331</v>
      </c>
      <c r="C754">
        <v>7.3</v>
      </c>
      <c r="D754">
        <v>0</v>
      </c>
      <c r="E754">
        <v>0</v>
      </c>
      <c r="F754">
        <v>0</v>
      </c>
    </row>
    <row r="755" spans="1:6" x14ac:dyDescent="0.35">
      <c r="A755" s="8">
        <v>42081</v>
      </c>
      <c r="B755" s="71">
        <v>0.375</v>
      </c>
      <c r="C755">
        <v>8.3000000000000007</v>
      </c>
      <c r="D755">
        <v>0</v>
      </c>
      <c r="E755">
        <v>13</v>
      </c>
      <c r="F755">
        <v>16</v>
      </c>
    </row>
    <row r="756" spans="1:6" x14ac:dyDescent="0.35">
      <c r="A756" s="8">
        <v>42081</v>
      </c>
      <c r="B756" s="71">
        <v>0.41666666666666669</v>
      </c>
      <c r="C756">
        <v>10.4</v>
      </c>
      <c r="D756">
        <v>0</v>
      </c>
      <c r="E756">
        <v>110</v>
      </c>
      <c r="F756">
        <v>63</v>
      </c>
    </row>
    <row r="757" spans="1:6" x14ac:dyDescent="0.35">
      <c r="A757" s="8">
        <v>42081</v>
      </c>
      <c r="B757" s="71">
        <v>0.45833333333333331</v>
      </c>
      <c r="C757">
        <v>12.7</v>
      </c>
      <c r="D757">
        <v>0</v>
      </c>
      <c r="E757">
        <v>178</v>
      </c>
      <c r="F757">
        <v>116</v>
      </c>
    </row>
    <row r="758" spans="1:6" x14ac:dyDescent="0.35">
      <c r="A758" s="8">
        <v>42081</v>
      </c>
      <c r="B758" s="71">
        <v>0.5</v>
      </c>
      <c r="C758">
        <v>14.3</v>
      </c>
      <c r="D758">
        <v>0</v>
      </c>
      <c r="E758">
        <v>208</v>
      </c>
      <c r="F758">
        <v>188</v>
      </c>
    </row>
    <row r="759" spans="1:6" x14ac:dyDescent="0.35">
      <c r="A759" s="8">
        <v>42081</v>
      </c>
      <c r="B759" s="71">
        <v>0.54166666666666663</v>
      </c>
      <c r="C759">
        <v>14.9</v>
      </c>
      <c r="D759">
        <v>0</v>
      </c>
      <c r="E759">
        <v>72</v>
      </c>
      <c r="F759">
        <v>209</v>
      </c>
    </row>
    <row r="760" spans="1:6" x14ac:dyDescent="0.35">
      <c r="A760" s="8">
        <v>42081</v>
      </c>
      <c r="B760" s="71">
        <v>0.58333333333333337</v>
      </c>
      <c r="C760">
        <v>15.3</v>
      </c>
      <c r="D760">
        <v>0</v>
      </c>
      <c r="E760">
        <v>4</v>
      </c>
      <c r="F760">
        <v>244</v>
      </c>
    </row>
    <row r="761" spans="1:6" x14ac:dyDescent="0.35">
      <c r="A761" s="8">
        <v>42081</v>
      </c>
      <c r="B761" s="71">
        <v>0.625</v>
      </c>
      <c r="C761">
        <v>15.4</v>
      </c>
      <c r="D761">
        <v>0</v>
      </c>
      <c r="E761">
        <v>0</v>
      </c>
      <c r="F761">
        <v>175</v>
      </c>
    </row>
    <row r="762" spans="1:6" x14ac:dyDescent="0.35">
      <c r="A762" s="8">
        <v>42081</v>
      </c>
      <c r="B762" s="71">
        <v>0.66666666666666663</v>
      </c>
      <c r="C762">
        <v>15.6</v>
      </c>
      <c r="D762">
        <v>0</v>
      </c>
      <c r="E762">
        <v>19</v>
      </c>
      <c r="F762">
        <v>192</v>
      </c>
    </row>
    <row r="763" spans="1:6" x14ac:dyDescent="0.35">
      <c r="A763" s="8">
        <v>42081</v>
      </c>
      <c r="B763" s="71">
        <v>0.70833333333333337</v>
      </c>
      <c r="C763">
        <v>16.2</v>
      </c>
      <c r="D763">
        <v>0</v>
      </c>
      <c r="E763">
        <v>61</v>
      </c>
      <c r="F763">
        <v>202</v>
      </c>
    </row>
    <row r="764" spans="1:6" x14ac:dyDescent="0.35">
      <c r="A764" s="8">
        <v>42081</v>
      </c>
      <c r="B764" s="71">
        <v>0.75</v>
      </c>
      <c r="C764">
        <v>16.2</v>
      </c>
      <c r="D764">
        <v>0</v>
      </c>
      <c r="E764">
        <v>21</v>
      </c>
      <c r="F764">
        <v>159</v>
      </c>
    </row>
    <row r="765" spans="1:6" x14ac:dyDescent="0.35">
      <c r="A765" s="8">
        <v>42081</v>
      </c>
      <c r="B765" s="71">
        <v>0.79166666666666663</v>
      </c>
      <c r="C765">
        <v>15.6</v>
      </c>
      <c r="D765">
        <v>0</v>
      </c>
      <c r="E765">
        <v>3</v>
      </c>
      <c r="F765">
        <v>90</v>
      </c>
    </row>
    <row r="766" spans="1:6" x14ac:dyDescent="0.35">
      <c r="A766" s="8">
        <v>42081</v>
      </c>
      <c r="B766" s="71">
        <v>0.83333333333333337</v>
      </c>
      <c r="C766">
        <v>14.4</v>
      </c>
      <c r="D766">
        <v>0</v>
      </c>
      <c r="E766">
        <v>2</v>
      </c>
      <c r="F766">
        <v>27</v>
      </c>
    </row>
    <row r="767" spans="1:6" x14ac:dyDescent="0.35">
      <c r="A767" s="8">
        <v>42081</v>
      </c>
      <c r="B767" s="71">
        <v>0.875</v>
      </c>
      <c r="C767">
        <v>13.4</v>
      </c>
      <c r="D767">
        <v>0</v>
      </c>
      <c r="E767">
        <v>0</v>
      </c>
      <c r="F767">
        <v>0</v>
      </c>
    </row>
    <row r="768" spans="1:6" x14ac:dyDescent="0.35">
      <c r="A768" s="8">
        <v>42081</v>
      </c>
      <c r="B768" s="71">
        <v>0.91666666666666663</v>
      </c>
      <c r="C768">
        <v>12.7</v>
      </c>
      <c r="D768">
        <v>0</v>
      </c>
      <c r="E768">
        <v>0</v>
      </c>
      <c r="F768">
        <v>0</v>
      </c>
    </row>
    <row r="769" spans="1:6" x14ac:dyDescent="0.35">
      <c r="A769" s="8">
        <v>42081</v>
      </c>
      <c r="B769" s="71">
        <v>0.95833333333333337</v>
      </c>
      <c r="C769">
        <v>11.8</v>
      </c>
      <c r="D769">
        <v>0.1</v>
      </c>
      <c r="E769">
        <v>0</v>
      </c>
      <c r="F769">
        <v>0</v>
      </c>
    </row>
    <row r="770" spans="1:6" x14ac:dyDescent="0.35">
      <c r="A770" s="8">
        <v>42082</v>
      </c>
      <c r="B770" s="71">
        <v>0</v>
      </c>
      <c r="C770">
        <v>10.9</v>
      </c>
      <c r="D770">
        <v>0.1</v>
      </c>
      <c r="E770">
        <v>0</v>
      </c>
      <c r="F770">
        <v>0</v>
      </c>
    </row>
    <row r="771" spans="1:6" x14ac:dyDescent="0.35">
      <c r="A771" s="8">
        <v>42082</v>
      </c>
      <c r="B771" s="71">
        <v>4.1666666666666664E-2</v>
      </c>
      <c r="C771">
        <v>10.1</v>
      </c>
      <c r="D771">
        <v>0</v>
      </c>
      <c r="E771">
        <v>0</v>
      </c>
      <c r="F771">
        <v>0</v>
      </c>
    </row>
    <row r="772" spans="1:6" x14ac:dyDescent="0.35">
      <c r="A772" s="8">
        <v>42082</v>
      </c>
      <c r="B772" s="71">
        <v>8.3333333333333329E-2</v>
      </c>
      <c r="C772">
        <v>9.5</v>
      </c>
      <c r="D772">
        <v>0.2</v>
      </c>
      <c r="E772">
        <v>0</v>
      </c>
      <c r="F772">
        <v>0</v>
      </c>
    </row>
    <row r="773" spans="1:6" x14ac:dyDescent="0.35">
      <c r="A773" s="8">
        <v>42082</v>
      </c>
      <c r="B773" s="71">
        <v>0.125</v>
      </c>
      <c r="C773">
        <v>9.1</v>
      </c>
      <c r="D773">
        <v>0</v>
      </c>
      <c r="E773">
        <v>0</v>
      </c>
      <c r="F773">
        <v>0</v>
      </c>
    </row>
    <row r="774" spans="1:6" x14ac:dyDescent="0.35">
      <c r="A774" s="8">
        <v>42082</v>
      </c>
      <c r="B774" s="71">
        <v>0.16666666666666666</v>
      </c>
      <c r="C774">
        <v>8.9</v>
      </c>
      <c r="D774">
        <v>0</v>
      </c>
      <c r="E774">
        <v>0</v>
      </c>
      <c r="F774">
        <v>0</v>
      </c>
    </row>
    <row r="775" spans="1:6" x14ac:dyDescent="0.35">
      <c r="A775" s="8">
        <v>42082</v>
      </c>
      <c r="B775" s="71">
        <v>0.20833333333333334</v>
      </c>
      <c r="C775">
        <v>8.5</v>
      </c>
      <c r="D775">
        <v>0</v>
      </c>
      <c r="E775">
        <v>0</v>
      </c>
      <c r="F775">
        <v>0</v>
      </c>
    </row>
    <row r="776" spans="1:6" x14ac:dyDescent="0.35">
      <c r="A776" s="8">
        <v>42082</v>
      </c>
      <c r="B776" s="71">
        <v>0.25</v>
      </c>
      <c r="C776">
        <v>8</v>
      </c>
      <c r="D776">
        <v>0</v>
      </c>
      <c r="E776">
        <v>0</v>
      </c>
      <c r="F776">
        <v>0</v>
      </c>
    </row>
    <row r="777" spans="1:6" x14ac:dyDescent="0.35">
      <c r="A777" s="8">
        <v>42082</v>
      </c>
      <c r="B777" s="71">
        <v>0.29166666666666669</v>
      </c>
      <c r="C777">
        <v>7.7</v>
      </c>
      <c r="D777">
        <v>0</v>
      </c>
      <c r="E777">
        <v>0</v>
      </c>
      <c r="F777">
        <v>0</v>
      </c>
    </row>
    <row r="778" spans="1:6" x14ac:dyDescent="0.35">
      <c r="A778" s="8">
        <v>42082</v>
      </c>
      <c r="B778" s="71">
        <v>0.33333333333333331</v>
      </c>
      <c r="C778">
        <v>7.6</v>
      </c>
      <c r="D778">
        <v>0</v>
      </c>
      <c r="E778">
        <v>0</v>
      </c>
      <c r="F778">
        <v>0</v>
      </c>
    </row>
    <row r="779" spans="1:6" x14ac:dyDescent="0.35">
      <c r="A779" s="8">
        <v>42082</v>
      </c>
      <c r="B779" s="71">
        <v>0.375</v>
      </c>
      <c r="C779">
        <v>8</v>
      </c>
      <c r="D779">
        <v>0</v>
      </c>
      <c r="E779">
        <v>12</v>
      </c>
      <c r="F779">
        <v>19</v>
      </c>
    </row>
    <row r="780" spans="1:6" x14ac:dyDescent="0.35">
      <c r="A780" s="8">
        <v>42082</v>
      </c>
      <c r="B780" s="71">
        <v>0.41666666666666669</v>
      </c>
      <c r="C780">
        <v>10.5</v>
      </c>
      <c r="D780">
        <v>0</v>
      </c>
      <c r="E780">
        <v>70</v>
      </c>
      <c r="F780">
        <v>85</v>
      </c>
    </row>
    <row r="781" spans="1:6" x14ac:dyDescent="0.35">
      <c r="A781" s="8">
        <v>42082</v>
      </c>
      <c r="B781" s="71">
        <v>0.45833333333333331</v>
      </c>
      <c r="C781">
        <v>12.5</v>
      </c>
      <c r="D781">
        <v>0</v>
      </c>
      <c r="E781">
        <v>157</v>
      </c>
      <c r="F781">
        <v>140</v>
      </c>
    </row>
    <row r="782" spans="1:6" x14ac:dyDescent="0.35">
      <c r="A782" s="8">
        <v>42082</v>
      </c>
      <c r="B782" s="71">
        <v>0.5</v>
      </c>
      <c r="C782">
        <v>13.7</v>
      </c>
      <c r="D782">
        <v>0</v>
      </c>
      <c r="E782">
        <v>132</v>
      </c>
      <c r="F782">
        <v>202</v>
      </c>
    </row>
    <row r="783" spans="1:6" x14ac:dyDescent="0.35">
      <c r="A783" s="8">
        <v>42082</v>
      </c>
      <c r="B783" s="71">
        <v>0.54166666666666663</v>
      </c>
      <c r="C783">
        <v>15.1</v>
      </c>
      <c r="D783">
        <v>0</v>
      </c>
      <c r="E783">
        <v>170</v>
      </c>
      <c r="F783">
        <v>235</v>
      </c>
    </row>
    <row r="784" spans="1:6" x14ac:dyDescent="0.35">
      <c r="A784" s="8">
        <v>42082</v>
      </c>
      <c r="B784" s="71">
        <v>0.58333333333333337</v>
      </c>
      <c r="C784">
        <v>16.600000000000001</v>
      </c>
      <c r="D784">
        <v>0</v>
      </c>
      <c r="E784">
        <v>240</v>
      </c>
      <c r="F784">
        <v>268</v>
      </c>
    </row>
    <row r="785" spans="1:6" x14ac:dyDescent="0.35">
      <c r="A785" s="8">
        <v>42082</v>
      </c>
      <c r="B785" s="71">
        <v>0.625</v>
      </c>
      <c r="C785">
        <v>18.100000000000001</v>
      </c>
      <c r="D785">
        <v>0</v>
      </c>
      <c r="E785">
        <v>410</v>
      </c>
      <c r="F785">
        <v>229</v>
      </c>
    </row>
    <row r="786" spans="1:6" x14ac:dyDescent="0.35">
      <c r="A786" s="8">
        <v>42082</v>
      </c>
      <c r="B786" s="71">
        <v>0.66666666666666663</v>
      </c>
      <c r="C786">
        <v>18.899999999999999</v>
      </c>
      <c r="D786">
        <v>0</v>
      </c>
      <c r="E786">
        <v>453</v>
      </c>
      <c r="F786">
        <v>164</v>
      </c>
    </row>
    <row r="787" spans="1:6" x14ac:dyDescent="0.35">
      <c r="A787" s="8">
        <v>42082</v>
      </c>
      <c r="B787" s="71">
        <v>0.70833333333333337</v>
      </c>
      <c r="C787">
        <v>19.3</v>
      </c>
      <c r="D787">
        <v>0</v>
      </c>
      <c r="E787">
        <v>444</v>
      </c>
      <c r="F787">
        <v>108</v>
      </c>
    </row>
    <row r="788" spans="1:6" x14ac:dyDescent="0.35">
      <c r="A788" s="8">
        <v>42082</v>
      </c>
      <c r="B788" s="71">
        <v>0.75</v>
      </c>
      <c r="C788">
        <v>19.2</v>
      </c>
      <c r="D788">
        <v>0</v>
      </c>
      <c r="E788">
        <v>310</v>
      </c>
      <c r="F788">
        <v>91</v>
      </c>
    </row>
    <row r="789" spans="1:6" x14ac:dyDescent="0.35">
      <c r="A789" s="8">
        <v>42082</v>
      </c>
      <c r="B789" s="71">
        <v>0.79166666666666663</v>
      </c>
      <c r="C789">
        <v>18.2</v>
      </c>
      <c r="D789">
        <v>0</v>
      </c>
      <c r="E789">
        <v>181</v>
      </c>
      <c r="F789">
        <v>62</v>
      </c>
    </row>
    <row r="790" spans="1:6" x14ac:dyDescent="0.35">
      <c r="A790" s="8">
        <v>42082</v>
      </c>
      <c r="B790" s="71">
        <v>0.83333333333333337</v>
      </c>
      <c r="C790">
        <v>16</v>
      </c>
      <c r="D790">
        <v>0</v>
      </c>
      <c r="E790">
        <v>43</v>
      </c>
      <c r="F790">
        <v>29</v>
      </c>
    </row>
    <row r="791" spans="1:6" x14ac:dyDescent="0.35">
      <c r="A791" s="8">
        <v>42082</v>
      </c>
      <c r="B791" s="71">
        <v>0.875</v>
      </c>
      <c r="C791">
        <v>13.6</v>
      </c>
      <c r="D791">
        <v>0</v>
      </c>
      <c r="E791">
        <v>0</v>
      </c>
      <c r="F791">
        <v>1</v>
      </c>
    </row>
    <row r="792" spans="1:6" x14ac:dyDescent="0.35">
      <c r="A792" s="8">
        <v>42082</v>
      </c>
      <c r="B792" s="71">
        <v>0.91666666666666663</v>
      </c>
      <c r="C792">
        <v>12.3</v>
      </c>
      <c r="D792">
        <v>0</v>
      </c>
      <c r="E792">
        <v>0</v>
      </c>
      <c r="F792">
        <v>0</v>
      </c>
    </row>
    <row r="793" spans="1:6" x14ac:dyDescent="0.35">
      <c r="A793" s="8">
        <v>42082</v>
      </c>
      <c r="B793" s="71">
        <v>0.95833333333333337</v>
      </c>
      <c r="C793">
        <v>11.3</v>
      </c>
      <c r="D793">
        <v>0</v>
      </c>
      <c r="E793">
        <v>0</v>
      </c>
      <c r="F793">
        <v>0</v>
      </c>
    </row>
    <row r="794" spans="1:6" x14ac:dyDescent="0.35">
      <c r="A794" s="8">
        <v>42083</v>
      </c>
      <c r="B794" s="71">
        <v>0</v>
      </c>
      <c r="C794">
        <v>10.5</v>
      </c>
      <c r="D794">
        <v>0</v>
      </c>
      <c r="E794">
        <v>0</v>
      </c>
      <c r="F794">
        <v>0</v>
      </c>
    </row>
    <row r="795" spans="1:6" x14ac:dyDescent="0.35">
      <c r="A795" s="8">
        <v>42083</v>
      </c>
      <c r="B795" s="71">
        <v>4.1666666666666664E-2</v>
      </c>
      <c r="C795">
        <v>9.6999999999999993</v>
      </c>
      <c r="D795">
        <v>0</v>
      </c>
      <c r="E795">
        <v>0</v>
      </c>
      <c r="F795">
        <v>0</v>
      </c>
    </row>
    <row r="796" spans="1:6" x14ac:dyDescent="0.35">
      <c r="A796" s="8">
        <v>42083</v>
      </c>
      <c r="B796" s="71">
        <v>8.3333333333333329E-2</v>
      </c>
      <c r="C796">
        <v>9</v>
      </c>
      <c r="D796">
        <v>0</v>
      </c>
      <c r="E796">
        <v>0</v>
      </c>
      <c r="F796">
        <v>0</v>
      </c>
    </row>
    <row r="797" spans="1:6" x14ac:dyDescent="0.35">
      <c r="A797" s="8">
        <v>42083</v>
      </c>
      <c r="B797" s="71">
        <v>0.125</v>
      </c>
      <c r="C797">
        <v>8.4</v>
      </c>
      <c r="D797">
        <v>0</v>
      </c>
      <c r="E797">
        <v>0</v>
      </c>
      <c r="F797">
        <v>0</v>
      </c>
    </row>
    <row r="798" spans="1:6" x14ac:dyDescent="0.35">
      <c r="A798" s="8">
        <v>42083</v>
      </c>
      <c r="B798" s="71">
        <v>0.16666666666666666</v>
      </c>
      <c r="C798">
        <v>7.8</v>
      </c>
      <c r="D798">
        <v>0</v>
      </c>
      <c r="E798">
        <v>0</v>
      </c>
      <c r="F798">
        <v>0</v>
      </c>
    </row>
    <row r="799" spans="1:6" x14ac:dyDescent="0.35">
      <c r="A799" s="8">
        <v>42083</v>
      </c>
      <c r="B799" s="71">
        <v>0.20833333333333334</v>
      </c>
      <c r="C799">
        <v>7.3</v>
      </c>
      <c r="D799">
        <v>0</v>
      </c>
      <c r="E799">
        <v>0</v>
      </c>
      <c r="F799">
        <v>0</v>
      </c>
    </row>
    <row r="800" spans="1:6" x14ac:dyDescent="0.35">
      <c r="A800" s="8">
        <v>42083</v>
      </c>
      <c r="B800" s="71">
        <v>0.25</v>
      </c>
      <c r="C800">
        <v>7</v>
      </c>
      <c r="D800">
        <v>0</v>
      </c>
      <c r="E800">
        <v>0</v>
      </c>
      <c r="F800">
        <v>0</v>
      </c>
    </row>
    <row r="801" spans="1:6" x14ac:dyDescent="0.35">
      <c r="A801" s="8">
        <v>42083</v>
      </c>
      <c r="B801" s="71">
        <v>0.29166666666666669</v>
      </c>
      <c r="C801">
        <v>6.7</v>
      </c>
      <c r="D801">
        <v>0</v>
      </c>
      <c r="E801">
        <v>0</v>
      </c>
      <c r="F801">
        <v>0</v>
      </c>
    </row>
    <row r="802" spans="1:6" x14ac:dyDescent="0.35">
      <c r="A802" s="8">
        <v>42083</v>
      </c>
      <c r="B802" s="71">
        <v>0.33333333333333331</v>
      </c>
      <c r="C802">
        <v>6.4</v>
      </c>
      <c r="D802">
        <v>0.2</v>
      </c>
      <c r="E802">
        <v>0</v>
      </c>
      <c r="F802">
        <v>0</v>
      </c>
    </row>
    <row r="803" spans="1:6" x14ac:dyDescent="0.35">
      <c r="A803" s="8">
        <v>42083</v>
      </c>
      <c r="B803" s="71">
        <v>0.375</v>
      </c>
      <c r="C803">
        <v>6.3</v>
      </c>
      <c r="D803">
        <v>0.2</v>
      </c>
      <c r="E803">
        <v>14</v>
      </c>
      <c r="F803">
        <v>18</v>
      </c>
    </row>
    <row r="804" spans="1:6" x14ac:dyDescent="0.35">
      <c r="A804" s="8">
        <v>42083</v>
      </c>
      <c r="B804" s="71">
        <v>0.41666666666666669</v>
      </c>
      <c r="C804">
        <v>7.3</v>
      </c>
      <c r="D804">
        <v>0.2</v>
      </c>
      <c r="E804">
        <v>90</v>
      </c>
      <c r="F804">
        <v>75</v>
      </c>
    </row>
    <row r="805" spans="1:6" x14ac:dyDescent="0.35">
      <c r="A805" s="8">
        <v>42083</v>
      </c>
      <c r="B805" s="71">
        <v>0.45833333333333331</v>
      </c>
      <c r="C805">
        <v>8.6</v>
      </c>
      <c r="D805">
        <v>0.1</v>
      </c>
      <c r="E805">
        <v>200</v>
      </c>
      <c r="F805">
        <v>114</v>
      </c>
    </row>
    <row r="806" spans="1:6" x14ac:dyDescent="0.35">
      <c r="A806" s="8">
        <v>42083</v>
      </c>
      <c r="B806" s="71">
        <v>0.5</v>
      </c>
      <c r="C806">
        <v>10.1</v>
      </c>
      <c r="D806">
        <v>0.2</v>
      </c>
      <c r="E806">
        <v>264</v>
      </c>
      <c r="F806">
        <v>169</v>
      </c>
    </row>
    <row r="807" spans="1:6" x14ac:dyDescent="0.35">
      <c r="A807" s="8">
        <v>42083</v>
      </c>
      <c r="B807" s="71">
        <v>0.54166666666666663</v>
      </c>
      <c r="C807">
        <v>11.2</v>
      </c>
      <c r="D807">
        <v>0.5</v>
      </c>
      <c r="E807">
        <v>333</v>
      </c>
      <c r="F807">
        <v>191</v>
      </c>
    </row>
    <row r="808" spans="1:6" x14ac:dyDescent="0.35">
      <c r="A808" s="8">
        <v>42083</v>
      </c>
      <c r="B808" s="71">
        <v>0.58333333333333337</v>
      </c>
      <c r="C808">
        <v>12.3</v>
      </c>
      <c r="D808">
        <v>0.4</v>
      </c>
      <c r="E808">
        <v>329</v>
      </c>
      <c r="F808">
        <v>218</v>
      </c>
    </row>
    <row r="809" spans="1:6" x14ac:dyDescent="0.35">
      <c r="A809" s="8">
        <v>42083</v>
      </c>
      <c r="B809" s="71">
        <v>0.625</v>
      </c>
      <c r="C809">
        <v>13.1</v>
      </c>
      <c r="D809">
        <v>0.2</v>
      </c>
      <c r="E809">
        <v>209</v>
      </c>
      <c r="F809">
        <v>257</v>
      </c>
    </row>
    <row r="810" spans="1:6" x14ac:dyDescent="0.35">
      <c r="A810" s="8">
        <v>42083</v>
      </c>
      <c r="B810" s="71">
        <v>0.66666666666666663</v>
      </c>
      <c r="C810">
        <v>13.2</v>
      </c>
      <c r="D810">
        <v>0.8</v>
      </c>
      <c r="E810">
        <v>144</v>
      </c>
      <c r="F810">
        <v>186</v>
      </c>
    </row>
    <row r="811" spans="1:6" x14ac:dyDescent="0.35">
      <c r="A811" s="8">
        <v>42083</v>
      </c>
      <c r="B811" s="71">
        <v>0.70833333333333337</v>
      </c>
      <c r="C811">
        <v>13.4</v>
      </c>
      <c r="D811">
        <v>0.6</v>
      </c>
      <c r="E811">
        <v>101</v>
      </c>
      <c r="F811">
        <v>178</v>
      </c>
    </row>
    <row r="812" spans="1:6" x14ac:dyDescent="0.35">
      <c r="A812" s="8">
        <v>42083</v>
      </c>
      <c r="B812" s="71">
        <v>0.75</v>
      </c>
      <c r="C812">
        <v>13.6</v>
      </c>
      <c r="D812">
        <v>0.6</v>
      </c>
      <c r="E812">
        <v>133</v>
      </c>
      <c r="F812">
        <v>138</v>
      </c>
    </row>
    <row r="813" spans="1:6" x14ac:dyDescent="0.35">
      <c r="A813" s="8">
        <v>42083</v>
      </c>
      <c r="B813" s="71">
        <v>0.79166666666666663</v>
      </c>
      <c r="C813">
        <v>13</v>
      </c>
      <c r="D813">
        <v>0.4</v>
      </c>
      <c r="E813">
        <v>20</v>
      </c>
      <c r="F813">
        <v>93</v>
      </c>
    </row>
    <row r="814" spans="1:6" x14ac:dyDescent="0.35">
      <c r="A814" s="8">
        <v>42083</v>
      </c>
      <c r="B814" s="71">
        <v>0.83333333333333337</v>
      </c>
      <c r="C814">
        <v>11.9</v>
      </c>
      <c r="D814">
        <v>0.4</v>
      </c>
      <c r="E814">
        <v>6</v>
      </c>
      <c r="F814">
        <v>33</v>
      </c>
    </row>
    <row r="815" spans="1:6" x14ac:dyDescent="0.35">
      <c r="A815" s="8">
        <v>42083</v>
      </c>
      <c r="B815" s="71">
        <v>0.875</v>
      </c>
      <c r="C815">
        <v>8.9</v>
      </c>
      <c r="D815">
        <v>0.6</v>
      </c>
      <c r="E815">
        <v>0</v>
      </c>
      <c r="F815">
        <v>0</v>
      </c>
    </row>
    <row r="816" spans="1:6" x14ac:dyDescent="0.35">
      <c r="A816" s="8">
        <v>42083</v>
      </c>
      <c r="B816" s="71">
        <v>0.91666666666666663</v>
      </c>
      <c r="C816">
        <v>8.1</v>
      </c>
      <c r="D816">
        <v>0.4</v>
      </c>
      <c r="E816">
        <v>0</v>
      </c>
      <c r="F816">
        <v>0</v>
      </c>
    </row>
    <row r="817" spans="1:6" x14ac:dyDescent="0.35">
      <c r="A817" s="8">
        <v>42083</v>
      </c>
      <c r="B817" s="71">
        <v>0.95833333333333337</v>
      </c>
      <c r="C817">
        <v>7.9</v>
      </c>
      <c r="D817">
        <v>0.4</v>
      </c>
      <c r="E817">
        <v>0</v>
      </c>
      <c r="F817">
        <v>0</v>
      </c>
    </row>
    <row r="818" spans="1:6" x14ac:dyDescent="0.35">
      <c r="A818" s="8">
        <v>42084</v>
      </c>
      <c r="B818" s="71">
        <v>0</v>
      </c>
      <c r="C818">
        <v>7.8</v>
      </c>
      <c r="D818">
        <v>0.6</v>
      </c>
      <c r="E818">
        <v>0</v>
      </c>
      <c r="F818">
        <v>0</v>
      </c>
    </row>
    <row r="819" spans="1:6" x14ac:dyDescent="0.35">
      <c r="A819" s="8">
        <v>42084</v>
      </c>
      <c r="B819" s="71">
        <v>4.1666666666666664E-2</v>
      </c>
      <c r="C819">
        <v>7.6</v>
      </c>
      <c r="D819">
        <v>0.2</v>
      </c>
      <c r="E819">
        <v>0</v>
      </c>
      <c r="F819">
        <v>0</v>
      </c>
    </row>
    <row r="820" spans="1:6" x14ac:dyDescent="0.35">
      <c r="A820" s="8">
        <v>42084</v>
      </c>
      <c r="B820" s="71">
        <v>8.3333333333333329E-2</v>
      </c>
      <c r="C820">
        <v>7.3</v>
      </c>
      <c r="D820">
        <v>0</v>
      </c>
      <c r="E820">
        <v>0</v>
      </c>
      <c r="F820">
        <v>0</v>
      </c>
    </row>
    <row r="821" spans="1:6" x14ac:dyDescent="0.35">
      <c r="A821" s="8">
        <v>42084</v>
      </c>
      <c r="B821" s="71">
        <v>0.125</v>
      </c>
      <c r="C821">
        <v>7.3</v>
      </c>
      <c r="D821">
        <v>0</v>
      </c>
      <c r="E821">
        <v>0</v>
      </c>
      <c r="F821">
        <v>0</v>
      </c>
    </row>
    <row r="822" spans="1:6" x14ac:dyDescent="0.35">
      <c r="A822" s="8">
        <v>42084</v>
      </c>
      <c r="B822" s="71">
        <v>0.16666666666666666</v>
      </c>
      <c r="C822">
        <v>7.2</v>
      </c>
      <c r="D822">
        <v>0</v>
      </c>
      <c r="E822">
        <v>0</v>
      </c>
      <c r="F822">
        <v>0</v>
      </c>
    </row>
    <row r="823" spans="1:6" x14ac:dyDescent="0.35">
      <c r="A823" s="8">
        <v>42084</v>
      </c>
      <c r="B823" s="71">
        <v>0.20833333333333334</v>
      </c>
      <c r="C823">
        <v>6.9</v>
      </c>
      <c r="D823">
        <v>0</v>
      </c>
      <c r="E823">
        <v>0</v>
      </c>
      <c r="F823">
        <v>0</v>
      </c>
    </row>
    <row r="824" spans="1:6" x14ac:dyDescent="0.35">
      <c r="A824" s="8">
        <v>42084</v>
      </c>
      <c r="B824" s="71">
        <v>0.25</v>
      </c>
      <c r="C824">
        <v>6.8</v>
      </c>
      <c r="D824">
        <v>0</v>
      </c>
      <c r="E824">
        <v>0</v>
      </c>
      <c r="F824">
        <v>0</v>
      </c>
    </row>
    <row r="825" spans="1:6" x14ac:dyDescent="0.35">
      <c r="A825" s="8">
        <v>42084</v>
      </c>
      <c r="B825" s="71">
        <v>0.29166666666666669</v>
      </c>
      <c r="C825">
        <v>6.5</v>
      </c>
      <c r="D825">
        <v>0</v>
      </c>
      <c r="E825">
        <v>0</v>
      </c>
      <c r="F825">
        <v>0</v>
      </c>
    </row>
    <row r="826" spans="1:6" x14ac:dyDescent="0.35">
      <c r="A826" s="8">
        <v>42084</v>
      </c>
      <c r="B826" s="71">
        <v>0.33333333333333331</v>
      </c>
      <c r="C826">
        <v>6.6</v>
      </c>
      <c r="D826">
        <v>0</v>
      </c>
      <c r="E826">
        <v>0</v>
      </c>
      <c r="F826">
        <v>0</v>
      </c>
    </row>
    <row r="827" spans="1:6" x14ac:dyDescent="0.35">
      <c r="A827" s="8">
        <v>42084</v>
      </c>
      <c r="B827" s="71">
        <v>0.375</v>
      </c>
      <c r="C827">
        <v>7.3</v>
      </c>
      <c r="D827">
        <v>0</v>
      </c>
      <c r="E827">
        <v>17</v>
      </c>
      <c r="F827">
        <v>16</v>
      </c>
    </row>
    <row r="828" spans="1:6" x14ac:dyDescent="0.35">
      <c r="A828" s="8">
        <v>42084</v>
      </c>
      <c r="B828" s="71">
        <v>0.41666666666666669</v>
      </c>
      <c r="C828">
        <v>9.6999999999999993</v>
      </c>
      <c r="D828">
        <v>0</v>
      </c>
      <c r="E828">
        <v>108</v>
      </c>
      <c r="F828">
        <v>55</v>
      </c>
    </row>
    <row r="829" spans="1:6" x14ac:dyDescent="0.35">
      <c r="A829" s="8">
        <v>42084</v>
      </c>
      <c r="B829" s="71">
        <v>0.45833333333333331</v>
      </c>
      <c r="C829">
        <v>11.9</v>
      </c>
      <c r="D829">
        <v>0</v>
      </c>
      <c r="E829">
        <v>189</v>
      </c>
      <c r="F829">
        <v>106</v>
      </c>
    </row>
    <row r="830" spans="1:6" x14ac:dyDescent="0.35">
      <c r="A830" s="8">
        <v>42084</v>
      </c>
      <c r="B830" s="71">
        <v>0.5</v>
      </c>
      <c r="C830">
        <v>14.3</v>
      </c>
      <c r="D830">
        <v>0</v>
      </c>
      <c r="E830">
        <v>333</v>
      </c>
      <c r="F830">
        <v>110</v>
      </c>
    </row>
    <row r="831" spans="1:6" x14ac:dyDescent="0.35">
      <c r="A831" s="8">
        <v>42084</v>
      </c>
      <c r="B831" s="71">
        <v>0.54166666666666663</v>
      </c>
      <c r="C831">
        <v>16.100000000000001</v>
      </c>
      <c r="D831">
        <v>0</v>
      </c>
      <c r="E831">
        <v>413</v>
      </c>
      <c r="F831">
        <v>151</v>
      </c>
    </row>
    <row r="832" spans="1:6" x14ac:dyDescent="0.35">
      <c r="A832" s="8">
        <v>42084</v>
      </c>
      <c r="B832" s="71">
        <v>0.58333333333333337</v>
      </c>
      <c r="C832">
        <v>16.7</v>
      </c>
      <c r="D832">
        <v>0</v>
      </c>
      <c r="E832">
        <v>190</v>
      </c>
      <c r="F832">
        <v>236</v>
      </c>
    </row>
    <row r="833" spans="1:6" x14ac:dyDescent="0.35">
      <c r="A833" s="8">
        <v>42084</v>
      </c>
      <c r="B833" s="71">
        <v>0.625</v>
      </c>
      <c r="C833">
        <v>16.5</v>
      </c>
      <c r="D833">
        <v>0</v>
      </c>
      <c r="E833">
        <v>56</v>
      </c>
      <c r="F833">
        <v>223</v>
      </c>
    </row>
    <row r="834" spans="1:6" x14ac:dyDescent="0.35">
      <c r="A834" s="8">
        <v>42084</v>
      </c>
      <c r="B834" s="71">
        <v>0.66666666666666663</v>
      </c>
      <c r="C834">
        <v>16.399999999999999</v>
      </c>
      <c r="D834">
        <v>0</v>
      </c>
      <c r="E834">
        <v>56</v>
      </c>
      <c r="F834">
        <v>262</v>
      </c>
    </row>
    <row r="835" spans="1:6" x14ac:dyDescent="0.35">
      <c r="A835" s="8">
        <v>42084</v>
      </c>
      <c r="B835" s="71">
        <v>0.70833333333333337</v>
      </c>
      <c r="C835">
        <v>16.100000000000001</v>
      </c>
      <c r="D835">
        <v>0</v>
      </c>
      <c r="E835">
        <v>39</v>
      </c>
      <c r="F835">
        <v>235</v>
      </c>
    </row>
    <row r="836" spans="1:6" x14ac:dyDescent="0.35">
      <c r="A836" s="8">
        <v>42084</v>
      </c>
      <c r="B836" s="71">
        <v>0.75</v>
      </c>
      <c r="C836">
        <v>15</v>
      </c>
      <c r="D836">
        <v>0</v>
      </c>
      <c r="E836">
        <v>4</v>
      </c>
      <c r="F836">
        <v>141</v>
      </c>
    </row>
    <row r="837" spans="1:6" x14ac:dyDescent="0.35">
      <c r="A837" s="8">
        <v>42084</v>
      </c>
      <c r="B837" s="71">
        <v>0.79166666666666663</v>
      </c>
      <c r="C837">
        <v>13.3</v>
      </c>
      <c r="D837">
        <v>0.1</v>
      </c>
      <c r="E837">
        <v>0</v>
      </c>
      <c r="F837">
        <v>47</v>
      </c>
    </row>
    <row r="838" spans="1:6" x14ac:dyDescent="0.35">
      <c r="A838" s="8">
        <v>42084</v>
      </c>
      <c r="B838" s="71">
        <v>0.83333333333333337</v>
      </c>
      <c r="C838">
        <v>12.2</v>
      </c>
      <c r="D838">
        <v>0.3</v>
      </c>
      <c r="E838">
        <v>0</v>
      </c>
      <c r="F838">
        <v>24</v>
      </c>
    </row>
    <row r="839" spans="1:6" x14ac:dyDescent="0.35">
      <c r="A839" s="8">
        <v>42084</v>
      </c>
      <c r="B839" s="71">
        <v>0.875</v>
      </c>
      <c r="C839">
        <v>11</v>
      </c>
      <c r="D839">
        <v>0.6</v>
      </c>
      <c r="E839">
        <v>0</v>
      </c>
      <c r="F839">
        <v>0</v>
      </c>
    </row>
    <row r="840" spans="1:6" x14ac:dyDescent="0.35">
      <c r="A840" s="8">
        <v>42084</v>
      </c>
      <c r="B840" s="71">
        <v>0.91666666666666663</v>
      </c>
      <c r="C840">
        <v>10.4</v>
      </c>
      <c r="D840">
        <v>0.5</v>
      </c>
      <c r="E840">
        <v>0</v>
      </c>
      <c r="F840">
        <v>0</v>
      </c>
    </row>
    <row r="841" spans="1:6" x14ac:dyDescent="0.35">
      <c r="A841" s="8">
        <v>42084</v>
      </c>
      <c r="B841" s="71">
        <v>0.95833333333333337</v>
      </c>
      <c r="C841">
        <v>9.6999999999999993</v>
      </c>
      <c r="D841">
        <v>0.4</v>
      </c>
      <c r="E841">
        <v>0</v>
      </c>
      <c r="F841">
        <v>0</v>
      </c>
    </row>
    <row r="842" spans="1:6" x14ac:dyDescent="0.35">
      <c r="A842" s="8">
        <v>42085</v>
      </c>
      <c r="B842" s="71">
        <v>0</v>
      </c>
      <c r="C842">
        <v>9</v>
      </c>
      <c r="D842">
        <v>0.2</v>
      </c>
      <c r="E842">
        <v>0</v>
      </c>
      <c r="F842">
        <v>0</v>
      </c>
    </row>
    <row r="843" spans="1:6" x14ac:dyDescent="0.35">
      <c r="A843" s="8">
        <v>42085</v>
      </c>
      <c r="B843" s="71">
        <v>4.1666666666666664E-2</v>
      </c>
      <c r="C843">
        <v>8.5</v>
      </c>
      <c r="D843">
        <v>0</v>
      </c>
      <c r="E843">
        <v>0</v>
      </c>
      <c r="F843">
        <v>0</v>
      </c>
    </row>
    <row r="844" spans="1:6" x14ac:dyDescent="0.35">
      <c r="A844" s="8">
        <v>42085</v>
      </c>
      <c r="B844" s="71">
        <v>8.3333333333333329E-2</v>
      </c>
      <c r="C844">
        <v>8.1</v>
      </c>
      <c r="D844">
        <v>0</v>
      </c>
      <c r="E844">
        <v>0</v>
      </c>
      <c r="F844">
        <v>0</v>
      </c>
    </row>
    <row r="845" spans="1:6" x14ac:dyDescent="0.35">
      <c r="A845" s="8">
        <v>42085</v>
      </c>
      <c r="B845" s="71">
        <v>0.125</v>
      </c>
      <c r="C845">
        <v>7.7</v>
      </c>
      <c r="D845">
        <v>0</v>
      </c>
      <c r="E845">
        <v>0</v>
      </c>
      <c r="F845">
        <v>0</v>
      </c>
    </row>
    <row r="846" spans="1:6" x14ac:dyDescent="0.35">
      <c r="A846" s="8">
        <v>42085</v>
      </c>
      <c r="B846" s="71">
        <v>0.16666666666666666</v>
      </c>
      <c r="C846">
        <v>7.3</v>
      </c>
      <c r="D846">
        <v>0</v>
      </c>
      <c r="E846">
        <v>0</v>
      </c>
      <c r="F846">
        <v>0</v>
      </c>
    </row>
    <row r="847" spans="1:6" x14ac:dyDescent="0.35">
      <c r="A847" s="8">
        <v>42085</v>
      </c>
      <c r="B847" s="71">
        <v>0.20833333333333334</v>
      </c>
      <c r="C847">
        <v>6.8</v>
      </c>
      <c r="D847">
        <v>0</v>
      </c>
      <c r="E847">
        <v>0</v>
      </c>
      <c r="F847">
        <v>0</v>
      </c>
    </row>
    <row r="848" spans="1:6" x14ac:dyDescent="0.35">
      <c r="A848" s="8">
        <v>42085</v>
      </c>
      <c r="B848" s="71">
        <v>0.25</v>
      </c>
      <c r="C848">
        <v>6.3</v>
      </c>
      <c r="D848">
        <v>0</v>
      </c>
      <c r="E848">
        <v>0</v>
      </c>
      <c r="F848">
        <v>0</v>
      </c>
    </row>
    <row r="849" spans="1:6" x14ac:dyDescent="0.35">
      <c r="A849" s="8">
        <v>42085</v>
      </c>
      <c r="B849" s="71">
        <v>0.29166666666666669</v>
      </c>
      <c r="C849">
        <v>5.8</v>
      </c>
      <c r="D849">
        <v>0</v>
      </c>
      <c r="E849">
        <v>0</v>
      </c>
      <c r="F849">
        <v>0</v>
      </c>
    </row>
    <row r="850" spans="1:6" x14ac:dyDescent="0.35">
      <c r="A850" s="8">
        <v>42085</v>
      </c>
      <c r="B850" s="71">
        <v>0.33333333333333331</v>
      </c>
      <c r="C850">
        <v>5.4</v>
      </c>
      <c r="D850">
        <v>0</v>
      </c>
      <c r="E850">
        <v>0</v>
      </c>
      <c r="F850">
        <v>0</v>
      </c>
    </row>
    <row r="851" spans="1:6" x14ac:dyDescent="0.35">
      <c r="A851" s="8">
        <v>42085</v>
      </c>
      <c r="B851" s="71">
        <v>0.375</v>
      </c>
      <c r="C851">
        <v>6.1</v>
      </c>
      <c r="D851">
        <v>0</v>
      </c>
      <c r="E851">
        <v>26</v>
      </c>
      <c r="F851">
        <v>20</v>
      </c>
    </row>
    <row r="852" spans="1:6" x14ac:dyDescent="0.35">
      <c r="A852" s="8">
        <v>42085</v>
      </c>
      <c r="B852" s="71">
        <v>0.41666666666666669</v>
      </c>
      <c r="C852">
        <v>7.2</v>
      </c>
      <c r="D852">
        <v>0</v>
      </c>
      <c r="E852">
        <v>135</v>
      </c>
      <c r="F852">
        <v>62</v>
      </c>
    </row>
    <row r="853" spans="1:6" x14ac:dyDescent="0.35">
      <c r="A853" s="8">
        <v>42085</v>
      </c>
      <c r="B853" s="71">
        <v>0.45833333333333331</v>
      </c>
      <c r="C853">
        <v>8.6</v>
      </c>
      <c r="D853">
        <v>0</v>
      </c>
      <c r="E853">
        <v>276</v>
      </c>
      <c r="F853">
        <v>91</v>
      </c>
    </row>
    <row r="854" spans="1:6" x14ac:dyDescent="0.35">
      <c r="A854" s="8">
        <v>42085</v>
      </c>
      <c r="B854" s="71">
        <v>0.5</v>
      </c>
      <c r="C854">
        <v>9.6</v>
      </c>
      <c r="D854">
        <v>0</v>
      </c>
      <c r="E854">
        <v>296</v>
      </c>
      <c r="F854">
        <v>153</v>
      </c>
    </row>
    <row r="855" spans="1:6" x14ac:dyDescent="0.35">
      <c r="A855" s="8">
        <v>42085</v>
      </c>
      <c r="B855" s="71">
        <v>0.54166666666666663</v>
      </c>
      <c r="C855">
        <v>10.3</v>
      </c>
      <c r="D855">
        <v>0</v>
      </c>
      <c r="E855">
        <v>324</v>
      </c>
      <c r="F855">
        <v>213</v>
      </c>
    </row>
    <row r="856" spans="1:6" x14ac:dyDescent="0.35">
      <c r="A856" s="8">
        <v>42085</v>
      </c>
      <c r="B856" s="71">
        <v>0.58333333333333337</v>
      </c>
      <c r="C856">
        <v>11</v>
      </c>
      <c r="D856">
        <v>0</v>
      </c>
      <c r="E856">
        <v>269</v>
      </c>
      <c r="F856">
        <v>270</v>
      </c>
    </row>
    <row r="857" spans="1:6" x14ac:dyDescent="0.35">
      <c r="A857" s="8">
        <v>42085</v>
      </c>
      <c r="B857" s="71">
        <v>0.625</v>
      </c>
      <c r="C857">
        <v>11.3</v>
      </c>
      <c r="D857">
        <v>0</v>
      </c>
      <c r="E857">
        <v>188</v>
      </c>
      <c r="F857">
        <v>244</v>
      </c>
    </row>
    <row r="858" spans="1:6" x14ac:dyDescent="0.35">
      <c r="A858" s="8">
        <v>42085</v>
      </c>
      <c r="B858" s="71">
        <v>0.66666666666666663</v>
      </c>
      <c r="C858">
        <v>12</v>
      </c>
      <c r="D858">
        <v>0</v>
      </c>
      <c r="E858">
        <v>277</v>
      </c>
      <c r="F858">
        <v>227</v>
      </c>
    </row>
    <row r="859" spans="1:6" x14ac:dyDescent="0.35">
      <c r="A859" s="8">
        <v>42085</v>
      </c>
      <c r="B859" s="71">
        <v>0.70833333333333337</v>
      </c>
      <c r="C859">
        <v>12</v>
      </c>
      <c r="D859">
        <v>0</v>
      </c>
      <c r="E859">
        <v>119</v>
      </c>
      <c r="F859">
        <v>221</v>
      </c>
    </row>
    <row r="860" spans="1:6" x14ac:dyDescent="0.35">
      <c r="A860" s="8">
        <v>42085</v>
      </c>
      <c r="B860" s="71">
        <v>0.75</v>
      </c>
      <c r="C860">
        <v>11.5</v>
      </c>
      <c r="D860">
        <v>0</v>
      </c>
      <c r="E860">
        <v>22</v>
      </c>
      <c r="F860">
        <v>177</v>
      </c>
    </row>
    <row r="861" spans="1:6" x14ac:dyDescent="0.35">
      <c r="A861" s="8">
        <v>42085</v>
      </c>
      <c r="B861" s="71">
        <v>0.79166666666666663</v>
      </c>
      <c r="C861">
        <v>10.8</v>
      </c>
      <c r="D861">
        <v>0</v>
      </c>
      <c r="E861">
        <v>25</v>
      </c>
      <c r="F861">
        <v>84</v>
      </c>
    </row>
    <row r="862" spans="1:6" x14ac:dyDescent="0.35">
      <c r="A862" s="8">
        <v>42085</v>
      </c>
      <c r="B862" s="71">
        <v>0.83333333333333337</v>
      </c>
      <c r="C862">
        <v>10.3</v>
      </c>
      <c r="D862">
        <v>0</v>
      </c>
      <c r="E862">
        <v>17</v>
      </c>
      <c r="F862">
        <v>32</v>
      </c>
    </row>
    <row r="863" spans="1:6" x14ac:dyDescent="0.35">
      <c r="A863" s="8">
        <v>42085</v>
      </c>
      <c r="B863" s="71">
        <v>0.875</v>
      </c>
      <c r="C863">
        <v>9.4</v>
      </c>
      <c r="D863">
        <v>0</v>
      </c>
      <c r="E863">
        <v>0</v>
      </c>
      <c r="F863">
        <v>1</v>
      </c>
    </row>
    <row r="864" spans="1:6" x14ac:dyDescent="0.35">
      <c r="A864" s="8">
        <v>42085</v>
      </c>
      <c r="B864" s="71">
        <v>0.91666666666666663</v>
      </c>
      <c r="C864">
        <v>9</v>
      </c>
      <c r="D864">
        <v>0</v>
      </c>
      <c r="E864">
        <v>0</v>
      </c>
      <c r="F864">
        <v>0</v>
      </c>
    </row>
    <row r="865" spans="1:6" x14ac:dyDescent="0.35">
      <c r="A865" s="8">
        <v>42085</v>
      </c>
      <c r="B865" s="71">
        <v>0.95833333333333337</v>
      </c>
      <c r="C865">
        <v>8.4</v>
      </c>
      <c r="D865">
        <v>0</v>
      </c>
      <c r="E865">
        <v>0</v>
      </c>
      <c r="F865">
        <v>0</v>
      </c>
    </row>
    <row r="866" spans="1:6" x14ac:dyDescent="0.35">
      <c r="A866" s="8">
        <v>42086</v>
      </c>
      <c r="B866" s="71">
        <v>0</v>
      </c>
      <c r="C866">
        <v>7.8</v>
      </c>
      <c r="D866">
        <v>0</v>
      </c>
      <c r="E866">
        <v>0</v>
      </c>
      <c r="F866">
        <v>0</v>
      </c>
    </row>
    <row r="867" spans="1:6" x14ac:dyDescent="0.35">
      <c r="A867" s="8">
        <v>42086</v>
      </c>
      <c r="B867" s="71">
        <v>4.1666666666666664E-2</v>
      </c>
      <c r="C867">
        <v>7.1</v>
      </c>
      <c r="D867">
        <v>0</v>
      </c>
      <c r="E867">
        <v>0</v>
      </c>
      <c r="F867">
        <v>0</v>
      </c>
    </row>
    <row r="868" spans="1:6" x14ac:dyDescent="0.35">
      <c r="A868" s="8">
        <v>42086</v>
      </c>
      <c r="B868" s="71">
        <v>8.3333333333333329E-2</v>
      </c>
      <c r="C868">
        <v>6.9</v>
      </c>
      <c r="D868">
        <v>0</v>
      </c>
      <c r="E868">
        <v>0</v>
      </c>
      <c r="F868">
        <v>0</v>
      </c>
    </row>
    <row r="869" spans="1:6" x14ac:dyDescent="0.35">
      <c r="A869" s="8">
        <v>42086</v>
      </c>
      <c r="B869" s="71">
        <v>0.125</v>
      </c>
      <c r="C869">
        <v>6.8</v>
      </c>
      <c r="D869">
        <v>0</v>
      </c>
      <c r="E869">
        <v>0</v>
      </c>
      <c r="F869">
        <v>0</v>
      </c>
    </row>
    <row r="870" spans="1:6" x14ac:dyDescent="0.35">
      <c r="A870" s="8">
        <v>42086</v>
      </c>
      <c r="B870" s="71">
        <v>0.16666666666666666</v>
      </c>
      <c r="C870">
        <v>6.2</v>
      </c>
      <c r="D870">
        <v>0.1</v>
      </c>
      <c r="E870">
        <v>0</v>
      </c>
      <c r="F870">
        <v>0</v>
      </c>
    </row>
    <row r="871" spans="1:6" x14ac:dyDescent="0.35">
      <c r="A871" s="8">
        <v>42086</v>
      </c>
      <c r="B871" s="71">
        <v>0.20833333333333334</v>
      </c>
      <c r="C871">
        <v>5.8</v>
      </c>
      <c r="D871">
        <v>0</v>
      </c>
      <c r="E871">
        <v>0</v>
      </c>
      <c r="F871">
        <v>0</v>
      </c>
    </row>
    <row r="872" spans="1:6" x14ac:dyDescent="0.35">
      <c r="A872" s="8">
        <v>42086</v>
      </c>
      <c r="B872" s="71">
        <v>0.25</v>
      </c>
      <c r="C872">
        <v>5.4</v>
      </c>
      <c r="D872">
        <v>0</v>
      </c>
      <c r="E872">
        <v>0</v>
      </c>
      <c r="F872">
        <v>0</v>
      </c>
    </row>
    <row r="873" spans="1:6" x14ac:dyDescent="0.35">
      <c r="A873" s="8">
        <v>42086</v>
      </c>
      <c r="B873" s="71">
        <v>0.29166666666666669</v>
      </c>
      <c r="C873">
        <v>5</v>
      </c>
      <c r="D873">
        <v>0</v>
      </c>
      <c r="E873">
        <v>0</v>
      </c>
      <c r="F873">
        <v>0</v>
      </c>
    </row>
    <row r="874" spans="1:6" x14ac:dyDescent="0.35">
      <c r="A874" s="8">
        <v>42086</v>
      </c>
      <c r="B874" s="71">
        <v>0.33333333333333331</v>
      </c>
      <c r="C874">
        <v>4.9000000000000004</v>
      </c>
      <c r="D874">
        <v>0</v>
      </c>
      <c r="E874">
        <v>0</v>
      </c>
      <c r="F874">
        <v>0</v>
      </c>
    </row>
    <row r="875" spans="1:6" x14ac:dyDescent="0.35">
      <c r="A875" s="8">
        <v>42086</v>
      </c>
      <c r="B875" s="71">
        <v>0.375</v>
      </c>
      <c r="C875">
        <v>6.6</v>
      </c>
      <c r="D875">
        <v>0.2</v>
      </c>
      <c r="E875">
        <v>0</v>
      </c>
      <c r="F875">
        <v>17</v>
      </c>
    </row>
    <row r="876" spans="1:6" x14ac:dyDescent="0.35">
      <c r="A876" s="8">
        <v>42086</v>
      </c>
      <c r="B876" s="71">
        <v>0.41666666666666669</v>
      </c>
      <c r="C876">
        <v>8</v>
      </c>
      <c r="D876">
        <v>0</v>
      </c>
      <c r="E876">
        <v>1</v>
      </c>
      <c r="F876">
        <v>77</v>
      </c>
    </row>
    <row r="877" spans="1:6" x14ac:dyDescent="0.35">
      <c r="A877" s="8">
        <v>42086</v>
      </c>
      <c r="B877" s="71">
        <v>0.45833333333333331</v>
      </c>
      <c r="C877">
        <v>9.6</v>
      </c>
      <c r="D877">
        <v>0.2</v>
      </c>
      <c r="E877">
        <v>16</v>
      </c>
      <c r="F877">
        <v>143</v>
      </c>
    </row>
    <row r="878" spans="1:6" x14ac:dyDescent="0.35">
      <c r="A878" s="8">
        <v>42086</v>
      </c>
      <c r="B878" s="71">
        <v>0.5</v>
      </c>
      <c r="C878">
        <v>10.9</v>
      </c>
      <c r="D878">
        <v>0</v>
      </c>
      <c r="E878">
        <v>53</v>
      </c>
      <c r="F878">
        <v>219</v>
      </c>
    </row>
    <row r="879" spans="1:6" x14ac:dyDescent="0.35">
      <c r="A879" s="8">
        <v>42086</v>
      </c>
      <c r="B879" s="71">
        <v>0.54166666666666663</v>
      </c>
      <c r="C879">
        <v>12.5</v>
      </c>
      <c r="D879">
        <v>0</v>
      </c>
      <c r="E879">
        <v>134</v>
      </c>
      <c r="F879">
        <v>246</v>
      </c>
    </row>
    <row r="880" spans="1:6" x14ac:dyDescent="0.35">
      <c r="A880" s="8">
        <v>42086</v>
      </c>
      <c r="B880" s="71">
        <v>0.58333333333333337</v>
      </c>
      <c r="C880">
        <v>13.6</v>
      </c>
      <c r="D880">
        <v>0</v>
      </c>
      <c r="E880">
        <v>167</v>
      </c>
      <c r="F880">
        <v>247</v>
      </c>
    </row>
    <row r="881" spans="1:6" x14ac:dyDescent="0.35">
      <c r="A881" s="8">
        <v>42086</v>
      </c>
      <c r="B881" s="71">
        <v>0.625</v>
      </c>
      <c r="C881">
        <v>14.1</v>
      </c>
      <c r="D881">
        <v>0</v>
      </c>
      <c r="E881">
        <v>47</v>
      </c>
      <c r="F881">
        <v>255</v>
      </c>
    </row>
    <row r="882" spans="1:6" x14ac:dyDescent="0.35">
      <c r="A882" s="8">
        <v>42086</v>
      </c>
      <c r="B882" s="71">
        <v>0.66666666666666663</v>
      </c>
      <c r="C882">
        <v>14.2</v>
      </c>
      <c r="D882">
        <v>0</v>
      </c>
      <c r="E882">
        <v>25</v>
      </c>
      <c r="F882">
        <v>211</v>
      </c>
    </row>
    <row r="883" spans="1:6" x14ac:dyDescent="0.35">
      <c r="A883" s="8">
        <v>42086</v>
      </c>
      <c r="B883" s="71">
        <v>0.70833333333333337</v>
      </c>
      <c r="C883">
        <v>14.6</v>
      </c>
      <c r="D883">
        <v>0</v>
      </c>
      <c r="E883">
        <v>25</v>
      </c>
      <c r="F883">
        <v>211</v>
      </c>
    </row>
    <row r="884" spans="1:6" x14ac:dyDescent="0.35">
      <c r="A884" s="8">
        <v>42086</v>
      </c>
      <c r="B884" s="71">
        <v>0.75</v>
      </c>
      <c r="C884">
        <v>14.5</v>
      </c>
      <c r="D884">
        <v>0</v>
      </c>
      <c r="E884">
        <v>67</v>
      </c>
      <c r="F884">
        <v>113</v>
      </c>
    </row>
    <row r="885" spans="1:6" x14ac:dyDescent="0.35">
      <c r="A885" s="8">
        <v>42086</v>
      </c>
      <c r="B885" s="71">
        <v>0.79166666666666663</v>
      </c>
      <c r="C885">
        <v>14.2</v>
      </c>
      <c r="D885">
        <v>0</v>
      </c>
      <c r="E885">
        <v>61</v>
      </c>
      <c r="F885">
        <v>74</v>
      </c>
    </row>
    <row r="886" spans="1:6" x14ac:dyDescent="0.35">
      <c r="A886" s="8">
        <v>42086</v>
      </c>
      <c r="B886" s="71">
        <v>0.83333333333333337</v>
      </c>
      <c r="C886">
        <v>13</v>
      </c>
      <c r="D886">
        <v>0</v>
      </c>
      <c r="E886">
        <v>12</v>
      </c>
      <c r="F886">
        <v>34</v>
      </c>
    </row>
    <row r="887" spans="1:6" x14ac:dyDescent="0.35">
      <c r="A887" s="8">
        <v>42086</v>
      </c>
      <c r="B887" s="71">
        <v>0.875</v>
      </c>
      <c r="C887">
        <v>12.2</v>
      </c>
      <c r="D887">
        <v>0</v>
      </c>
      <c r="E887">
        <v>0</v>
      </c>
      <c r="F887">
        <v>1</v>
      </c>
    </row>
    <row r="888" spans="1:6" x14ac:dyDescent="0.35">
      <c r="A888" s="8">
        <v>42086</v>
      </c>
      <c r="B888" s="71">
        <v>0.91666666666666663</v>
      </c>
      <c r="C888">
        <v>11.5</v>
      </c>
      <c r="D888">
        <v>0</v>
      </c>
      <c r="E888">
        <v>0</v>
      </c>
      <c r="F888">
        <v>0</v>
      </c>
    </row>
    <row r="889" spans="1:6" x14ac:dyDescent="0.35">
      <c r="A889" s="8">
        <v>42086</v>
      </c>
      <c r="B889" s="71">
        <v>0.95833333333333337</v>
      </c>
      <c r="C889">
        <v>11</v>
      </c>
      <c r="D889">
        <v>0</v>
      </c>
      <c r="E889">
        <v>0</v>
      </c>
      <c r="F889">
        <v>0</v>
      </c>
    </row>
    <row r="890" spans="1:6" x14ac:dyDescent="0.35">
      <c r="A890" s="8">
        <v>42087</v>
      </c>
      <c r="B890" s="71">
        <v>0</v>
      </c>
      <c r="C890">
        <v>10.6</v>
      </c>
      <c r="D890">
        <v>0</v>
      </c>
      <c r="E890">
        <v>0</v>
      </c>
      <c r="F890">
        <v>0</v>
      </c>
    </row>
    <row r="891" spans="1:6" x14ac:dyDescent="0.35">
      <c r="A891" s="8">
        <v>42087</v>
      </c>
      <c r="B891" s="71">
        <v>4.1666666666666664E-2</v>
      </c>
      <c r="C891">
        <v>10</v>
      </c>
      <c r="D891">
        <v>0</v>
      </c>
      <c r="E891">
        <v>0</v>
      </c>
      <c r="F891">
        <v>0</v>
      </c>
    </row>
    <row r="892" spans="1:6" x14ac:dyDescent="0.35">
      <c r="A892" s="8">
        <v>42087</v>
      </c>
      <c r="B892" s="71">
        <v>8.3333333333333329E-2</v>
      </c>
      <c r="C892">
        <v>9.5</v>
      </c>
      <c r="D892">
        <v>0</v>
      </c>
      <c r="E892">
        <v>0</v>
      </c>
      <c r="F892">
        <v>0</v>
      </c>
    </row>
    <row r="893" spans="1:6" x14ac:dyDescent="0.35">
      <c r="A893" s="8">
        <v>42087</v>
      </c>
      <c r="B893" s="71">
        <v>0.125</v>
      </c>
      <c r="C893">
        <v>8.9</v>
      </c>
      <c r="D893">
        <v>0</v>
      </c>
      <c r="E893">
        <v>0</v>
      </c>
      <c r="F893">
        <v>0</v>
      </c>
    </row>
    <row r="894" spans="1:6" x14ac:dyDescent="0.35">
      <c r="A894" s="8">
        <v>42087</v>
      </c>
      <c r="B894" s="71">
        <v>0.16666666666666666</v>
      </c>
      <c r="C894">
        <v>8.4</v>
      </c>
      <c r="D894">
        <v>0</v>
      </c>
      <c r="E894">
        <v>0</v>
      </c>
      <c r="F894">
        <v>0</v>
      </c>
    </row>
    <row r="895" spans="1:6" x14ac:dyDescent="0.35">
      <c r="A895" s="8">
        <v>42087</v>
      </c>
      <c r="B895" s="71">
        <v>0.20833333333333334</v>
      </c>
      <c r="C895">
        <v>7.8</v>
      </c>
      <c r="D895">
        <v>0</v>
      </c>
      <c r="E895">
        <v>0</v>
      </c>
      <c r="F895">
        <v>0</v>
      </c>
    </row>
    <row r="896" spans="1:6" x14ac:dyDescent="0.35">
      <c r="A896" s="8">
        <v>42087</v>
      </c>
      <c r="B896" s="71">
        <v>0.25</v>
      </c>
      <c r="C896">
        <v>7.1</v>
      </c>
      <c r="D896">
        <v>0</v>
      </c>
      <c r="E896">
        <v>0</v>
      </c>
      <c r="F896">
        <v>0</v>
      </c>
    </row>
    <row r="897" spans="1:6" x14ac:dyDescent="0.35">
      <c r="A897" s="8">
        <v>42087</v>
      </c>
      <c r="B897" s="71">
        <v>0.29166666666666669</v>
      </c>
      <c r="C897">
        <v>6.2</v>
      </c>
      <c r="D897">
        <v>0</v>
      </c>
      <c r="E897">
        <v>0</v>
      </c>
      <c r="F897">
        <v>0</v>
      </c>
    </row>
    <row r="898" spans="1:6" x14ac:dyDescent="0.35">
      <c r="A898" s="8">
        <v>42087</v>
      </c>
      <c r="B898" s="71">
        <v>0.33333333333333331</v>
      </c>
      <c r="C898">
        <v>6.2</v>
      </c>
      <c r="D898">
        <v>0</v>
      </c>
      <c r="E898">
        <v>0</v>
      </c>
      <c r="F898">
        <v>0</v>
      </c>
    </row>
    <row r="899" spans="1:6" x14ac:dyDescent="0.35">
      <c r="A899" s="8">
        <v>42087</v>
      </c>
      <c r="B899" s="71">
        <v>0.375</v>
      </c>
      <c r="C899">
        <v>7.3</v>
      </c>
      <c r="D899">
        <v>0</v>
      </c>
      <c r="E899">
        <v>10</v>
      </c>
      <c r="F899">
        <v>29</v>
      </c>
    </row>
    <row r="900" spans="1:6" x14ac:dyDescent="0.35">
      <c r="A900" s="8">
        <v>42087</v>
      </c>
      <c r="B900" s="71">
        <v>0.41666666666666669</v>
      </c>
      <c r="C900">
        <v>8.6</v>
      </c>
      <c r="D900">
        <v>0</v>
      </c>
      <c r="E900">
        <v>41</v>
      </c>
      <c r="F900">
        <v>100</v>
      </c>
    </row>
    <row r="901" spans="1:6" x14ac:dyDescent="0.35">
      <c r="A901" s="8">
        <v>42087</v>
      </c>
      <c r="B901" s="71">
        <v>0.45833333333333331</v>
      </c>
      <c r="C901">
        <v>10.199999999999999</v>
      </c>
      <c r="D901">
        <v>0</v>
      </c>
      <c r="E901">
        <v>147</v>
      </c>
      <c r="F901">
        <v>118</v>
      </c>
    </row>
    <row r="902" spans="1:6" x14ac:dyDescent="0.35">
      <c r="A902" s="8">
        <v>42087</v>
      </c>
      <c r="B902" s="71">
        <v>0.5</v>
      </c>
      <c r="C902">
        <v>11.6</v>
      </c>
      <c r="D902">
        <v>0</v>
      </c>
      <c r="E902">
        <v>186</v>
      </c>
      <c r="F902">
        <v>187</v>
      </c>
    </row>
    <row r="903" spans="1:6" x14ac:dyDescent="0.35">
      <c r="A903" s="8">
        <v>42087</v>
      </c>
      <c r="B903" s="71">
        <v>0.54166666666666663</v>
      </c>
      <c r="C903">
        <v>12.4</v>
      </c>
      <c r="D903">
        <v>0</v>
      </c>
      <c r="E903">
        <v>115</v>
      </c>
      <c r="F903">
        <v>230</v>
      </c>
    </row>
    <row r="904" spans="1:6" x14ac:dyDescent="0.35">
      <c r="A904" s="8">
        <v>42087</v>
      </c>
      <c r="B904" s="71">
        <v>0.58333333333333337</v>
      </c>
      <c r="C904">
        <v>12.7</v>
      </c>
      <c r="D904">
        <v>0.1</v>
      </c>
      <c r="E904">
        <v>75</v>
      </c>
      <c r="F904">
        <v>279</v>
      </c>
    </row>
    <row r="905" spans="1:6" x14ac:dyDescent="0.35">
      <c r="A905" s="8">
        <v>42087</v>
      </c>
      <c r="B905" s="71">
        <v>0.625</v>
      </c>
      <c r="C905">
        <v>12</v>
      </c>
      <c r="D905">
        <v>0</v>
      </c>
      <c r="E905">
        <v>55</v>
      </c>
      <c r="F905">
        <v>184</v>
      </c>
    </row>
    <row r="906" spans="1:6" x14ac:dyDescent="0.35">
      <c r="A906" s="8">
        <v>42087</v>
      </c>
      <c r="B906" s="71">
        <v>0.66666666666666663</v>
      </c>
      <c r="C906">
        <v>10.8</v>
      </c>
      <c r="D906">
        <v>0.2</v>
      </c>
      <c r="E906">
        <v>5</v>
      </c>
      <c r="F906">
        <v>169</v>
      </c>
    </row>
    <row r="907" spans="1:6" x14ac:dyDescent="0.35">
      <c r="A907" s="8">
        <v>42087</v>
      </c>
      <c r="B907" s="71">
        <v>0.70833333333333337</v>
      </c>
      <c r="C907">
        <v>9.1</v>
      </c>
      <c r="D907">
        <v>0.4</v>
      </c>
      <c r="E907">
        <v>0</v>
      </c>
      <c r="F907">
        <v>108</v>
      </c>
    </row>
    <row r="908" spans="1:6" x14ac:dyDescent="0.35">
      <c r="A908" s="8">
        <v>42087</v>
      </c>
      <c r="B908" s="71">
        <v>0.75</v>
      </c>
      <c r="C908">
        <v>7.8</v>
      </c>
      <c r="D908">
        <v>0.4</v>
      </c>
      <c r="E908">
        <v>0</v>
      </c>
      <c r="F908">
        <v>75</v>
      </c>
    </row>
    <row r="909" spans="1:6" x14ac:dyDescent="0.35">
      <c r="A909" s="8">
        <v>42087</v>
      </c>
      <c r="B909" s="71">
        <v>0.79166666666666663</v>
      </c>
      <c r="C909">
        <v>7</v>
      </c>
      <c r="D909">
        <v>0.3</v>
      </c>
      <c r="E909">
        <v>0</v>
      </c>
      <c r="F909">
        <v>44</v>
      </c>
    </row>
    <row r="910" spans="1:6" x14ac:dyDescent="0.35">
      <c r="A910" s="8">
        <v>42087</v>
      </c>
      <c r="B910" s="71">
        <v>0.83333333333333337</v>
      </c>
      <c r="C910">
        <v>6.8</v>
      </c>
      <c r="D910">
        <v>0.2</v>
      </c>
      <c r="E910">
        <v>0</v>
      </c>
      <c r="F910">
        <v>26</v>
      </c>
    </row>
    <row r="911" spans="1:6" x14ac:dyDescent="0.35">
      <c r="A911" s="8">
        <v>42087</v>
      </c>
      <c r="B911" s="71">
        <v>0.875</v>
      </c>
      <c r="C911">
        <v>6.7</v>
      </c>
      <c r="D911">
        <v>0</v>
      </c>
      <c r="E911">
        <v>0</v>
      </c>
      <c r="F911">
        <v>1</v>
      </c>
    </row>
    <row r="912" spans="1:6" x14ac:dyDescent="0.35">
      <c r="A912" s="8">
        <v>42087</v>
      </c>
      <c r="B912" s="71">
        <v>0.91666666666666663</v>
      </c>
      <c r="C912">
        <v>6.6</v>
      </c>
      <c r="D912">
        <v>0</v>
      </c>
      <c r="E912">
        <v>0</v>
      </c>
      <c r="F912">
        <v>0</v>
      </c>
    </row>
    <row r="913" spans="1:6" x14ac:dyDescent="0.35">
      <c r="A913" s="8">
        <v>42087</v>
      </c>
      <c r="B913" s="71">
        <v>0.95833333333333337</v>
      </c>
      <c r="C913">
        <v>6</v>
      </c>
      <c r="D913">
        <v>0</v>
      </c>
      <c r="E913">
        <v>0</v>
      </c>
      <c r="F913">
        <v>0</v>
      </c>
    </row>
    <row r="914" spans="1:6" x14ac:dyDescent="0.35">
      <c r="A914" s="8">
        <v>42088</v>
      </c>
      <c r="B914" s="71">
        <v>0</v>
      </c>
      <c r="C914">
        <v>5.9</v>
      </c>
      <c r="D914">
        <v>0</v>
      </c>
      <c r="E914">
        <v>0</v>
      </c>
      <c r="F914">
        <v>0</v>
      </c>
    </row>
    <row r="915" spans="1:6" x14ac:dyDescent="0.35">
      <c r="A915" s="8">
        <v>42088</v>
      </c>
      <c r="B915" s="71">
        <v>4.1666666666666664E-2</v>
      </c>
      <c r="C915">
        <v>5.3</v>
      </c>
      <c r="D915">
        <v>0</v>
      </c>
      <c r="E915">
        <v>0</v>
      </c>
      <c r="F915">
        <v>0</v>
      </c>
    </row>
    <row r="916" spans="1:6" x14ac:dyDescent="0.35">
      <c r="A916" s="8">
        <v>42088</v>
      </c>
      <c r="B916" s="71">
        <v>8.3333333333333329E-2</v>
      </c>
      <c r="C916">
        <v>4.9000000000000004</v>
      </c>
      <c r="D916">
        <v>0</v>
      </c>
      <c r="E916">
        <v>0</v>
      </c>
      <c r="F916">
        <v>0</v>
      </c>
    </row>
    <row r="917" spans="1:6" x14ac:dyDescent="0.35">
      <c r="A917" s="8">
        <v>42088</v>
      </c>
      <c r="B917" s="71">
        <v>0.125</v>
      </c>
      <c r="C917">
        <v>4.7</v>
      </c>
      <c r="D917">
        <v>0</v>
      </c>
      <c r="E917">
        <v>0</v>
      </c>
      <c r="F917">
        <v>0</v>
      </c>
    </row>
    <row r="918" spans="1:6" x14ac:dyDescent="0.35">
      <c r="A918" s="8">
        <v>42088</v>
      </c>
      <c r="B918" s="71">
        <v>0.16666666666666666</v>
      </c>
      <c r="C918">
        <v>4</v>
      </c>
      <c r="D918">
        <v>0</v>
      </c>
      <c r="E918">
        <v>0</v>
      </c>
      <c r="F918">
        <v>0</v>
      </c>
    </row>
    <row r="919" spans="1:6" x14ac:dyDescent="0.35">
      <c r="A919" s="8">
        <v>42088</v>
      </c>
      <c r="B919" s="71">
        <v>0.20833333333333334</v>
      </c>
      <c r="C919">
        <v>3.5</v>
      </c>
      <c r="D919">
        <v>0</v>
      </c>
      <c r="E919">
        <v>0</v>
      </c>
      <c r="F919">
        <v>0</v>
      </c>
    </row>
    <row r="920" spans="1:6" x14ac:dyDescent="0.35">
      <c r="A920" s="8">
        <v>42088</v>
      </c>
      <c r="B920" s="71">
        <v>0.25</v>
      </c>
      <c r="C920">
        <v>2.8</v>
      </c>
      <c r="D920">
        <v>0</v>
      </c>
      <c r="E920">
        <v>0</v>
      </c>
      <c r="F920">
        <v>0</v>
      </c>
    </row>
    <row r="921" spans="1:6" x14ac:dyDescent="0.35">
      <c r="A921" s="8">
        <v>42088</v>
      </c>
      <c r="B921" s="71">
        <v>0.29166666666666669</v>
      </c>
      <c r="C921">
        <v>2.1</v>
      </c>
      <c r="D921">
        <v>0</v>
      </c>
      <c r="E921">
        <v>0</v>
      </c>
      <c r="F921">
        <v>0</v>
      </c>
    </row>
    <row r="922" spans="1:6" x14ac:dyDescent="0.35">
      <c r="A922" s="8">
        <v>42088</v>
      </c>
      <c r="B922" s="71">
        <v>0.33333333333333331</v>
      </c>
      <c r="C922">
        <v>1.8</v>
      </c>
      <c r="D922">
        <v>0</v>
      </c>
      <c r="E922">
        <v>0</v>
      </c>
      <c r="F922">
        <v>0</v>
      </c>
    </row>
    <row r="923" spans="1:6" x14ac:dyDescent="0.35">
      <c r="A923" s="8">
        <v>42088</v>
      </c>
      <c r="B923" s="71">
        <v>0.375</v>
      </c>
      <c r="C923">
        <v>2.2000000000000002</v>
      </c>
      <c r="D923">
        <v>0</v>
      </c>
      <c r="E923">
        <v>35</v>
      </c>
      <c r="F923">
        <v>23</v>
      </c>
    </row>
    <row r="924" spans="1:6" x14ac:dyDescent="0.35">
      <c r="A924" s="8">
        <v>42088</v>
      </c>
      <c r="B924" s="71">
        <v>0.41666666666666669</v>
      </c>
      <c r="C924">
        <v>4.7</v>
      </c>
      <c r="D924">
        <v>0</v>
      </c>
      <c r="E924">
        <v>168</v>
      </c>
      <c r="F924">
        <v>61</v>
      </c>
    </row>
    <row r="925" spans="1:6" x14ac:dyDescent="0.35">
      <c r="A925" s="8">
        <v>42088</v>
      </c>
      <c r="B925" s="71">
        <v>0.45833333333333331</v>
      </c>
      <c r="C925">
        <v>6.5</v>
      </c>
      <c r="D925">
        <v>0</v>
      </c>
      <c r="E925">
        <v>315</v>
      </c>
      <c r="F925">
        <v>89</v>
      </c>
    </row>
    <row r="926" spans="1:6" x14ac:dyDescent="0.35">
      <c r="A926" s="8">
        <v>42088</v>
      </c>
      <c r="B926" s="71">
        <v>0.5</v>
      </c>
      <c r="C926">
        <v>8</v>
      </c>
      <c r="D926">
        <v>0</v>
      </c>
      <c r="E926">
        <v>399</v>
      </c>
      <c r="F926">
        <v>134</v>
      </c>
    </row>
    <row r="927" spans="1:6" x14ac:dyDescent="0.35">
      <c r="A927" s="8">
        <v>42088</v>
      </c>
      <c r="B927" s="71">
        <v>0.54166666666666663</v>
      </c>
      <c r="C927">
        <v>9</v>
      </c>
      <c r="D927">
        <v>0.1</v>
      </c>
      <c r="E927">
        <v>477</v>
      </c>
      <c r="F927">
        <v>148</v>
      </c>
    </row>
    <row r="928" spans="1:6" x14ac:dyDescent="0.35">
      <c r="A928" s="8">
        <v>42088</v>
      </c>
      <c r="B928" s="71">
        <v>0.58333333333333337</v>
      </c>
      <c r="C928">
        <v>9.6</v>
      </c>
      <c r="D928">
        <v>0.3</v>
      </c>
      <c r="E928">
        <v>519</v>
      </c>
      <c r="F928">
        <v>137</v>
      </c>
    </row>
    <row r="929" spans="1:6" x14ac:dyDescent="0.35">
      <c r="A929" s="8">
        <v>42088</v>
      </c>
      <c r="B929" s="71">
        <v>0.625</v>
      </c>
      <c r="C929">
        <v>10.199999999999999</v>
      </c>
      <c r="D929">
        <v>0.1</v>
      </c>
      <c r="E929">
        <v>555</v>
      </c>
      <c r="F929">
        <v>143</v>
      </c>
    </row>
    <row r="930" spans="1:6" x14ac:dyDescent="0.35">
      <c r="A930" s="8">
        <v>42088</v>
      </c>
      <c r="B930" s="71">
        <v>0.66666666666666663</v>
      </c>
      <c r="C930">
        <v>10.4</v>
      </c>
      <c r="D930">
        <v>0.1</v>
      </c>
      <c r="E930">
        <v>484</v>
      </c>
      <c r="F930">
        <v>167</v>
      </c>
    </row>
    <row r="931" spans="1:6" x14ac:dyDescent="0.35">
      <c r="A931" s="8">
        <v>42088</v>
      </c>
      <c r="B931" s="71">
        <v>0.70833333333333337</v>
      </c>
      <c r="C931">
        <v>10.4</v>
      </c>
      <c r="D931">
        <v>0.1</v>
      </c>
      <c r="E931">
        <v>452</v>
      </c>
      <c r="F931">
        <v>132</v>
      </c>
    </row>
    <row r="932" spans="1:6" x14ac:dyDescent="0.35">
      <c r="A932" s="8">
        <v>42088</v>
      </c>
      <c r="B932" s="71">
        <v>0.75</v>
      </c>
      <c r="C932">
        <v>9.8000000000000007</v>
      </c>
      <c r="D932">
        <v>0</v>
      </c>
      <c r="E932">
        <v>315</v>
      </c>
      <c r="F932">
        <v>96</v>
      </c>
    </row>
    <row r="933" spans="1:6" x14ac:dyDescent="0.35">
      <c r="A933" s="8">
        <v>42088</v>
      </c>
      <c r="B933" s="71">
        <v>0.79166666666666663</v>
      </c>
      <c r="C933">
        <v>9.3000000000000007</v>
      </c>
      <c r="D933">
        <v>0</v>
      </c>
      <c r="E933">
        <v>147</v>
      </c>
      <c r="F933">
        <v>98</v>
      </c>
    </row>
    <row r="934" spans="1:6" x14ac:dyDescent="0.35">
      <c r="A934" s="8">
        <v>42088</v>
      </c>
      <c r="B934" s="71">
        <v>0.83333333333333337</v>
      </c>
      <c r="C934">
        <v>8.4</v>
      </c>
      <c r="D934">
        <v>0</v>
      </c>
      <c r="E934">
        <v>31</v>
      </c>
      <c r="F934">
        <v>44</v>
      </c>
    </row>
    <row r="935" spans="1:6" x14ac:dyDescent="0.35">
      <c r="A935" s="8">
        <v>42088</v>
      </c>
      <c r="B935" s="71">
        <v>0.875</v>
      </c>
      <c r="C935">
        <v>7.4</v>
      </c>
      <c r="D935">
        <v>0</v>
      </c>
      <c r="E935">
        <v>1</v>
      </c>
      <c r="F935">
        <v>2</v>
      </c>
    </row>
    <row r="936" spans="1:6" x14ac:dyDescent="0.35">
      <c r="A936" s="8">
        <v>42088</v>
      </c>
      <c r="B936" s="71">
        <v>0.91666666666666663</v>
      </c>
      <c r="C936">
        <v>6.6</v>
      </c>
      <c r="D936">
        <v>0</v>
      </c>
      <c r="E936">
        <v>0</v>
      </c>
      <c r="F936">
        <v>0</v>
      </c>
    </row>
    <row r="937" spans="1:6" x14ac:dyDescent="0.35">
      <c r="A937" s="8">
        <v>42088</v>
      </c>
      <c r="B937" s="71">
        <v>0.95833333333333337</v>
      </c>
      <c r="C937">
        <v>5.8</v>
      </c>
      <c r="D937">
        <v>0</v>
      </c>
      <c r="E937">
        <v>0</v>
      </c>
      <c r="F937">
        <v>0</v>
      </c>
    </row>
    <row r="938" spans="1:6" x14ac:dyDescent="0.35">
      <c r="A938" s="8">
        <v>42089</v>
      </c>
      <c r="B938" s="71">
        <v>0</v>
      </c>
      <c r="C938">
        <v>5.0999999999999996</v>
      </c>
      <c r="D938">
        <v>0</v>
      </c>
      <c r="E938">
        <v>0</v>
      </c>
      <c r="F938">
        <v>0</v>
      </c>
    </row>
    <row r="939" spans="1:6" x14ac:dyDescent="0.35">
      <c r="A939" s="8">
        <v>42089</v>
      </c>
      <c r="B939" s="71">
        <v>4.1666666666666664E-2</v>
      </c>
      <c r="C939">
        <v>4.4000000000000004</v>
      </c>
      <c r="D939">
        <v>0</v>
      </c>
      <c r="E939">
        <v>0</v>
      </c>
      <c r="F939">
        <v>0</v>
      </c>
    </row>
    <row r="940" spans="1:6" x14ac:dyDescent="0.35">
      <c r="A940" s="8">
        <v>42089</v>
      </c>
      <c r="B940" s="71">
        <v>8.3333333333333329E-2</v>
      </c>
      <c r="C940">
        <v>3.6</v>
      </c>
      <c r="D940">
        <v>0</v>
      </c>
      <c r="E940">
        <v>0</v>
      </c>
      <c r="F940">
        <v>0</v>
      </c>
    </row>
    <row r="941" spans="1:6" x14ac:dyDescent="0.35">
      <c r="A941" s="8">
        <v>42089</v>
      </c>
      <c r="B941" s="71">
        <v>0.125</v>
      </c>
      <c r="C941">
        <v>3.1</v>
      </c>
      <c r="D941">
        <v>0</v>
      </c>
      <c r="E941">
        <v>0</v>
      </c>
      <c r="F941">
        <v>0</v>
      </c>
    </row>
    <row r="942" spans="1:6" x14ac:dyDescent="0.35">
      <c r="A942" s="8">
        <v>42089</v>
      </c>
      <c r="B942" s="71">
        <v>0.16666666666666666</v>
      </c>
      <c r="C942">
        <v>2.7</v>
      </c>
      <c r="D942">
        <v>0</v>
      </c>
      <c r="E942">
        <v>0</v>
      </c>
      <c r="F942">
        <v>0</v>
      </c>
    </row>
    <row r="943" spans="1:6" x14ac:dyDescent="0.35">
      <c r="A943" s="8">
        <v>42089</v>
      </c>
      <c r="B943" s="71">
        <v>0.20833333333333334</v>
      </c>
      <c r="C943">
        <v>3</v>
      </c>
      <c r="D943">
        <v>0</v>
      </c>
      <c r="E943">
        <v>0</v>
      </c>
      <c r="F943">
        <v>0</v>
      </c>
    </row>
    <row r="944" spans="1:6" x14ac:dyDescent="0.35">
      <c r="A944" s="8">
        <v>42089</v>
      </c>
      <c r="B944" s="71">
        <v>0.25</v>
      </c>
      <c r="C944">
        <v>3.4</v>
      </c>
      <c r="D944">
        <v>0</v>
      </c>
      <c r="E944">
        <v>0</v>
      </c>
      <c r="F944">
        <v>0</v>
      </c>
    </row>
    <row r="945" spans="1:6" x14ac:dyDescent="0.35">
      <c r="A945" s="8">
        <v>42089</v>
      </c>
      <c r="B945" s="71">
        <v>0.29166666666666669</v>
      </c>
      <c r="C945">
        <v>4.0999999999999996</v>
      </c>
      <c r="D945">
        <v>0</v>
      </c>
      <c r="E945">
        <v>0</v>
      </c>
      <c r="F945">
        <v>0</v>
      </c>
    </row>
    <row r="946" spans="1:6" x14ac:dyDescent="0.35">
      <c r="A946" s="8">
        <v>42089</v>
      </c>
      <c r="B946" s="71">
        <v>0.33333333333333331</v>
      </c>
      <c r="C946">
        <v>5</v>
      </c>
      <c r="D946">
        <v>0</v>
      </c>
      <c r="E946">
        <v>0</v>
      </c>
      <c r="F946">
        <v>0</v>
      </c>
    </row>
    <row r="947" spans="1:6" x14ac:dyDescent="0.35">
      <c r="A947" s="8">
        <v>42089</v>
      </c>
      <c r="B947" s="71">
        <v>0.375</v>
      </c>
      <c r="C947">
        <v>5.3</v>
      </c>
      <c r="D947">
        <v>0</v>
      </c>
      <c r="E947">
        <v>0</v>
      </c>
      <c r="F947">
        <v>13</v>
      </c>
    </row>
    <row r="948" spans="1:6" x14ac:dyDescent="0.35">
      <c r="A948" s="8">
        <v>42089</v>
      </c>
      <c r="B948" s="71">
        <v>0.41666666666666669</v>
      </c>
      <c r="C948">
        <v>6.4</v>
      </c>
      <c r="D948">
        <v>0</v>
      </c>
      <c r="E948">
        <v>10</v>
      </c>
      <c r="F948">
        <v>59</v>
      </c>
    </row>
    <row r="949" spans="1:6" x14ac:dyDescent="0.35">
      <c r="A949" s="8">
        <v>42089</v>
      </c>
      <c r="B949" s="71">
        <v>0.45833333333333331</v>
      </c>
      <c r="C949">
        <v>7.9</v>
      </c>
      <c r="D949">
        <v>0</v>
      </c>
      <c r="E949">
        <v>35</v>
      </c>
      <c r="F949">
        <v>158</v>
      </c>
    </row>
    <row r="950" spans="1:6" x14ac:dyDescent="0.35">
      <c r="A950" s="8">
        <v>42089</v>
      </c>
      <c r="B950" s="71">
        <v>0.5</v>
      </c>
      <c r="C950">
        <v>8.6</v>
      </c>
      <c r="D950">
        <v>0.1</v>
      </c>
      <c r="E950">
        <v>12</v>
      </c>
      <c r="F950">
        <v>175</v>
      </c>
    </row>
    <row r="951" spans="1:6" x14ac:dyDescent="0.35">
      <c r="A951" s="8">
        <v>42089</v>
      </c>
      <c r="B951" s="71">
        <v>0.54166666666666663</v>
      </c>
      <c r="C951">
        <v>9</v>
      </c>
      <c r="D951">
        <v>0.1</v>
      </c>
      <c r="E951">
        <v>0</v>
      </c>
      <c r="F951">
        <v>151</v>
      </c>
    </row>
    <row r="952" spans="1:6" x14ac:dyDescent="0.35">
      <c r="A952" s="8">
        <v>42089</v>
      </c>
      <c r="B952" s="71">
        <v>0.58333333333333337</v>
      </c>
      <c r="C952">
        <v>9.3000000000000007</v>
      </c>
      <c r="D952">
        <v>0</v>
      </c>
      <c r="E952">
        <v>0</v>
      </c>
      <c r="F952">
        <v>116</v>
      </c>
    </row>
    <row r="953" spans="1:6" x14ac:dyDescent="0.35">
      <c r="A953" s="8">
        <v>42089</v>
      </c>
      <c r="B953" s="71">
        <v>0.625</v>
      </c>
      <c r="C953">
        <v>9.6</v>
      </c>
      <c r="D953">
        <v>0</v>
      </c>
      <c r="E953">
        <v>0</v>
      </c>
      <c r="F953">
        <v>73</v>
      </c>
    </row>
    <row r="954" spans="1:6" x14ac:dyDescent="0.35">
      <c r="A954" s="8">
        <v>42089</v>
      </c>
      <c r="B954" s="71">
        <v>0.66666666666666663</v>
      </c>
      <c r="C954">
        <v>10.1</v>
      </c>
      <c r="D954">
        <v>0</v>
      </c>
      <c r="E954">
        <v>6</v>
      </c>
      <c r="F954">
        <v>88</v>
      </c>
    </row>
    <row r="955" spans="1:6" x14ac:dyDescent="0.35">
      <c r="A955" s="8">
        <v>42089</v>
      </c>
      <c r="B955" s="71">
        <v>0.70833333333333337</v>
      </c>
      <c r="C955">
        <v>10.4</v>
      </c>
      <c r="D955">
        <v>0</v>
      </c>
      <c r="E955">
        <v>0</v>
      </c>
      <c r="F955">
        <v>72</v>
      </c>
    </row>
    <row r="956" spans="1:6" x14ac:dyDescent="0.35">
      <c r="A956" s="8">
        <v>42089</v>
      </c>
      <c r="B956" s="71">
        <v>0.75</v>
      </c>
      <c r="C956">
        <v>10.7</v>
      </c>
      <c r="D956">
        <v>0</v>
      </c>
      <c r="E956">
        <v>0</v>
      </c>
      <c r="F956">
        <v>47</v>
      </c>
    </row>
    <row r="957" spans="1:6" x14ac:dyDescent="0.35">
      <c r="A957" s="8">
        <v>42089</v>
      </c>
      <c r="B957" s="71">
        <v>0.79166666666666663</v>
      </c>
      <c r="C957">
        <v>10.8</v>
      </c>
      <c r="D957">
        <v>0</v>
      </c>
      <c r="E957">
        <v>0</v>
      </c>
      <c r="F957">
        <v>29</v>
      </c>
    </row>
    <row r="958" spans="1:6" x14ac:dyDescent="0.35">
      <c r="A958" s="8">
        <v>42089</v>
      </c>
      <c r="B958" s="71">
        <v>0.83333333333333337</v>
      </c>
      <c r="C958">
        <v>10.5</v>
      </c>
      <c r="D958">
        <v>0</v>
      </c>
      <c r="E958">
        <v>4</v>
      </c>
      <c r="F958">
        <v>19</v>
      </c>
    </row>
    <row r="959" spans="1:6" x14ac:dyDescent="0.35">
      <c r="A959" s="8">
        <v>42089</v>
      </c>
      <c r="B959" s="71">
        <v>0.875</v>
      </c>
      <c r="C959">
        <v>10.1</v>
      </c>
      <c r="D959">
        <v>0</v>
      </c>
      <c r="E959">
        <v>0</v>
      </c>
      <c r="F959">
        <v>1</v>
      </c>
    </row>
    <row r="960" spans="1:6" x14ac:dyDescent="0.35">
      <c r="A960" s="8">
        <v>42089</v>
      </c>
      <c r="B960" s="71">
        <v>0.91666666666666663</v>
      </c>
      <c r="C960">
        <v>9.8000000000000007</v>
      </c>
      <c r="D960">
        <v>0</v>
      </c>
      <c r="E960">
        <v>0</v>
      </c>
      <c r="F960">
        <v>0</v>
      </c>
    </row>
    <row r="961" spans="1:6" x14ac:dyDescent="0.35">
      <c r="A961" s="8">
        <v>42089</v>
      </c>
      <c r="B961" s="71">
        <v>0.95833333333333337</v>
      </c>
      <c r="C961">
        <v>9.6</v>
      </c>
      <c r="D961">
        <v>0</v>
      </c>
      <c r="E961">
        <v>0</v>
      </c>
      <c r="F961">
        <v>0</v>
      </c>
    </row>
    <row r="962" spans="1:6" x14ac:dyDescent="0.35">
      <c r="A962" s="8">
        <v>42090</v>
      </c>
      <c r="B962" s="71">
        <v>0</v>
      </c>
      <c r="C962">
        <v>9.4</v>
      </c>
      <c r="D962">
        <v>0</v>
      </c>
      <c r="E962">
        <v>0</v>
      </c>
      <c r="F962">
        <v>0</v>
      </c>
    </row>
    <row r="963" spans="1:6" x14ac:dyDescent="0.35">
      <c r="A963" s="8">
        <v>42090</v>
      </c>
      <c r="B963" s="71">
        <v>4.1666666666666664E-2</v>
      </c>
      <c r="C963">
        <v>9.1999999999999993</v>
      </c>
      <c r="D963">
        <v>0</v>
      </c>
      <c r="E963">
        <v>0</v>
      </c>
      <c r="F963">
        <v>0</v>
      </c>
    </row>
    <row r="964" spans="1:6" x14ac:dyDescent="0.35">
      <c r="A964" s="8">
        <v>42090</v>
      </c>
      <c r="B964" s="71">
        <v>8.3333333333333329E-2</v>
      </c>
      <c r="C964">
        <v>8.8000000000000007</v>
      </c>
      <c r="D964">
        <v>0</v>
      </c>
      <c r="E964">
        <v>0</v>
      </c>
      <c r="F964">
        <v>0</v>
      </c>
    </row>
    <row r="965" spans="1:6" x14ac:dyDescent="0.35">
      <c r="A965" s="8">
        <v>42090</v>
      </c>
      <c r="B965" s="71">
        <v>0.125</v>
      </c>
      <c r="C965">
        <v>8.5</v>
      </c>
      <c r="D965">
        <v>0</v>
      </c>
      <c r="E965">
        <v>0</v>
      </c>
      <c r="F965">
        <v>0</v>
      </c>
    </row>
    <row r="966" spans="1:6" x14ac:dyDescent="0.35">
      <c r="A966" s="8">
        <v>42090</v>
      </c>
      <c r="B966" s="71">
        <v>0.16666666666666666</v>
      </c>
      <c r="C966">
        <v>8.3000000000000007</v>
      </c>
      <c r="D966">
        <v>0</v>
      </c>
      <c r="E966">
        <v>0</v>
      </c>
      <c r="F966">
        <v>0</v>
      </c>
    </row>
    <row r="967" spans="1:6" x14ac:dyDescent="0.35">
      <c r="A967" s="8">
        <v>42090</v>
      </c>
      <c r="B967" s="71">
        <v>0.20833333333333334</v>
      </c>
      <c r="C967">
        <v>8.1999999999999993</v>
      </c>
      <c r="D967">
        <v>0</v>
      </c>
      <c r="E967">
        <v>0</v>
      </c>
      <c r="F967">
        <v>0</v>
      </c>
    </row>
    <row r="968" spans="1:6" x14ac:dyDescent="0.35">
      <c r="A968" s="8">
        <v>42090</v>
      </c>
      <c r="B968" s="71">
        <v>0.25</v>
      </c>
      <c r="C968">
        <v>8.3000000000000007</v>
      </c>
      <c r="D968">
        <v>0</v>
      </c>
      <c r="E968">
        <v>0</v>
      </c>
      <c r="F968">
        <v>0</v>
      </c>
    </row>
    <row r="969" spans="1:6" x14ac:dyDescent="0.35">
      <c r="A969" s="8">
        <v>42090</v>
      </c>
      <c r="B969" s="71">
        <v>0.29166666666666669</v>
      </c>
      <c r="C969">
        <v>8.1</v>
      </c>
      <c r="D969">
        <v>0</v>
      </c>
      <c r="E969">
        <v>0</v>
      </c>
      <c r="F969">
        <v>0</v>
      </c>
    </row>
    <row r="970" spans="1:6" x14ac:dyDescent="0.35">
      <c r="A970" s="8">
        <v>42090</v>
      </c>
      <c r="B970" s="71">
        <v>0.33333333333333331</v>
      </c>
      <c r="C970">
        <v>7.8</v>
      </c>
      <c r="D970">
        <v>0</v>
      </c>
      <c r="E970">
        <v>0</v>
      </c>
      <c r="F970">
        <v>0</v>
      </c>
    </row>
    <row r="971" spans="1:6" x14ac:dyDescent="0.35">
      <c r="A971" s="8">
        <v>42090</v>
      </c>
      <c r="B971" s="71">
        <v>0.375</v>
      </c>
      <c r="C971">
        <v>8.1</v>
      </c>
      <c r="D971">
        <v>0</v>
      </c>
      <c r="E971">
        <v>16</v>
      </c>
      <c r="F971">
        <v>21</v>
      </c>
    </row>
    <row r="972" spans="1:6" x14ac:dyDescent="0.35">
      <c r="A972" s="8">
        <v>42090</v>
      </c>
      <c r="B972" s="71">
        <v>0.41666666666666669</v>
      </c>
      <c r="C972">
        <v>9.6</v>
      </c>
      <c r="D972">
        <v>0</v>
      </c>
      <c r="E972">
        <v>120</v>
      </c>
      <c r="F972">
        <v>64</v>
      </c>
    </row>
    <row r="973" spans="1:6" x14ac:dyDescent="0.35">
      <c r="A973" s="8">
        <v>42090</v>
      </c>
      <c r="B973" s="71">
        <v>0.45833333333333331</v>
      </c>
      <c r="C973">
        <v>10.4</v>
      </c>
      <c r="D973">
        <v>0</v>
      </c>
      <c r="E973">
        <v>180</v>
      </c>
      <c r="F973">
        <v>110</v>
      </c>
    </row>
    <row r="974" spans="1:6" x14ac:dyDescent="0.35">
      <c r="A974" s="8">
        <v>42090</v>
      </c>
      <c r="B974" s="71">
        <v>0.5</v>
      </c>
      <c r="C974">
        <v>10.9</v>
      </c>
      <c r="D974">
        <v>0</v>
      </c>
      <c r="E974">
        <v>191</v>
      </c>
      <c r="F974">
        <v>146</v>
      </c>
    </row>
    <row r="975" spans="1:6" x14ac:dyDescent="0.35">
      <c r="A975" s="8">
        <v>42090</v>
      </c>
      <c r="B975" s="71">
        <v>0.54166666666666663</v>
      </c>
      <c r="C975">
        <v>11.4</v>
      </c>
      <c r="D975">
        <v>0</v>
      </c>
      <c r="E975">
        <v>85</v>
      </c>
      <c r="F975">
        <v>257</v>
      </c>
    </row>
    <row r="976" spans="1:6" x14ac:dyDescent="0.35">
      <c r="A976" s="8">
        <v>42090</v>
      </c>
      <c r="B976" s="71">
        <v>0.58333333333333337</v>
      </c>
      <c r="C976">
        <v>11.9</v>
      </c>
      <c r="D976">
        <v>0</v>
      </c>
      <c r="E976">
        <v>127</v>
      </c>
      <c r="F976">
        <v>254</v>
      </c>
    </row>
    <row r="977" spans="1:6" x14ac:dyDescent="0.35">
      <c r="A977" s="8">
        <v>42090</v>
      </c>
      <c r="B977" s="71">
        <v>0.625</v>
      </c>
      <c r="C977">
        <v>12</v>
      </c>
      <c r="D977">
        <v>0</v>
      </c>
      <c r="E977">
        <v>58</v>
      </c>
      <c r="F977">
        <v>271</v>
      </c>
    </row>
    <row r="978" spans="1:6" x14ac:dyDescent="0.35">
      <c r="A978" s="8">
        <v>42090</v>
      </c>
      <c r="B978" s="71">
        <v>0.66666666666666663</v>
      </c>
      <c r="C978">
        <v>11.8</v>
      </c>
      <c r="D978">
        <v>0</v>
      </c>
      <c r="E978">
        <v>8</v>
      </c>
      <c r="F978">
        <v>227</v>
      </c>
    </row>
    <row r="979" spans="1:6" x14ac:dyDescent="0.35">
      <c r="A979" s="8">
        <v>42090</v>
      </c>
      <c r="B979" s="71">
        <v>0.70833333333333337</v>
      </c>
      <c r="C979">
        <v>10.9</v>
      </c>
      <c r="D979">
        <v>0</v>
      </c>
      <c r="E979">
        <v>1</v>
      </c>
      <c r="F979">
        <v>96</v>
      </c>
    </row>
    <row r="980" spans="1:6" x14ac:dyDescent="0.35">
      <c r="A980" s="8">
        <v>42090</v>
      </c>
      <c r="B980" s="71">
        <v>0.75</v>
      </c>
      <c r="C980">
        <v>10.3</v>
      </c>
      <c r="D980">
        <v>0.2</v>
      </c>
      <c r="E980">
        <v>0</v>
      </c>
      <c r="F980">
        <v>36</v>
      </c>
    </row>
    <row r="981" spans="1:6" x14ac:dyDescent="0.35">
      <c r="A981" s="8">
        <v>42090</v>
      </c>
      <c r="B981" s="71">
        <v>0.79166666666666663</v>
      </c>
      <c r="C981">
        <v>10.199999999999999</v>
      </c>
      <c r="D981">
        <v>0.2</v>
      </c>
      <c r="E981">
        <v>0</v>
      </c>
      <c r="F981">
        <v>28</v>
      </c>
    </row>
    <row r="982" spans="1:6" x14ac:dyDescent="0.35">
      <c r="A982" s="8">
        <v>42090</v>
      </c>
      <c r="B982" s="71">
        <v>0.83333333333333337</v>
      </c>
      <c r="C982">
        <v>9.9</v>
      </c>
      <c r="D982">
        <v>0</v>
      </c>
      <c r="E982">
        <v>1</v>
      </c>
      <c r="F982">
        <v>10</v>
      </c>
    </row>
    <row r="983" spans="1:6" x14ac:dyDescent="0.35">
      <c r="A983" s="8">
        <v>42090</v>
      </c>
      <c r="B983" s="71">
        <v>0.875</v>
      </c>
      <c r="C983">
        <v>10.1</v>
      </c>
      <c r="D983">
        <v>0</v>
      </c>
      <c r="E983">
        <v>0</v>
      </c>
      <c r="F983">
        <v>0</v>
      </c>
    </row>
    <row r="984" spans="1:6" x14ac:dyDescent="0.35">
      <c r="A984" s="8">
        <v>42090</v>
      </c>
      <c r="B984" s="71">
        <v>0.91666666666666663</v>
      </c>
      <c r="C984">
        <v>10.199999999999999</v>
      </c>
      <c r="D984">
        <v>0</v>
      </c>
      <c r="E984">
        <v>0</v>
      </c>
      <c r="F984">
        <v>0</v>
      </c>
    </row>
    <row r="985" spans="1:6" x14ac:dyDescent="0.35">
      <c r="A985" s="8">
        <v>42090</v>
      </c>
      <c r="B985" s="71">
        <v>0.95833333333333337</v>
      </c>
      <c r="C985">
        <v>10.4</v>
      </c>
      <c r="D985">
        <v>0</v>
      </c>
      <c r="E985">
        <v>0</v>
      </c>
      <c r="F985">
        <v>0</v>
      </c>
    </row>
    <row r="986" spans="1:6" x14ac:dyDescent="0.35">
      <c r="A986" s="8">
        <v>42091</v>
      </c>
      <c r="B986" s="71">
        <v>0</v>
      </c>
      <c r="C986">
        <v>10.6</v>
      </c>
      <c r="D986">
        <v>0</v>
      </c>
      <c r="E986">
        <v>0</v>
      </c>
      <c r="F986">
        <v>0</v>
      </c>
    </row>
    <row r="987" spans="1:6" x14ac:dyDescent="0.35">
      <c r="A987" s="8">
        <v>42091</v>
      </c>
      <c r="B987" s="71">
        <v>4.1666666666666664E-2</v>
      </c>
      <c r="C987">
        <v>10.8</v>
      </c>
      <c r="D987">
        <v>0</v>
      </c>
      <c r="E987">
        <v>0</v>
      </c>
      <c r="F987">
        <v>0</v>
      </c>
    </row>
    <row r="988" spans="1:6" x14ac:dyDescent="0.35">
      <c r="A988" s="8">
        <v>42091</v>
      </c>
      <c r="B988" s="71">
        <v>8.3333333333333329E-2</v>
      </c>
      <c r="C988">
        <v>10.9</v>
      </c>
      <c r="D988">
        <v>0</v>
      </c>
      <c r="E988">
        <v>0</v>
      </c>
      <c r="F988">
        <v>0</v>
      </c>
    </row>
    <row r="989" spans="1:6" x14ac:dyDescent="0.35">
      <c r="A989" s="8">
        <v>42091</v>
      </c>
      <c r="B989" s="71">
        <v>0.125</v>
      </c>
      <c r="C989">
        <v>10.9</v>
      </c>
      <c r="D989">
        <v>0</v>
      </c>
      <c r="E989">
        <v>0</v>
      </c>
      <c r="F989">
        <v>0</v>
      </c>
    </row>
    <row r="990" spans="1:6" x14ac:dyDescent="0.35">
      <c r="A990" s="8">
        <v>42091</v>
      </c>
      <c r="B990" s="71">
        <v>0.16666666666666666</v>
      </c>
      <c r="C990">
        <v>11</v>
      </c>
      <c r="D990">
        <v>0</v>
      </c>
      <c r="E990">
        <v>0</v>
      </c>
      <c r="F990">
        <v>0</v>
      </c>
    </row>
    <row r="991" spans="1:6" x14ac:dyDescent="0.35">
      <c r="A991" s="8">
        <v>42091</v>
      </c>
      <c r="B991" s="71">
        <v>0.20833333333333334</v>
      </c>
      <c r="C991">
        <v>11</v>
      </c>
      <c r="D991">
        <v>0</v>
      </c>
      <c r="E991">
        <v>0</v>
      </c>
      <c r="F991">
        <v>0</v>
      </c>
    </row>
    <row r="992" spans="1:6" x14ac:dyDescent="0.35">
      <c r="A992" s="8">
        <v>42091</v>
      </c>
      <c r="B992" s="71">
        <v>0.25</v>
      </c>
      <c r="C992">
        <v>11</v>
      </c>
      <c r="D992">
        <v>0</v>
      </c>
      <c r="E992">
        <v>0</v>
      </c>
      <c r="F992">
        <v>0</v>
      </c>
    </row>
    <row r="993" spans="1:6" x14ac:dyDescent="0.35">
      <c r="A993" s="8">
        <v>42091</v>
      </c>
      <c r="B993" s="71">
        <v>0.29166666666666669</v>
      </c>
      <c r="C993">
        <v>11.1</v>
      </c>
      <c r="D993">
        <v>0</v>
      </c>
      <c r="E993">
        <v>0</v>
      </c>
      <c r="F993">
        <v>0</v>
      </c>
    </row>
    <row r="994" spans="1:6" x14ac:dyDescent="0.35">
      <c r="A994" s="8">
        <v>42091</v>
      </c>
      <c r="B994" s="71">
        <v>0.33333333333333331</v>
      </c>
      <c r="C994">
        <v>11.1</v>
      </c>
      <c r="D994">
        <v>0</v>
      </c>
      <c r="E994">
        <v>0</v>
      </c>
      <c r="F994">
        <v>0</v>
      </c>
    </row>
    <row r="995" spans="1:6" x14ac:dyDescent="0.35">
      <c r="A995" s="8">
        <v>42091</v>
      </c>
      <c r="B995" s="71">
        <v>0.375</v>
      </c>
      <c r="C995">
        <v>11.1</v>
      </c>
      <c r="D995">
        <v>0</v>
      </c>
      <c r="E995">
        <v>0</v>
      </c>
      <c r="F995">
        <v>6</v>
      </c>
    </row>
    <row r="996" spans="1:6" x14ac:dyDescent="0.35">
      <c r="A996" s="8">
        <v>42091</v>
      </c>
      <c r="B996" s="71">
        <v>0.41666666666666669</v>
      </c>
      <c r="C996">
        <v>11.3</v>
      </c>
      <c r="D996">
        <v>0</v>
      </c>
      <c r="E996">
        <v>0</v>
      </c>
      <c r="F996">
        <v>26</v>
      </c>
    </row>
    <row r="997" spans="1:6" x14ac:dyDescent="0.35">
      <c r="A997" s="8">
        <v>42091</v>
      </c>
      <c r="B997" s="71">
        <v>0.45833333333333331</v>
      </c>
      <c r="C997">
        <v>11.7</v>
      </c>
      <c r="D997">
        <v>0</v>
      </c>
      <c r="E997">
        <v>0</v>
      </c>
      <c r="F997">
        <v>56</v>
      </c>
    </row>
    <row r="998" spans="1:6" x14ac:dyDescent="0.35">
      <c r="A998" s="8">
        <v>42091</v>
      </c>
      <c r="B998" s="71">
        <v>0.5</v>
      </c>
      <c r="C998">
        <v>12.2</v>
      </c>
      <c r="D998">
        <v>0</v>
      </c>
      <c r="E998">
        <v>0</v>
      </c>
      <c r="F998">
        <v>106</v>
      </c>
    </row>
    <row r="999" spans="1:6" x14ac:dyDescent="0.35">
      <c r="A999" s="8">
        <v>42091</v>
      </c>
      <c r="B999" s="71">
        <v>0.54166666666666663</v>
      </c>
      <c r="C999">
        <v>13.2</v>
      </c>
      <c r="D999">
        <v>0</v>
      </c>
      <c r="E999">
        <v>54</v>
      </c>
      <c r="F999">
        <v>149</v>
      </c>
    </row>
    <row r="1000" spans="1:6" x14ac:dyDescent="0.35">
      <c r="A1000" s="8">
        <v>42091</v>
      </c>
      <c r="B1000" s="71">
        <v>0.58333333333333337</v>
      </c>
      <c r="C1000">
        <v>13.5</v>
      </c>
      <c r="D1000">
        <v>0</v>
      </c>
      <c r="E1000">
        <v>64</v>
      </c>
      <c r="F1000">
        <v>202</v>
      </c>
    </row>
    <row r="1001" spans="1:6" x14ac:dyDescent="0.35">
      <c r="A1001" s="8">
        <v>42091</v>
      </c>
      <c r="B1001" s="71">
        <v>0.625</v>
      </c>
      <c r="C1001">
        <v>13.6</v>
      </c>
      <c r="D1001">
        <v>0</v>
      </c>
      <c r="E1001">
        <v>35</v>
      </c>
      <c r="F1001">
        <v>224</v>
      </c>
    </row>
    <row r="1002" spans="1:6" x14ac:dyDescent="0.35">
      <c r="A1002" s="8">
        <v>42091</v>
      </c>
      <c r="B1002" s="71">
        <v>0.66666666666666663</v>
      </c>
      <c r="C1002">
        <v>13.5</v>
      </c>
      <c r="D1002">
        <v>0</v>
      </c>
      <c r="E1002">
        <v>17</v>
      </c>
      <c r="F1002">
        <v>225</v>
      </c>
    </row>
    <row r="1003" spans="1:6" x14ac:dyDescent="0.35">
      <c r="A1003" s="8">
        <v>42091</v>
      </c>
      <c r="B1003" s="71">
        <v>0.70833333333333337</v>
      </c>
      <c r="C1003">
        <v>13.5</v>
      </c>
      <c r="D1003">
        <v>0</v>
      </c>
      <c r="E1003">
        <v>28</v>
      </c>
      <c r="F1003">
        <v>195</v>
      </c>
    </row>
    <row r="1004" spans="1:6" x14ac:dyDescent="0.35">
      <c r="A1004" s="8">
        <v>42091</v>
      </c>
      <c r="B1004" s="71">
        <v>0.75</v>
      </c>
      <c r="C1004">
        <v>13.1</v>
      </c>
      <c r="D1004">
        <v>0</v>
      </c>
      <c r="E1004">
        <v>24</v>
      </c>
      <c r="F1004">
        <v>129</v>
      </c>
    </row>
    <row r="1005" spans="1:6" x14ac:dyDescent="0.35">
      <c r="A1005" s="8">
        <v>42091</v>
      </c>
      <c r="B1005" s="71">
        <v>0.79166666666666663</v>
      </c>
      <c r="C1005">
        <v>12.7</v>
      </c>
      <c r="D1005">
        <v>0</v>
      </c>
      <c r="E1005">
        <v>43</v>
      </c>
      <c r="F1005">
        <v>81</v>
      </c>
    </row>
    <row r="1006" spans="1:6" x14ac:dyDescent="0.35">
      <c r="A1006" s="8">
        <v>42091</v>
      </c>
      <c r="B1006" s="71">
        <v>0.83333333333333337</v>
      </c>
      <c r="C1006">
        <v>11.9</v>
      </c>
      <c r="D1006">
        <v>0</v>
      </c>
      <c r="E1006">
        <v>17</v>
      </c>
      <c r="F1006">
        <v>37</v>
      </c>
    </row>
    <row r="1007" spans="1:6" x14ac:dyDescent="0.35">
      <c r="A1007" s="8">
        <v>42091</v>
      </c>
      <c r="B1007" s="71">
        <v>0.875</v>
      </c>
      <c r="C1007">
        <v>11</v>
      </c>
      <c r="D1007">
        <v>0</v>
      </c>
      <c r="E1007">
        <v>0</v>
      </c>
      <c r="F1007">
        <v>3</v>
      </c>
    </row>
    <row r="1008" spans="1:6" x14ac:dyDescent="0.35">
      <c r="A1008" s="8">
        <v>42091</v>
      </c>
      <c r="B1008" s="71">
        <v>0.91666666666666663</v>
      </c>
      <c r="C1008">
        <v>10.5</v>
      </c>
      <c r="D1008">
        <v>0</v>
      </c>
      <c r="E1008">
        <v>0</v>
      </c>
      <c r="F1008">
        <v>0</v>
      </c>
    </row>
    <row r="1009" spans="1:6" x14ac:dyDescent="0.35">
      <c r="A1009" s="8">
        <v>42091</v>
      </c>
      <c r="B1009" s="71">
        <v>0.95833333333333337</v>
      </c>
      <c r="C1009">
        <v>10.6</v>
      </c>
      <c r="D1009">
        <v>0</v>
      </c>
      <c r="E1009">
        <v>0</v>
      </c>
      <c r="F1009">
        <v>0</v>
      </c>
    </row>
    <row r="1010" spans="1:6" x14ac:dyDescent="0.35">
      <c r="A1010" s="8">
        <v>42092</v>
      </c>
      <c r="B1010" s="71">
        <v>0</v>
      </c>
      <c r="C1010">
        <v>10.8</v>
      </c>
      <c r="D1010">
        <v>0</v>
      </c>
      <c r="E1010">
        <v>0</v>
      </c>
      <c r="F1010">
        <v>0</v>
      </c>
    </row>
    <row r="1011" spans="1:6" x14ac:dyDescent="0.35">
      <c r="A1011" s="8">
        <v>42092</v>
      </c>
      <c r="B1011" s="71">
        <v>4.1666666666666664E-2</v>
      </c>
      <c r="C1011">
        <v>11.2</v>
      </c>
      <c r="D1011">
        <v>0.2</v>
      </c>
      <c r="E1011">
        <v>0</v>
      </c>
      <c r="F1011">
        <v>0</v>
      </c>
    </row>
    <row r="1012" spans="1:6" x14ac:dyDescent="0.35">
      <c r="A1012" s="8">
        <v>42092</v>
      </c>
      <c r="B1012" s="71">
        <v>8.3333333333333329E-2</v>
      </c>
      <c r="C1012">
        <v>11.4</v>
      </c>
      <c r="D1012">
        <v>0.3</v>
      </c>
      <c r="E1012">
        <v>0</v>
      </c>
      <c r="F1012">
        <v>0</v>
      </c>
    </row>
    <row r="1013" spans="1:6" x14ac:dyDescent="0.35">
      <c r="A1013" s="8">
        <v>42092</v>
      </c>
      <c r="B1013" s="71">
        <v>0.125</v>
      </c>
      <c r="C1013">
        <v>11.5</v>
      </c>
      <c r="D1013">
        <v>0</v>
      </c>
      <c r="E1013">
        <v>0</v>
      </c>
      <c r="F1013">
        <v>0</v>
      </c>
    </row>
    <row r="1014" spans="1:6" x14ac:dyDescent="0.35">
      <c r="A1014" s="8">
        <v>42092</v>
      </c>
      <c r="B1014" s="71">
        <v>0.16666666666666666</v>
      </c>
      <c r="C1014">
        <v>11.6</v>
      </c>
      <c r="D1014">
        <v>0</v>
      </c>
      <c r="E1014">
        <v>0</v>
      </c>
      <c r="F1014">
        <v>0</v>
      </c>
    </row>
    <row r="1015" spans="1:6" x14ac:dyDescent="0.35">
      <c r="A1015" s="8">
        <v>42092</v>
      </c>
      <c r="B1015" s="71">
        <v>0.20833333333333334</v>
      </c>
      <c r="C1015">
        <v>11.6</v>
      </c>
      <c r="D1015">
        <v>0</v>
      </c>
      <c r="E1015">
        <v>0</v>
      </c>
      <c r="F1015">
        <v>0</v>
      </c>
    </row>
    <row r="1016" spans="1:6" x14ac:dyDescent="0.35">
      <c r="A1016" s="8">
        <v>42092</v>
      </c>
      <c r="B1016" s="71">
        <v>0.25</v>
      </c>
      <c r="C1016">
        <v>11.6</v>
      </c>
      <c r="D1016">
        <v>0</v>
      </c>
      <c r="E1016">
        <v>0</v>
      </c>
      <c r="F1016">
        <v>0</v>
      </c>
    </row>
    <row r="1017" spans="1:6" x14ac:dyDescent="0.35">
      <c r="A1017" s="8">
        <v>42092</v>
      </c>
      <c r="B1017" s="71">
        <v>0.29166666666666669</v>
      </c>
      <c r="C1017">
        <v>11.4</v>
      </c>
      <c r="D1017">
        <v>0</v>
      </c>
      <c r="E1017">
        <v>0</v>
      </c>
      <c r="F1017">
        <v>0</v>
      </c>
    </row>
    <row r="1018" spans="1:6" x14ac:dyDescent="0.35">
      <c r="A1018" s="8">
        <v>42092</v>
      </c>
      <c r="B1018" s="71">
        <v>0.33333333333333331</v>
      </c>
      <c r="C1018">
        <v>11.3</v>
      </c>
      <c r="D1018">
        <v>0</v>
      </c>
      <c r="E1018">
        <v>0</v>
      </c>
      <c r="F1018">
        <v>0</v>
      </c>
    </row>
    <row r="1019" spans="1:6" x14ac:dyDescent="0.35">
      <c r="A1019" s="8">
        <v>42092</v>
      </c>
      <c r="B1019" s="71">
        <v>0.375</v>
      </c>
      <c r="C1019">
        <v>11.3</v>
      </c>
      <c r="D1019">
        <v>0</v>
      </c>
      <c r="E1019">
        <v>0</v>
      </c>
      <c r="F1019">
        <v>19</v>
      </c>
    </row>
    <row r="1020" spans="1:6" x14ac:dyDescent="0.35">
      <c r="A1020" s="8">
        <v>42092</v>
      </c>
      <c r="B1020" s="71">
        <v>0.41666666666666669</v>
      </c>
      <c r="C1020">
        <v>11.6</v>
      </c>
      <c r="D1020">
        <v>0</v>
      </c>
      <c r="E1020">
        <v>5</v>
      </c>
      <c r="F1020">
        <v>68</v>
      </c>
    </row>
    <row r="1021" spans="1:6" x14ac:dyDescent="0.35">
      <c r="A1021" s="8">
        <v>42092</v>
      </c>
      <c r="B1021" s="71">
        <v>0.45833333333333331</v>
      </c>
      <c r="C1021">
        <v>12.3</v>
      </c>
      <c r="D1021">
        <v>0</v>
      </c>
      <c r="E1021">
        <v>36</v>
      </c>
      <c r="F1021">
        <v>119</v>
      </c>
    </row>
    <row r="1022" spans="1:6" x14ac:dyDescent="0.35">
      <c r="A1022" s="8">
        <v>42092</v>
      </c>
      <c r="B1022" s="71">
        <v>0.5</v>
      </c>
      <c r="C1022">
        <v>12.7</v>
      </c>
      <c r="D1022">
        <v>0</v>
      </c>
      <c r="E1022">
        <v>52</v>
      </c>
      <c r="F1022">
        <v>143</v>
      </c>
    </row>
    <row r="1023" spans="1:6" x14ac:dyDescent="0.35">
      <c r="A1023" s="8">
        <v>42092</v>
      </c>
      <c r="B1023" s="71">
        <v>0.54166666666666663</v>
      </c>
      <c r="C1023">
        <v>13.3</v>
      </c>
      <c r="D1023">
        <v>0</v>
      </c>
      <c r="E1023">
        <v>23</v>
      </c>
      <c r="F1023">
        <v>235</v>
      </c>
    </row>
    <row r="1024" spans="1:6" x14ac:dyDescent="0.35">
      <c r="A1024" s="8">
        <v>42092</v>
      </c>
      <c r="B1024" s="71">
        <v>0.58333333333333337</v>
      </c>
      <c r="C1024">
        <v>13.4</v>
      </c>
      <c r="D1024">
        <v>0</v>
      </c>
      <c r="E1024">
        <v>18</v>
      </c>
      <c r="F1024">
        <v>230</v>
      </c>
    </row>
    <row r="1025" spans="1:6" x14ac:dyDescent="0.35">
      <c r="A1025" s="8">
        <v>42092</v>
      </c>
      <c r="B1025" s="71">
        <v>0.625</v>
      </c>
      <c r="C1025">
        <v>13.4</v>
      </c>
      <c r="D1025">
        <v>0</v>
      </c>
      <c r="E1025">
        <v>13</v>
      </c>
      <c r="F1025">
        <v>240</v>
      </c>
    </row>
    <row r="1026" spans="1:6" x14ac:dyDescent="0.35">
      <c r="A1026" s="8">
        <v>42092</v>
      </c>
      <c r="B1026" s="71">
        <v>0.66666666666666663</v>
      </c>
      <c r="C1026">
        <v>13.2</v>
      </c>
      <c r="D1026">
        <v>0</v>
      </c>
      <c r="E1026">
        <v>5</v>
      </c>
      <c r="F1026">
        <v>214</v>
      </c>
    </row>
    <row r="1027" spans="1:6" x14ac:dyDescent="0.35">
      <c r="A1027" s="8">
        <v>42092</v>
      </c>
      <c r="B1027" s="71">
        <v>0.70833333333333337</v>
      </c>
      <c r="C1027">
        <v>13.3</v>
      </c>
      <c r="D1027">
        <v>0.1</v>
      </c>
      <c r="E1027">
        <v>23</v>
      </c>
      <c r="F1027">
        <v>230</v>
      </c>
    </row>
    <row r="1028" spans="1:6" x14ac:dyDescent="0.35">
      <c r="A1028" s="8">
        <v>42092</v>
      </c>
      <c r="B1028" s="71">
        <v>0.75</v>
      </c>
      <c r="C1028">
        <v>12.8</v>
      </c>
      <c r="D1028">
        <v>0.2</v>
      </c>
      <c r="E1028">
        <v>1</v>
      </c>
      <c r="F1028">
        <v>134</v>
      </c>
    </row>
    <row r="1029" spans="1:6" x14ac:dyDescent="0.35">
      <c r="A1029" s="8">
        <v>42092</v>
      </c>
      <c r="B1029" s="71">
        <v>0.79166666666666663</v>
      </c>
      <c r="C1029">
        <v>12.5</v>
      </c>
      <c r="D1029">
        <v>0</v>
      </c>
      <c r="E1029">
        <v>4</v>
      </c>
      <c r="F1029">
        <v>92</v>
      </c>
    </row>
    <row r="1030" spans="1:6" x14ac:dyDescent="0.35">
      <c r="A1030" s="8">
        <v>42092</v>
      </c>
      <c r="B1030" s="71">
        <v>0.83333333333333337</v>
      </c>
      <c r="C1030">
        <v>12.1</v>
      </c>
      <c r="D1030">
        <v>0</v>
      </c>
      <c r="E1030">
        <v>2</v>
      </c>
      <c r="F1030">
        <v>44</v>
      </c>
    </row>
    <row r="1031" spans="1:6" x14ac:dyDescent="0.35">
      <c r="A1031" s="8">
        <v>42092</v>
      </c>
      <c r="B1031" s="71">
        <v>0.875</v>
      </c>
      <c r="C1031">
        <v>11.5</v>
      </c>
      <c r="D1031">
        <v>0</v>
      </c>
      <c r="E1031">
        <v>0</v>
      </c>
      <c r="F1031">
        <v>2</v>
      </c>
    </row>
    <row r="1032" spans="1:6" x14ac:dyDescent="0.35">
      <c r="A1032" s="8">
        <v>42092</v>
      </c>
      <c r="B1032" s="71">
        <v>0.91666666666666663</v>
      </c>
      <c r="C1032">
        <v>11.4</v>
      </c>
      <c r="D1032">
        <v>0</v>
      </c>
      <c r="E1032">
        <v>0</v>
      </c>
      <c r="F1032">
        <v>0</v>
      </c>
    </row>
    <row r="1033" spans="1:6" x14ac:dyDescent="0.35">
      <c r="A1033" s="8">
        <v>42092</v>
      </c>
      <c r="B1033" s="71">
        <v>0.95833333333333337</v>
      </c>
      <c r="C1033">
        <v>11.4</v>
      </c>
      <c r="D1033">
        <v>0.1</v>
      </c>
      <c r="E1033">
        <v>0</v>
      </c>
      <c r="F1033">
        <v>0</v>
      </c>
    </row>
    <row r="1034" spans="1:6" x14ac:dyDescent="0.35">
      <c r="A1034" s="8">
        <v>42093</v>
      </c>
      <c r="B1034" s="71">
        <v>0</v>
      </c>
      <c r="C1034">
        <v>11.5</v>
      </c>
      <c r="D1034">
        <v>0.1</v>
      </c>
      <c r="E1034">
        <v>0</v>
      </c>
      <c r="F1034">
        <v>0</v>
      </c>
    </row>
    <row r="1035" spans="1:6" x14ac:dyDescent="0.35">
      <c r="A1035" s="8">
        <v>42093</v>
      </c>
      <c r="B1035" s="71">
        <v>4.1666666666666664E-2</v>
      </c>
      <c r="C1035">
        <v>11.7</v>
      </c>
      <c r="D1035">
        <v>0</v>
      </c>
      <c r="E1035">
        <v>0</v>
      </c>
      <c r="F1035">
        <v>0</v>
      </c>
    </row>
    <row r="1036" spans="1:6" x14ac:dyDescent="0.35">
      <c r="A1036" s="8">
        <v>42093</v>
      </c>
      <c r="B1036" s="71">
        <v>8.3333333333333329E-2</v>
      </c>
      <c r="C1036">
        <v>11.8</v>
      </c>
      <c r="D1036">
        <v>0</v>
      </c>
      <c r="E1036">
        <v>0</v>
      </c>
      <c r="F1036">
        <v>0</v>
      </c>
    </row>
    <row r="1037" spans="1:6" x14ac:dyDescent="0.35">
      <c r="A1037" s="8">
        <v>42093</v>
      </c>
      <c r="B1037" s="71">
        <v>0.125</v>
      </c>
      <c r="C1037">
        <v>11.7</v>
      </c>
      <c r="D1037">
        <v>0.2</v>
      </c>
      <c r="E1037">
        <v>0</v>
      </c>
      <c r="F1037">
        <v>0</v>
      </c>
    </row>
    <row r="1038" spans="1:6" x14ac:dyDescent="0.35">
      <c r="A1038" s="8">
        <v>42093</v>
      </c>
      <c r="B1038" s="71">
        <v>0.16666666666666666</v>
      </c>
      <c r="C1038">
        <v>11.8</v>
      </c>
      <c r="D1038">
        <v>0</v>
      </c>
      <c r="E1038">
        <v>0</v>
      </c>
      <c r="F1038">
        <v>0</v>
      </c>
    </row>
    <row r="1039" spans="1:6" x14ac:dyDescent="0.35">
      <c r="A1039" s="8">
        <v>42093</v>
      </c>
      <c r="B1039" s="71">
        <v>0.20833333333333334</v>
      </c>
      <c r="C1039">
        <v>11.9</v>
      </c>
      <c r="D1039">
        <v>0</v>
      </c>
      <c r="E1039">
        <v>0</v>
      </c>
      <c r="F1039">
        <v>0</v>
      </c>
    </row>
    <row r="1040" spans="1:6" x14ac:dyDescent="0.35">
      <c r="A1040" s="8">
        <v>42093</v>
      </c>
      <c r="B1040" s="71">
        <v>0.25</v>
      </c>
      <c r="C1040">
        <v>11.9</v>
      </c>
      <c r="D1040">
        <v>0</v>
      </c>
      <c r="E1040">
        <v>0</v>
      </c>
      <c r="F1040">
        <v>0</v>
      </c>
    </row>
    <row r="1041" spans="1:6" x14ac:dyDescent="0.35">
      <c r="A1041" s="8">
        <v>42093</v>
      </c>
      <c r="B1041" s="71">
        <v>0.29166666666666669</v>
      </c>
      <c r="C1041">
        <v>12</v>
      </c>
      <c r="D1041">
        <v>0</v>
      </c>
      <c r="E1041">
        <v>0</v>
      </c>
      <c r="F1041">
        <v>0</v>
      </c>
    </row>
    <row r="1042" spans="1:6" x14ac:dyDescent="0.35">
      <c r="A1042" s="8">
        <v>42093</v>
      </c>
      <c r="B1042" s="71">
        <v>0.33333333333333331</v>
      </c>
      <c r="C1042">
        <v>12.1</v>
      </c>
      <c r="D1042">
        <v>0</v>
      </c>
      <c r="E1042">
        <v>0</v>
      </c>
      <c r="F1042">
        <v>0</v>
      </c>
    </row>
    <row r="1043" spans="1:6" x14ac:dyDescent="0.35">
      <c r="A1043" s="8">
        <v>42093</v>
      </c>
      <c r="B1043" s="71">
        <v>0.375</v>
      </c>
      <c r="C1043">
        <v>12.2</v>
      </c>
      <c r="D1043">
        <v>0</v>
      </c>
      <c r="E1043">
        <v>0</v>
      </c>
      <c r="F1043">
        <v>8</v>
      </c>
    </row>
    <row r="1044" spans="1:6" x14ac:dyDescent="0.35">
      <c r="A1044" s="8">
        <v>42093</v>
      </c>
      <c r="B1044" s="71">
        <v>0.41666666666666669</v>
      </c>
      <c r="C1044">
        <v>12.5</v>
      </c>
      <c r="D1044">
        <v>0</v>
      </c>
      <c r="E1044">
        <v>0</v>
      </c>
      <c r="F1044">
        <v>26</v>
      </c>
    </row>
    <row r="1045" spans="1:6" x14ac:dyDescent="0.35">
      <c r="A1045" s="8">
        <v>42093</v>
      </c>
      <c r="B1045" s="71">
        <v>0.45833333333333331</v>
      </c>
      <c r="C1045">
        <v>12.6</v>
      </c>
      <c r="D1045">
        <v>0</v>
      </c>
      <c r="E1045">
        <v>1</v>
      </c>
      <c r="F1045">
        <v>38</v>
      </c>
    </row>
    <row r="1046" spans="1:6" x14ac:dyDescent="0.35">
      <c r="A1046" s="8">
        <v>42093</v>
      </c>
      <c r="B1046" s="71">
        <v>0.5</v>
      </c>
      <c r="C1046">
        <v>12.9</v>
      </c>
      <c r="D1046">
        <v>0</v>
      </c>
      <c r="E1046">
        <v>1</v>
      </c>
      <c r="F1046">
        <v>64</v>
      </c>
    </row>
    <row r="1047" spans="1:6" x14ac:dyDescent="0.35">
      <c r="A1047" s="8">
        <v>42093</v>
      </c>
      <c r="B1047" s="71">
        <v>0.54166666666666663</v>
      </c>
      <c r="C1047">
        <v>13.1</v>
      </c>
      <c r="D1047">
        <v>0</v>
      </c>
      <c r="E1047">
        <v>0</v>
      </c>
      <c r="F1047">
        <v>77</v>
      </c>
    </row>
    <row r="1048" spans="1:6" x14ac:dyDescent="0.35">
      <c r="A1048" s="8">
        <v>42093</v>
      </c>
      <c r="B1048" s="71">
        <v>0.58333333333333337</v>
      </c>
      <c r="C1048">
        <v>13.2</v>
      </c>
      <c r="D1048">
        <v>0</v>
      </c>
      <c r="E1048">
        <v>0</v>
      </c>
      <c r="F1048">
        <v>95</v>
      </c>
    </row>
    <row r="1049" spans="1:6" x14ac:dyDescent="0.35">
      <c r="A1049" s="8">
        <v>42093</v>
      </c>
      <c r="B1049" s="71">
        <v>0.625</v>
      </c>
      <c r="C1049">
        <v>13.5</v>
      </c>
      <c r="D1049">
        <v>0</v>
      </c>
      <c r="E1049">
        <v>5</v>
      </c>
      <c r="F1049">
        <v>113</v>
      </c>
    </row>
    <row r="1050" spans="1:6" x14ac:dyDescent="0.35">
      <c r="A1050" s="8">
        <v>42093</v>
      </c>
      <c r="B1050" s="71">
        <v>0.66666666666666663</v>
      </c>
      <c r="C1050">
        <v>13.4</v>
      </c>
      <c r="D1050">
        <v>0</v>
      </c>
      <c r="E1050">
        <v>0</v>
      </c>
      <c r="F1050">
        <v>92</v>
      </c>
    </row>
    <row r="1051" spans="1:6" x14ac:dyDescent="0.35">
      <c r="A1051" s="8">
        <v>42093</v>
      </c>
      <c r="B1051" s="71">
        <v>0.70833333333333337</v>
      </c>
      <c r="C1051">
        <v>13.4</v>
      </c>
      <c r="D1051">
        <v>0</v>
      </c>
      <c r="E1051">
        <v>8</v>
      </c>
      <c r="F1051">
        <v>87</v>
      </c>
    </row>
    <row r="1052" spans="1:6" x14ac:dyDescent="0.35">
      <c r="A1052" s="8">
        <v>42093</v>
      </c>
      <c r="B1052" s="71">
        <v>0.75</v>
      </c>
      <c r="C1052">
        <v>13.2</v>
      </c>
      <c r="D1052">
        <v>0</v>
      </c>
      <c r="E1052">
        <v>2</v>
      </c>
      <c r="F1052">
        <v>67</v>
      </c>
    </row>
    <row r="1053" spans="1:6" x14ac:dyDescent="0.35">
      <c r="A1053" s="8">
        <v>42093</v>
      </c>
      <c r="B1053" s="71">
        <v>0.79166666666666663</v>
      </c>
      <c r="C1053">
        <v>13</v>
      </c>
      <c r="D1053">
        <v>0</v>
      </c>
      <c r="E1053">
        <v>2</v>
      </c>
      <c r="F1053">
        <v>46</v>
      </c>
    </row>
    <row r="1054" spans="1:6" x14ac:dyDescent="0.35">
      <c r="A1054" s="8">
        <v>42093</v>
      </c>
      <c r="B1054" s="71">
        <v>0.83333333333333337</v>
      </c>
      <c r="C1054">
        <v>12.8</v>
      </c>
      <c r="D1054">
        <v>0</v>
      </c>
      <c r="E1054">
        <v>0</v>
      </c>
      <c r="F1054">
        <v>24</v>
      </c>
    </row>
    <row r="1055" spans="1:6" x14ac:dyDescent="0.35">
      <c r="A1055" s="8">
        <v>42093</v>
      </c>
      <c r="B1055" s="71">
        <v>0.875</v>
      </c>
      <c r="C1055">
        <v>12.3</v>
      </c>
      <c r="D1055">
        <v>0</v>
      </c>
      <c r="E1055">
        <v>0</v>
      </c>
      <c r="F1055">
        <v>1</v>
      </c>
    </row>
    <row r="1056" spans="1:6" x14ac:dyDescent="0.35">
      <c r="A1056" s="8">
        <v>42093</v>
      </c>
      <c r="B1056" s="71">
        <v>0.91666666666666663</v>
      </c>
      <c r="C1056">
        <v>12.2</v>
      </c>
      <c r="D1056">
        <v>0</v>
      </c>
      <c r="E1056">
        <v>0</v>
      </c>
      <c r="F1056">
        <v>0</v>
      </c>
    </row>
    <row r="1057" spans="1:6" x14ac:dyDescent="0.35">
      <c r="A1057" s="8">
        <v>42093</v>
      </c>
      <c r="B1057" s="71">
        <v>0.95833333333333337</v>
      </c>
      <c r="C1057">
        <v>12.1</v>
      </c>
      <c r="D1057">
        <v>0</v>
      </c>
      <c r="E1057">
        <v>0</v>
      </c>
      <c r="F1057">
        <v>0</v>
      </c>
    </row>
    <row r="1058" spans="1:6" x14ac:dyDescent="0.35">
      <c r="A1058" s="8">
        <v>42094</v>
      </c>
      <c r="B1058" s="71">
        <v>0</v>
      </c>
      <c r="C1058">
        <v>12</v>
      </c>
      <c r="D1058">
        <v>0</v>
      </c>
      <c r="E1058">
        <v>0</v>
      </c>
      <c r="F1058">
        <v>0</v>
      </c>
    </row>
    <row r="1059" spans="1:6" x14ac:dyDescent="0.35">
      <c r="A1059" s="8">
        <v>42094</v>
      </c>
      <c r="B1059" s="71">
        <v>4.1666666666666664E-2</v>
      </c>
      <c r="C1059">
        <v>12</v>
      </c>
      <c r="D1059">
        <v>0</v>
      </c>
      <c r="E1059">
        <v>0</v>
      </c>
      <c r="F1059">
        <v>0</v>
      </c>
    </row>
    <row r="1060" spans="1:6" x14ac:dyDescent="0.35">
      <c r="A1060" s="8">
        <v>42094</v>
      </c>
      <c r="B1060" s="71">
        <v>8.3333333333333329E-2</v>
      </c>
      <c r="C1060">
        <v>12</v>
      </c>
      <c r="D1060">
        <v>0</v>
      </c>
      <c r="E1060">
        <v>0</v>
      </c>
      <c r="F1060">
        <v>0</v>
      </c>
    </row>
    <row r="1061" spans="1:6" x14ac:dyDescent="0.35">
      <c r="A1061" s="8">
        <v>42094</v>
      </c>
      <c r="B1061" s="71">
        <v>0.125</v>
      </c>
      <c r="C1061">
        <v>12</v>
      </c>
      <c r="D1061">
        <v>0</v>
      </c>
      <c r="E1061">
        <v>0</v>
      </c>
      <c r="F1061">
        <v>0</v>
      </c>
    </row>
    <row r="1062" spans="1:6" x14ac:dyDescent="0.35">
      <c r="A1062" s="8">
        <v>42094</v>
      </c>
      <c r="B1062" s="71">
        <v>0.16666666666666666</v>
      </c>
      <c r="C1062">
        <v>11.9</v>
      </c>
      <c r="D1062">
        <v>0</v>
      </c>
      <c r="E1062">
        <v>0</v>
      </c>
      <c r="F1062">
        <v>0</v>
      </c>
    </row>
    <row r="1063" spans="1:6" x14ac:dyDescent="0.35">
      <c r="A1063" s="8">
        <v>42094</v>
      </c>
      <c r="B1063" s="71">
        <v>0.20833333333333334</v>
      </c>
      <c r="C1063">
        <v>11.8</v>
      </c>
      <c r="D1063">
        <v>0</v>
      </c>
      <c r="E1063">
        <v>0</v>
      </c>
      <c r="F1063">
        <v>0</v>
      </c>
    </row>
    <row r="1064" spans="1:6" x14ac:dyDescent="0.35">
      <c r="A1064" s="8">
        <v>42094</v>
      </c>
      <c r="B1064" s="71">
        <v>0.25</v>
      </c>
      <c r="C1064">
        <v>11.6</v>
      </c>
      <c r="D1064">
        <v>0</v>
      </c>
      <c r="E1064">
        <v>0</v>
      </c>
      <c r="F1064">
        <v>0</v>
      </c>
    </row>
    <row r="1065" spans="1:6" x14ac:dyDescent="0.35">
      <c r="A1065" s="8">
        <v>42094</v>
      </c>
      <c r="B1065" s="71">
        <v>0.29166666666666669</v>
      </c>
      <c r="C1065">
        <v>11.3</v>
      </c>
      <c r="D1065">
        <v>0</v>
      </c>
      <c r="E1065">
        <v>0</v>
      </c>
      <c r="F1065">
        <v>0</v>
      </c>
    </row>
    <row r="1066" spans="1:6" x14ac:dyDescent="0.35">
      <c r="A1066" s="8">
        <v>42094</v>
      </c>
      <c r="B1066" s="71">
        <v>0.33333333333333331</v>
      </c>
      <c r="C1066">
        <v>11.2</v>
      </c>
      <c r="D1066">
        <v>0</v>
      </c>
      <c r="E1066">
        <v>0</v>
      </c>
      <c r="F1066">
        <v>0</v>
      </c>
    </row>
    <row r="1067" spans="1:6" x14ac:dyDescent="0.35">
      <c r="A1067" s="8">
        <v>42094</v>
      </c>
      <c r="B1067" s="71">
        <v>0.375</v>
      </c>
      <c r="C1067">
        <v>11.6</v>
      </c>
      <c r="D1067">
        <v>0</v>
      </c>
      <c r="E1067">
        <v>2</v>
      </c>
      <c r="F1067">
        <v>21</v>
      </c>
    </row>
    <row r="1068" spans="1:6" x14ac:dyDescent="0.35">
      <c r="A1068" s="8">
        <v>42094</v>
      </c>
      <c r="B1068" s="71">
        <v>0.41666666666666669</v>
      </c>
      <c r="C1068">
        <v>12.2</v>
      </c>
      <c r="D1068">
        <v>0.1</v>
      </c>
      <c r="E1068">
        <v>28</v>
      </c>
      <c r="F1068">
        <v>86</v>
      </c>
    </row>
    <row r="1069" spans="1:6" x14ac:dyDescent="0.35">
      <c r="A1069" s="8">
        <v>42094</v>
      </c>
      <c r="B1069" s="71">
        <v>0.45833333333333331</v>
      </c>
      <c r="C1069">
        <v>12.9</v>
      </c>
      <c r="D1069">
        <v>0.1</v>
      </c>
      <c r="E1069">
        <v>100</v>
      </c>
      <c r="F1069">
        <v>142</v>
      </c>
    </row>
    <row r="1070" spans="1:6" x14ac:dyDescent="0.35">
      <c r="A1070" s="8">
        <v>42094</v>
      </c>
      <c r="B1070" s="71">
        <v>0.5</v>
      </c>
      <c r="C1070">
        <v>13.1</v>
      </c>
      <c r="D1070">
        <v>0.2</v>
      </c>
      <c r="E1070">
        <v>62</v>
      </c>
      <c r="F1070">
        <v>186</v>
      </c>
    </row>
    <row r="1071" spans="1:6" x14ac:dyDescent="0.35">
      <c r="A1071" s="8">
        <v>42094</v>
      </c>
      <c r="B1071" s="71">
        <v>0.54166666666666663</v>
      </c>
      <c r="C1071">
        <v>13.4</v>
      </c>
      <c r="D1071">
        <v>0.2</v>
      </c>
      <c r="E1071">
        <v>65</v>
      </c>
      <c r="F1071">
        <v>178</v>
      </c>
    </row>
    <row r="1072" spans="1:6" x14ac:dyDescent="0.35">
      <c r="A1072" s="8">
        <v>42094</v>
      </c>
      <c r="B1072" s="71">
        <v>0.58333333333333337</v>
      </c>
      <c r="C1072">
        <v>13.7</v>
      </c>
      <c r="D1072">
        <v>0.2</v>
      </c>
      <c r="E1072">
        <v>66</v>
      </c>
      <c r="F1072">
        <v>220</v>
      </c>
    </row>
    <row r="1073" spans="1:6" x14ac:dyDescent="0.35">
      <c r="A1073" s="8">
        <v>42094</v>
      </c>
      <c r="B1073" s="71">
        <v>0.625</v>
      </c>
      <c r="C1073">
        <v>14.1</v>
      </c>
      <c r="D1073">
        <v>0.1</v>
      </c>
      <c r="E1073">
        <v>99</v>
      </c>
      <c r="F1073">
        <v>229</v>
      </c>
    </row>
    <row r="1074" spans="1:6" x14ac:dyDescent="0.35">
      <c r="A1074" s="8">
        <v>42094</v>
      </c>
      <c r="B1074" s="71">
        <v>0.66666666666666663</v>
      </c>
      <c r="C1074">
        <v>14</v>
      </c>
      <c r="D1074">
        <v>0.1</v>
      </c>
      <c r="E1074">
        <v>106</v>
      </c>
      <c r="F1074">
        <v>176</v>
      </c>
    </row>
    <row r="1075" spans="1:6" x14ac:dyDescent="0.35">
      <c r="A1075" s="8">
        <v>42094</v>
      </c>
      <c r="B1075" s="71">
        <v>0.70833333333333337</v>
      </c>
      <c r="C1075">
        <v>13.6</v>
      </c>
      <c r="D1075">
        <v>0.1</v>
      </c>
      <c r="E1075">
        <v>57</v>
      </c>
      <c r="F1075">
        <v>194</v>
      </c>
    </row>
    <row r="1076" spans="1:6" x14ac:dyDescent="0.35">
      <c r="A1076" s="8">
        <v>42094</v>
      </c>
      <c r="B1076" s="71">
        <v>0.75</v>
      </c>
      <c r="C1076">
        <v>13.1</v>
      </c>
      <c r="D1076">
        <v>0</v>
      </c>
      <c r="E1076">
        <v>113</v>
      </c>
      <c r="F1076">
        <v>114</v>
      </c>
    </row>
    <row r="1077" spans="1:6" x14ac:dyDescent="0.35">
      <c r="A1077" s="8">
        <v>42094</v>
      </c>
      <c r="B1077" s="71">
        <v>0.79166666666666663</v>
      </c>
      <c r="C1077">
        <v>12.6</v>
      </c>
      <c r="D1077">
        <v>0</v>
      </c>
      <c r="E1077">
        <v>129</v>
      </c>
      <c r="F1077">
        <v>72</v>
      </c>
    </row>
    <row r="1078" spans="1:6" x14ac:dyDescent="0.35">
      <c r="A1078" s="8">
        <v>42094</v>
      </c>
      <c r="B1078" s="71">
        <v>0.83333333333333337</v>
      </c>
      <c r="C1078">
        <v>11.8</v>
      </c>
      <c r="D1078">
        <v>0</v>
      </c>
      <c r="E1078">
        <v>16</v>
      </c>
      <c r="F1078">
        <v>44</v>
      </c>
    </row>
    <row r="1079" spans="1:6" x14ac:dyDescent="0.35">
      <c r="A1079" s="8">
        <v>42094</v>
      </c>
      <c r="B1079" s="71">
        <v>0.875</v>
      </c>
      <c r="C1079">
        <v>11.1</v>
      </c>
      <c r="D1079">
        <v>0</v>
      </c>
      <c r="E1079">
        <v>0</v>
      </c>
      <c r="F1079">
        <v>3</v>
      </c>
    </row>
    <row r="1080" spans="1:6" x14ac:dyDescent="0.35">
      <c r="A1080" s="8">
        <v>42094</v>
      </c>
      <c r="B1080" s="71">
        <v>0.91666666666666663</v>
      </c>
      <c r="C1080">
        <v>10.7</v>
      </c>
      <c r="D1080">
        <v>0</v>
      </c>
      <c r="E1080">
        <v>0</v>
      </c>
      <c r="F1080">
        <v>0</v>
      </c>
    </row>
    <row r="1081" spans="1:6" x14ac:dyDescent="0.35">
      <c r="A1081" s="8">
        <v>42094</v>
      </c>
      <c r="B1081" s="71">
        <v>0.95833333333333337</v>
      </c>
      <c r="C1081">
        <v>10.4</v>
      </c>
      <c r="D1081">
        <v>0</v>
      </c>
      <c r="E1081">
        <v>0</v>
      </c>
      <c r="F1081">
        <v>0</v>
      </c>
    </row>
    <row r="1082" spans="1:6" x14ac:dyDescent="0.35">
      <c r="A1082" s="8">
        <v>42095</v>
      </c>
      <c r="B1082" s="71">
        <v>0</v>
      </c>
      <c r="C1082">
        <v>9.9</v>
      </c>
      <c r="D1082">
        <v>0</v>
      </c>
      <c r="E1082">
        <v>0</v>
      </c>
      <c r="F1082">
        <v>0</v>
      </c>
    </row>
    <row r="1083" spans="1:6" x14ac:dyDescent="0.35">
      <c r="A1083" s="8">
        <v>42095</v>
      </c>
      <c r="B1083" s="71">
        <v>4.1666666666666664E-2</v>
      </c>
      <c r="C1083">
        <v>9.4</v>
      </c>
      <c r="D1083">
        <v>0</v>
      </c>
      <c r="E1083">
        <v>0</v>
      </c>
      <c r="F1083">
        <v>0</v>
      </c>
    </row>
    <row r="1084" spans="1:6" x14ac:dyDescent="0.35">
      <c r="A1084" s="8">
        <v>42095</v>
      </c>
      <c r="B1084" s="71">
        <v>8.3333333333333329E-2</v>
      </c>
      <c r="C1084">
        <v>9</v>
      </c>
      <c r="D1084">
        <v>0</v>
      </c>
      <c r="E1084">
        <v>0</v>
      </c>
      <c r="F1084">
        <v>0</v>
      </c>
    </row>
    <row r="1085" spans="1:6" x14ac:dyDescent="0.35">
      <c r="A1085" s="8">
        <v>42095</v>
      </c>
      <c r="B1085" s="71">
        <v>0.125</v>
      </c>
      <c r="C1085">
        <v>9</v>
      </c>
      <c r="D1085">
        <v>0</v>
      </c>
      <c r="E1085">
        <v>0</v>
      </c>
      <c r="F1085">
        <v>0</v>
      </c>
    </row>
    <row r="1086" spans="1:6" x14ac:dyDescent="0.35">
      <c r="A1086" s="8">
        <v>42095</v>
      </c>
      <c r="B1086" s="71">
        <v>0.16666666666666666</v>
      </c>
      <c r="C1086">
        <v>8.8000000000000007</v>
      </c>
      <c r="D1086">
        <v>0</v>
      </c>
      <c r="E1086">
        <v>0</v>
      </c>
      <c r="F1086">
        <v>0</v>
      </c>
    </row>
    <row r="1087" spans="1:6" x14ac:dyDescent="0.35">
      <c r="A1087" s="8">
        <v>42095</v>
      </c>
      <c r="B1087" s="71">
        <v>0.20833333333333334</v>
      </c>
      <c r="C1087">
        <v>8.6</v>
      </c>
      <c r="D1087">
        <v>0</v>
      </c>
      <c r="E1087">
        <v>0</v>
      </c>
      <c r="F1087">
        <v>0</v>
      </c>
    </row>
    <row r="1088" spans="1:6" x14ac:dyDescent="0.35">
      <c r="A1088" s="8">
        <v>42095</v>
      </c>
      <c r="B1088" s="71">
        <v>0.25</v>
      </c>
      <c r="C1088">
        <v>8.1999999999999993</v>
      </c>
      <c r="D1088">
        <v>0</v>
      </c>
      <c r="E1088">
        <v>0</v>
      </c>
      <c r="F1088">
        <v>0</v>
      </c>
    </row>
    <row r="1089" spans="1:6" x14ac:dyDescent="0.35">
      <c r="A1089" s="8">
        <v>42095</v>
      </c>
      <c r="B1089" s="71">
        <v>0.29166666666666669</v>
      </c>
      <c r="C1089">
        <v>8</v>
      </c>
      <c r="D1089">
        <v>0</v>
      </c>
      <c r="E1089">
        <v>0</v>
      </c>
      <c r="F1089">
        <v>0</v>
      </c>
    </row>
    <row r="1090" spans="1:6" x14ac:dyDescent="0.35">
      <c r="A1090" s="8">
        <v>42095</v>
      </c>
      <c r="B1090" s="71">
        <v>0.33333333333333331</v>
      </c>
      <c r="C1090">
        <v>8</v>
      </c>
      <c r="D1090">
        <v>0</v>
      </c>
      <c r="E1090">
        <v>0</v>
      </c>
      <c r="F1090">
        <v>1</v>
      </c>
    </row>
    <row r="1091" spans="1:6" x14ac:dyDescent="0.35">
      <c r="A1091" s="8">
        <v>42095</v>
      </c>
      <c r="B1091" s="71">
        <v>0.375</v>
      </c>
      <c r="C1091">
        <v>8.4</v>
      </c>
      <c r="D1091">
        <v>0</v>
      </c>
      <c r="E1091">
        <v>28</v>
      </c>
      <c r="F1091">
        <v>29</v>
      </c>
    </row>
    <row r="1092" spans="1:6" x14ac:dyDescent="0.35">
      <c r="A1092" s="8">
        <v>42095</v>
      </c>
      <c r="B1092" s="71">
        <v>0.41666666666666669</v>
      </c>
      <c r="C1092">
        <v>9.6</v>
      </c>
      <c r="D1092">
        <v>0</v>
      </c>
      <c r="E1092">
        <v>86</v>
      </c>
      <c r="F1092">
        <v>88</v>
      </c>
    </row>
    <row r="1093" spans="1:6" x14ac:dyDescent="0.35">
      <c r="A1093" s="8">
        <v>42095</v>
      </c>
      <c r="B1093" s="71">
        <v>0.45833333333333331</v>
      </c>
      <c r="C1093">
        <v>10.5</v>
      </c>
      <c r="D1093">
        <v>0</v>
      </c>
      <c r="E1093">
        <v>207</v>
      </c>
      <c r="F1093">
        <v>106</v>
      </c>
    </row>
    <row r="1094" spans="1:6" x14ac:dyDescent="0.35">
      <c r="A1094" s="8">
        <v>42095</v>
      </c>
      <c r="B1094" s="71">
        <v>0.5</v>
      </c>
      <c r="C1094">
        <v>11.2</v>
      </c>
      <c r="D1094">
        <v>0</v>
      </c>
      <c r="E1094">
        <v>180</v>
      </c>
      <c r="F1094">
        <v>214</v>
      </c>
    </row>
    <row r="1095" spans="1:6" x14ac:dyDescent="0.35">
      <c r="A1095" s="8">
        <v>42095</v>
      </c>
      <c r="B1095" s="71">
        <v>0.54166666666666663</v>
      </c>
      <c r="C1095">
        <v>11.5</v>
      </c>
      <c r="D1095">
        <v>0</v>
      </c>
      <c r="E1095">
        <v>87</v>
      </c>
      <c r="F1095">
        <v>273</v>
      </c>
    </row>
    <row r="1096" spans="1:6" x14ac:dyDescent="0.35">
      <c r="A1096" s="8">
        <v>42095</v>
      </c>
      <c r="B1096" s="71">
        <v>0.58333333333333337</v>
      </c>
      <c r="C1096">
        <v>11.7</v>
      </c>
      <c r="D1096">
        <v>0</v>
      </c>
      <c r="E1096">
        <v>51</v>
      </c>
      <c r="F1096">
        <v>259</v>
      </c>
    </row>
    <row r="1097" spans="1:6" x14ac:dyDescent="0.35">
      <c r="A1097" s="8">
        <v>42095</v>
      </c>
      <c r="B1097" s="71">
        <v>0.625</v>
      </c>
      <c r="C1097">
        <v>11.6</v>
      </c>
      <c r="D1097">
        <v>0</v>
      </c>
      <c r="E1097">
        <v>0</v>
      </c>
      <c r="F1097">
        <v>243</v>
      </c>
    </row>
    <row r="1098" spans="1:6" x14ac:dyDescent="0.35">
      <c r="A1098" s="8">
        <v>42095</v>
      </c>
      <c r="B1098" s="71">
        <v>0.66666666666666663</v>
      </c>
      <c r="C1098">
        <v>11.9</v>
      </c>
      <c r="D1098">
        <v>0</v>
      </c>
      <c r="E1098">
        <v>58</v>
      </c>
      <c r="F1098">
        <v>262</v>
      </c>
    </row>
    <row r="1099" spans="1:6" x14ac:dyDescent="0.35">
      <c r="A1099" s="8">
        <v>42095</v>
      </c>
      <c r="B1099" s="71">
        <v>0.70833333333333337</v>
      </c>
      <c r="C1099">
        <v>11.8</v>
      </c>
      <c r="D1099">
        <v>0</v>
      </c>
      <c r="E1099">
        <v>37</v>
      </c>
      <c r="F1099">
        <v>236</v>
      </c>
    </row>
    <row r="1100" spans="1:6" x14ac:dyDescent="0.35">
      <c r="A1100" s="8">
        <v>42095</v>
      </c>
      <c r="B1100" s="71">
        <v>0.75</v>
      </c>
      <c r="C1100">
        <v>11.6</v>
      </c>
      <c r="D1100">
        <v>0</v>
      </c>
      <c r="E1100">
        <v>59</v>
      </c>
      <c r="F1100">
        <v>167</v>
      </c>
    </row>
    <row r="1101" spans="1:6" x14ac:dyDescent="0.35">
      <c r="A1101" s="8">
        <v>42095</v>
      </c>
      <c r="B1101" s="71">
        <v>0.79166666666666663</v>
      </c>
      <c r="C1101">
        <v>11.1</v>
      </c>
      <c r="D1101">
        <v>0</v>
      </c>
      <c r="E1101">
        <v>80</v>
      </c>
      <c r="F1101">
        <v>108</v>
      </c>
    </row>
    <row r="1102" spans="1:6" x14ac:dyDescent="0.35">
      <c r="A1102" s="8">
        <v>42095</v>
      </c>
      <c r="B1102" s="71">
        <v>0.83333333333333337</v>
      </c>
      <c r="C1102">
        <v>10.4</v>
      </c>
      <c r="D1102">
        <v>0</v>
      </c>
      <c r="E1102">
        <v>38</v>
      </c>
      <c r="F1102">
        <v>44</v>
      </c>
    </row>
    <row r="1103" spans="1:6" x14ac:dyDescent="0.35">
      <c r="A1103" s="8">
        <v>42095</v>
      </c>
      <c r="B1103" s="71">
        <v>0.875</v>
      </c>
      <c r="C1103">
        <v>9.5</v>
      </c>
      <c r="D1103">
        <v>0</v>
      </c>
      <c r="E1103">
        <v>2</v>
      </c>
      <c r="F1103">
        <v>5</v>
      </c>
    </row>
    <row r="1104" spans="1:6" x14ac:dyDescent="0.35">
      <c r="A1104" s="8">
        <v>42095</v>
      </c>
      <c r="B1104" s="71">
        <v>0.91666666666666663</v>
      </c>
      <c r="C1104">
        <v>8.4</v>
      </c>
      <c r="D1104">
        <v>0</v>
      </c>
      <c r="E1104">
        <v>0</v>
      </c>
      <c r="F1104">
        <v>0</v>
      </c>
    </row>
    <row r="1105" spans="1:6" x14ac:dyDescent="0.35">
      <c r="A1105" s="8">
        <v>42095</v>
      </c>
      <c r="B1105" s="71">
        <v>0.95833333333333337</v>
      </c>
      <c r="C1105">
        <v>7.5</v>
      </c>
      <c r="D1105">
        <v>0</v>
      </c>
      <c r="E1105">
        <v>0</v>
      </c>
      <c r="F1105">
        <v>0</v>
      </c>
    </row>
    <row r="1106" spans="1:6" x14ac:dyDescent="0.35">
      <c r="A1106" s="8">
        <v>42096</v>
      </c>
      <c r="B1106" s="71">
        <v>0</v>
      </c>
      <c r="C1106">
        <v>6.6</v>
      </c>
      <c r="D1106">
        <v>0</v>
      </c>
      <c r="E1106">
        <v>0</v>
      </c>
      <c r="F1106">
        <v>0</v>
      </c>
    </row>
    <row r="1107" spans="1:6" x14ac:dyDescent="0.35">
      <c r="A1107" s="8">
        <v>42096</v>
      </c>
      <c r="B1107" s="71">
        <v>4.1666666666666664E-2</v>
      </c>
      <c r="C1107">
        <v>5.8</v>
      </c>
      <c r="D1107">
        <v>0</v>
      </c>
      <c r="E1107">
        <v>0</v>
      </c>
      <c r="F1107">
        <v>0</v>
      </c>
    </row>
    <row r="1108" spans="1:6" x14ac:dyDescent="0.35">
      <c r="A1108" s="8">
        <v>42096</v>
      </c>
      <c r="B1108" s="71">
        <v>8.3333333333333329E-2</v>
      </c>
      <c r="C1108">
        <v>5.2</v>
      </c>
      <c r="D1108">
        <v>0</v>
      </c>
      <c r="E1108">
        <v>0</v>
      </c>
      <c r="F1108">
        <v>0</v>
      </c>
    </row>
    <row r="1109" spans="1:6" x14ac:dyDescent="0.35">
      <c r="A1109" s="8">
        <v>42096</v>
      </c>
      <c r="B1109" s="71">
        <v>0.125</v>
      </c>
      <c r="C1109">
        <v>5</v>
      </c>
      <c r="D1109">
        <v>0</v>
      </c>
      <c r="E1109">
        <v>0</v>
      </c>
      <c r="F1109">
        <v>0</v>
      </c>
    </row>
    <row r="1110" spans="1:6" x14ac:dyDescent="0.35">
      <c r="A1110" s="8">
        <v>42096</v>
      </c>
      <c r="B1110" s="71">
        <v>0.16666666666666666</v>
      </c>
      <c r="C1110">
        <v>4.5999999999999996</v>
      </c>
      <c r="D1110">
        <v>0</v>
      </c>
      <c r="E1110">
        <v>0</v>
      </c>
      <c r="F1110">
        <v>0</v>
      </c>
    </row>
    <row r="1111" spans="1:6" x14ac:dyDescent="0.35">
      <c r="A1111" s="8">
        <v>42096</v>
      </c>
      <c r="B1111" s="71">
        <v>0.20833333333333334</v>
      </c>
      <c r="C1111">
        <v>4.5999999999999996</v>
      </c>
      <c r="D1111">
        <v>0</v>
      </c>
      <c r="E1111">
        <v>0</v>
      </c>
      <c r="F1111">
        <v>0</v>
      </c>
    </row>
    <row r="1112" spans="1:6" x14ac:dyDescent="0.35">
      <c r="A1112" s="8">
        <v>42096</v>
      </c>
      <c r="B1112" s="71">
        <v>0.25</v>
      </c>
      <c r="C1112">
        <v>4.3</v>
      </c>
      <c r="D1112">
        <v>0</v>
      </c>
      <c r="E1112">
        <v>0</v>
      </c>
      <c r="F1112">
        <v>0</v>
      </c>
    </row>
    <row r="1113" spans="1:6" x14ac:dyDescent="0.35">
      <c r="A1113" s="8">
        <v>42096</v>
      </c>
      <c r="B1113" s="71">
        <v>0.29166666666666669</v>
      </c>
      <c r="C1113">
        <v>4.4000000000000004</v>
      </c>
      <c r="D1113">
        <v>0</v>
      </c>
      <c r="E1113">
        <v>0</v>
      </c>
      <c r="F1113">
        <v>0</v>
      </c>
    </row>
    <row r="1114" spans="1:6" x14ac:dyDescent="0.35">
      <c r="A1114" s="8">
        <v>42096</v>
      </c>
      <c r="B1114" s="71">
        <v>0.33333333333333331</v>
      </c>
      <c r="C1114">
        <v>4.5999999999999996</v>
      </c>
      <c r="D1114">
        <v>0</v>
      </c>
      <c r="E1114">
        <v>0</v>
      </c>
      <c r="F1114">
        <v>2</v>
      </c>
    </row>
    <row r="1115" spans="1:6" x14ac:dyDescent="0.35">
      <c r="A1115" s="8">
        <v>42096</v>
      </c>
      <c r="B1115" s="71">
        <v>0.375</v>
      </c>
      <c r="C1115">
        <v>7.1</v>
      </c>
      <c r="D1115">
        <v>0</v>
      </c>
      <c r="E1115">
        <v>1</v>
      </c>
      <c r="F1115">
        <v>34</v>
      </c>
    </row>
    <row r="1116" spans="1:6" x14ac:dyDescent="0.35">
      <c r="A1116" s="8">
        <v>42096</v>
      </c>
      <c r="B1116" s="71">
        <v>0.41666666666666669</v>
      </c>
      <c r="C1116">
        <v>9</v>
      </c>
      <c r="D1116">
        <v>0</v>
      </c>
      <c r="E1116">
        <v>14</v>
      </c>
      <c r="F1116">
        <v>84</v>
      </c>
    </row>
    <row r="1117" spans="1:6" x14ac:dyDescent="0.35">
      <c r="A1117" s="8">
        <v>42096</v>
      </c>
      <c r="B1117" s="71">
        <v>0.45833333333333331</v>
      </c>
      <c r="C1117">
        <v>10.5</v>
      </c>
      <c r="D1117">
        <v>0</v>
      </c>
      <c r="E1117">
        <v>56</v>
      </c>
      <c r="F1117">
        <v>170</v>
      </c>
    </row>
    <row r="1118" spans="1:6" x14ac:dyDescent="0.35">
      <c r="A1118" s="8">
        <v>42096</v>
      </c>
      <c r="B1118" s="71">
        <v>0.5</v>
      </c>
      <c r="C1118">
        <v>11</v>
      </c>
      <c r="D1118">
        <v>0</v>
      </c>
      <c r="E1118">
        <v>12</v>
      </c>
      <c r="F1118">
        <v>230</v>
      </c>
    </row>
    <row r="1119" spans="1:6" x14ac:dyDescent="0.35">
      <c r="A1119" s="8">
        <v>42096</v>
      </c>
      <c r="B1119" s="71">
        <v>0.54166666666666663</v>
      </c>
      <c r="C1119">
        <v>11.8</v>
      </c>
      <c r="D1119">
        <v>0</v>
      </c>
      <c r="E1119">
        <v>80</v>
      </c>
      <c r="F1119">
        <v>283</v>
      </c>
    </row>
    <row r="1120" spans="1:6" x14ac:dyDescent="0.35">
      <c r="A1120" s="8">
        <v>42096</v>
      </c>
      <c r="B1120" s="71">
        <v>0.58333333333333337</v>
      </c>
      <c r="C1120">
        <v>12.4</v>
      </c>
      <c r="D1120">
        <v>0</v>
      </c>
      <c r="E1120">
        <v>49</v>
      </c>
      <c r="F1120">
        <v>354</v>
      </c>
    </row>
    <row r="1121" spans="1:6" x14ac:dyDescent="0.35">
      <c r="A1121" s="8">
        <v>42096</v>
      </c>
      <c r="B1121" s="71">
        <v>0.625</v>
      </c>
      <c r="C1121">
        <v>12.8</v>
      </c>
      <c r="D1121">
        <v>0</v>
      </c>
      <c r="E1121">
        <v>105</v>
      </c>
      <c r="F1121">
        <v>312</v>
      </c>
    </row>
    <row r="1122" spans="1:6" x14ac:dyDescent="0.35">
      <c r="A1122" s="8">
        <v>42096</v>
      </c>
      <c r="B1122" s="71">
        <v>0.66666666666666663</v>
      </c>
      <c r="C1122">
        <v>13</v>
      </c>
      <c r="D1122">
        <v>0</v>
      </c>
      <c r="E1122">
        <v>119</v>
      </c>
      <c r="F1122">
        <v>327</v>
      </c>
    </row>
    <row r="1123" spans="1:6" x14ac:dyDescent="0.35">
      <c r="A1123" s="8">
        <v>42096</v>
      </c>
      <c r="B1123" s="71">
        <v>0.70833333333333337</v>
      </c>
      <c r="C1123">
        <v>12.9</v>
      </c>
      <c r="D1123">
        <v>0</v>
      </c>
      <c r="E1123">
        <v>132</v>
      </c>
      <c r="F1123">
        <v>242</v>
      </c>
    </row>
    <row r="1124" spans="1:6" x14ac:dyDescent="0.35">
      <c r="A1124" s="8">
        <v>42096</v>
      </c>
      <c r="B1124" s="71">
        <v>0.75</v>
      </c>
      <c r="C1124">
        <v>12.2</v>
      </c>
      <c r="D1124">
        <v>0</v>
      </c>
      <c r="E1124">
        <v>46</v>
      </c>
      <c r="F1124">
        <v>154</v>
      </c>
    </row>
    <row r="1125" spans="1:6" x14ac:dyDescent="0.35">
      <c r="A1125" s="8">
        <v>42096</v>
      </c>
      <c r="B1125" s="71">
        <v>0.79166666666666663</v>
      </c>
      <c r="C1125">
        <v>11.7</v>
      </c>
      <c r="D1125">
        <v>0</v>
      </c>
      <c r="E1125">
        <v>39</v>
      </c>
      <c r="F1125">
        <v>96</v>
      </c>
    </row>
    <row r="1126" spans="1:6" x14ac:dyDescent="0.35">
      <c r="A1126" s="8">
        <v>42096</v>
      </c>
      <c r="B1126" s="71">
        <v>0.83333333333333337</v>
      </c>
      <c r="C1126">
        <v>11.1</v>
      </c>
      <c r="D1126">
        <v>0</v>
      </c>
      <c r="E1126">
        <v>17</v>
      </c>
      <c r="F1126">
        <v>53</v>
      </c>
    </row>
    <row r="1127" spans="1:6" x14ac:dyDescent="0.35">
      <c r="A1127" s="8">
        <v>42096</v>
      </c>
      <c r="B1127" s="71">
        <v>0.875</v>
      </c>
      <c r="C1127">
        <v>10.199999999999999</v>
      </c>
      <c r="D1127">
        <v>0</v>
      </c>
      <c r="E1127">
        <v>2</v>
      </c>
      <c r="F1127">
        <v>4</v>
      </c>
    </row>
    <row r="1128" spans="1:6" x14ac:dyDescent="0.35">
      <c r="A1128" s="8">
        <v>42096</v>
      </c>
      <c r="B1128" s="71">
        <v>0.91666666666666663</v>
      </c>
      <c r="C1128">
        <v>9.3000000000000007</v>
      </c>
      <c r="D1128">
        <v>0</v>
      </c>
      <c r="E1128">
        <v>0</v>
      </c>
      <c r="F1128">
        <v>0</v>
      </c>
    </row>
    <row r="1129" spans="1:6" x14ac:dyDescent="0.35">
      <c r="A1129" s="8">
        <v>42096</v>
      </c>
      <c r="B1129" s="71">
        <v>0.95833333333333337</v>
      </c>
      <c r="C1129">
        <v>8.6</v>
      </c>
      <c r="D1129">
        <v>0</v>
      </c>
      <c r="E1129">
        <v>0</v>
      </c>
      <c r="F1129">
        <v>0</v>
      </c>
    </row>
    <row r="1130" spans="1:6" x14ac:dyDescent="0.35">
      <c r="A1130" s="8">
        <v>42097</v>
      </c>
      <c r="B1130" s="71">
        <v>0</v>
      </c>
      <c r="C1130">
        <v>8.1</v>
      </c>
      <c r="D1130">
        <v>0</v>
      </c>
      <c r="E1130">
        <v>0</v>
      </c>
      <c r="F1130">
        <v>0</v>
      </c>
    </row>
    <row r="1131" spans="1:6" x14ac:dyDescent="0.35">
      <c r="A1131" s="8">
        <v>42097</v>
      </c>
      <c r="B1131" s="71">
        <v>4.1666666666666664E-2</v>
      </c>
      <c r="C1131">
        <v>7.4</v>
      </c>
      <c r="D1131">
        <v>0</v>
      </c>
      <c r="E1131">
        <v>0</v>
      </c>
      <c r="F1131">
        <v>0</v>
      </c>
    </row>
    <row r="1132" spans="1:6" x14ac:dyDescent="0.35">
      <c r="A1132" s="8">
        <v>42097</v>
      </c>
      <c r="B1132" s="71">
        <v>8.3333333333333329E-2</v>
      </c>
      <c r="C1132">
        <v>7.1</v>
      </c>
      <c r="D1132">
        <v>0</v>
      </c>
      <c r="E1132">
        <v>0</v>
      </c>
      <c r="F1132">
        <v>0</v>
      </c>
    </row>
    <row r="1133" spans="1:6" x14ac:dyDescent="0.35">
      <c r="A1133" s="8">
        <v>42097</v>
      </c>
      <c r="B1133" s="71">
        <v>0.125</v>
      </c>
      <c r="C1133">
        <v>6.9</v>
      </c>
      <c r="D1133">
        <v>0</v>
      </c>
      <c r="E1133">
        <v>0</v>
      </c>
      <c r="F1133">
        <v>0</v>
      </c>
    </row>
    <row r="1134" spans="1:6" x14ac:dyDescent="0.35">
      <c r="A1134" s="8">
        <v>42097</v>
      </c>
      <c r="B1134" s="71">
        <v>0.16666666666666666</v>
      </c>
      <c r="C1134">
        <v>6.2</v>
      </c>
      <c r="D1134">
        <v>0</v>
      </c>
      <c r="E1134">
        <v>0</v>
      </c>
      <c r="F1134">
        <v>0</v>
      </c>
    </row>
    <row r="1135" spans="1:6" x14ac:dyDescent="0.35">
      <c r="A1135" s="8">
        <v>42097</v>
      </c>
      <c r="B1135" s="71">
        <v>0.20833333333333334</v>
      </c>
      <c r="C1135">
        <v>6.1</v>
      </c>
      <c r="D1135">
        <v>0</v>
      </c>
      <c r="E1135">
        <v>0</v>
      </c>
      <c r="F1135">
        <v>0</v>
      </c>
    </row>
    <row r="1136" spans="1:6" x14ac:dyDescent="0.35">
      <c r="A1136" s="8">
        <v>42097</v>
      </c>
      <c r="B1136" s="71">
        <v>0.25</v>
      </c>
      <c r="C1136">
        <v>6.3</v>
      </c>
      <c r="D1136">
        <v>0</v>
      </c>
      <c r="E1136">
        <v>0</v>
      </c>
      <c r="F1136">
        <v>0</v>
      </c>
    </row>
    <row r="1137" spans="1:6" x14ac:dyDescent="0.35">
      <c r="A1137" s="8">
        <v>42097</v>
      </c>
      <c r="B1137" s="71">
        <v>0.29166666666666669</v>
      </c>
      <c r="C1137">
        <v>6.2</v>
      </c>
      <c r="D1137">
        <v>0</v>
      </c>
      <c r="E1137">
        <v>0</v>
      </c>
      <c r="F1137">
        <v>0</v>
      </c>
    </row>
    <row r="1138" spans="1:6" x14ac:dyDescent="0.35">
      <c r="A1138" s="8">
        <v>42097</v>
      </c>
      <c r="B1138" s="71">
        <v>0.33333333333333331</v>
      </c>
      <c r="C1138">
        <v>5.4</v>
      </c>
      <c r="D1138">
        <v>0</v>
      </c>
      <c r="E1138">
        <v>0</v>
      </c>
      <c r="F1138">
        <v>2</v>
      </c>
    </row>
    <row r="1139" spans="1:6" x14ac:dyDescent="0.35">
      <c r="A1139" s="8">
        <v>42097</v>
      </c>
      <c r="B1139" s="71">
        <v>0.375</v>
      </c>
      <c r="C1139">
        <v>7.4</v>
      </c>
      <c r="D1139">
        <v>0</v>
      </c>
      <c r="E1139">
        <v>9</v>
      </c>
      <c r="F1139">
        <v>37</v>
      </c>
    </row>
    <row r="1140" spans="1:6" x14ac:dyDescent="0.35">
      <c r="A1140" s="8">
        <v>42097</v>
      </c>
      <c r="B1140" s="71">
        <v>0.41666666666666669</v>
      </c>
      <c r="C1140">
        <v>9</v>
      </c>
      <c r="D1140">
        <v>0</v>
      </c>
      <c r="E1140">
        <v>8</v>
      </c>
      <c r="F1140">
        <v>90</v>
      </c>
    </row>
    <row r="1141" spans="1:6" x14ac:dyDescent="0.35">
      <c r="A1141" s="8">
        <v>42097</v>
      </c>
      <c r="B1141" s="71">
        <v>0.45833333333333331</v>
      </c>
      <c r="C1141">
        <v>10.199999999999999</v>
      </c>
      <c r="D1141">
        <v>0</v>
      </c>
      <c r="E1141">
        <v>17</v>
      </c>
      <c r="F1141">
        <v>168</v>
      </c>
    </row>
    <row r="1142" spans="1:6" x14ac:dyDescent="0.35">
      <c r="A1142" s="8">
        <v>42097</v>
      </c>
      <c r="B1142" s="71">
        <v>0.5</v>
      </c>
      <c r="C1142">
        <v>10.7</v>
      </c>
      <c r="D1142">
        <v>0</v>
      </c>
      <c r="E1142">
        <v>5</v>
      </c>
      <c r="F1142">
        <v>208</v>
      </c>
    </row>
    <row r="1143" spans="1:6" x14ac:dyDescent="0.35">
      <c r="A1143" s="8">
        <v>42097</v>
      </c>
      <c r="B1143" s="71">
        <v>0.54166666666666663</v>
      </c>
      <c r="C1143">
        <v>11.2</v>
      </c>
      <c r="D1143">
        <v>0</v>
      </c>
      <c r="E1143">
        <v>16</v>
      </c>
      <c r="F1143">
        <v>228</v>
      </c>
    </row>
    <row r="1144" spans="1:6" x14ac:dyDescent="0.35">
      <c r="A1144" s="8">
        <v>42097</v>
      </c>
      <c r="B1144" s="71">
        <v>0.58333333333333337</v>
      </c>
      <c r="C1144">
        <v>11.6</v>
      </c>
      <c r="D1144">
        <v>0</v>
      </c>
      <c r="E1144">
        <v>11</v>
      </c>
      <c r="F1144">
        <v>270</v>
      </c>
    </row>
    <row r="1145" spans="1:6" x14ac:dyDescent="0.35">
      <c r="A1145" s="8">
        <v>42097</v>
      </c>
      <c r="B1145" s="71">
        <v>0.625</v>
      </c>
      <c r="C1145">
        <v>11.8</v>
      </c>
      <c r="D1145">
        <v>0</v>
      </c>
      <c r="E1145">
        <v>15</v>
      </c>
      <c r="F1145">
        <v>270</v>
      </c>
    </row>
    <row r="1146" spans="1:6" x14ac:dyDescent="0.35">
      <c r="A1146" s="8">
        <v>42097</v>
      </c>
      <c r="B1146" s="71">
        <v>0.66666666666666663</v>
      </c>
      <c r="C1146">
        <v>12.2</v>
      </c>
      <c r="D1146">
        <v>0</v>
      </c>
      <c r="E1146">
        <v>31</v>
      </c>
      <c r="F1146">
        <v>271</v>
      </c>
    </row>
    <row r="1147" spans="1:6" x14ac:dyDescent="0.35">
      <c r="A1147" s="8">
        <v>42097</v>
      </c>
      <c r="B1147" s="71">
        <v>0.70833333333333337</v>
      </c>
      <c r="C1147">
        <v>11.9</v>
      </c>
      <c r="D1147">
        <v>0</v>
      </c>
      <c r="E1147">
        <v>8</v>
      </c>
      <c r="F1147">
        <v>184</v>
      </c>
    </row>
    <row r="1148" spans="1:6" x14ac:dyDescent="0.35">
      <c r="A1148" s="8">
        <v>42097</v>
      </c>
      <c r="B1148" s="71">
        <v>0.75</v>
      </c>
      <c r="C1148">
        <v>11.8</v>
      </c>
      <c r="D1148">
        <v>0</v>
      </c>
      <c r="E1148">
        <v>5</v>
      </c>
      <c r="F1148">
        <v>143</v>
      </c>
    </row>
    <row r="1149" spans="1:6" x14ac:dyDescent="0.35">
      <c r="A1149" s="8">
        <v>42097</v>
      </c>
      <c r="B1149" s="71">
        <v>0.79166666666666663</v>
      </c>
      <c r="C1149">
        <v>11.4</v>
      </c>
      <c r="D1149">
        <v>0</v>
      </c>
      <c r="E1149">
        <v>2</v>
      </c>
      <c r="F1149">
        <v>73</v>
      </c>
    </row>
    <row r="1150" spans="1:6" x14ac:dyDescent="0.35">
      <c r="A1150" s="8">
        <v>42097</v>
      </c>
      <c r="B1150" s="71">
        <v>0.83333333333333337</v>
      </c>
      <c r="C1150">
        <v>10.9</v>
      </c>
      <c r="D1150">
        <v>0</v>
      </c>
      <c r="E1150">
        <v>0</v>
      </c>
      <c r="F1150">
        <v>28</v>
      </c>
    </row>
    <row r="1151" spans="1:6" x14ac:dyDescent="0.35">
      <c r="A1151" s="8">
        <v>42097</v>
      </c>
      <c r="B1151" s="71">
        <v>0.875</v>
      </c>
      <c r="C1151">
        <v>10.8</v>
      </c>
      <c r="D1151">
        <v>0</v>
      </c>
      <c r="E1151">
        <v>0</v>
      </c>
      <c r="F1151">
        <v>2</v>
      </c>
    </row>
    <row r="1152" spans="1:6" x14ac:dyDescent="0.35">
      <c r="A1152" s="8">
        <v>42097</v>
      </c>
      <c r="B1152" s="71">
        <v>0.91666666666666663</v>
      </c>
      <c r="C1152">
        <v>10.7</v>
      </c>
      <c r="D1152">
        <v>0</v>
      </c>
      <c r="E1152">
        <v>0</v>
      </c>
      <c r="F1152">
        <v>0</v>
      </c>
    </row>
    <row r="1153" spans="1:6" x14ac:dyDescent="0.35">
      <c r="A1153" s="8">
        <v>42097</v>
      </c>
      <c r="B1153" s="71">
        <v>0.95833333333333337</v>
      </c>
      <c r="C1153">
        <v>10.1</v>
      </c>
      <c r="D1153">
        <v>0</v>
      </c>
      <c r="E1153">
        <v>0</v>
      </c>
      <c r="F1153">
        <v>0</v>
      </c>
    </row>
    <row r="1154" spans="1:6" x14ac:dyDescent="0.35">
      <c r="A1154" s="8">
        <v>42098</v>
      </c>
      <c r="B1154" s="71">
        <v>0</v>
      </c>
      <c r="C1154">
        <v>9.5</v>
      </c>
      <c r="D1154">
        <v>0</v>
      </c>
      <c r="E1154">
        <v>0</v>
      </c>
      <c r="F1154">
        <v>0</v>
      </c>
    </row>
    <row r="1155" spans="1:6" x14ac:dyDescent="0.35">
      <c r="A1155" s="8">
        <v>42098</v>
      </c>
      <c r="B1155" s="71">
        <v>4.1666666666666664E-2</v>
      </c>
      <c r="C1155">
        <v>8.6999999999999993</v>
      </c>
      <c r="D1155">
        <v>0</v>
      </c>
      <c r="E1155">
        <v>0</v>
      </c>
      <c r="F1155">
        <v>0</v>
      </c>
    </row>
    <row r="1156" spans="1:6" x14ac:dyDescent="0.35">
      <c r="A1156" s="8">
        <v>42098</v>
      </c>
      <c r="B1156" s="71">
        <v>8.3333333333333329E-2</v>
      </c>
      <c r="C1156">
        <v>8.1999999999999993</v>
      </c>
      <c r="D1156">
        <v>0</v>
      </c>
      <c r="E1156">
        <v>0</v>
      </c>
      <c r="F1156">
        <v>0</v>
      </c>
    </row>
    <row r="1157" spans="1:6" x14ac:dyDescent="0.35">
      <c r="A1157" s="8">
        <v>42098</v>
      </c>
      <c r="B1157" s="71">
        <v>0.125</v>
      </c>
      <c r="C1157">
        <v>8.4</v>
      </c>
      <c r="D1157">
        <v>0</v>
      </c>
      <c r="E1157">
        <v>0</v>
      </c>
      <c r="F1157">
        <v>0</v>
      </c>
    </row>
    <row r="1158" spans="1:6" x14ac:dyDescent="0.35">
      <c r="A1158" s="8">
        <v>42098</v>
      </c>
      <c r="B1158" s="71">
        <v>0.16666666666666666</v>
      </c>
      <c r="C1158">
        <v>8.1999999999999993</v>
      </c>
      <c r="D1158">
        <v>0</v>
      </c>
      <c r="E1158">
        <v>0</v>
      </c>
      <c r="F1158">
        <v>0</v>
      </c>
    </row>
    <row r="1159" spans="1:6" x14ac:dyDescent="0.35">
      <c r="A1159" s="8">
        <v>42098</v>
      </c>
      <c r="B1159" s="71">
        <v>0.20833333333333334</v>
      </c>
      <c r="C1159">
        <v>8.1999999999999993</v>
      </c>
      <c r="D1159">
        <v>0</v>
      </c>
      <c r="E1159">
        <v>0</v>
      </c>
      <c r="F1159">
        <v>0</v>
      </c>
    </row>
    <row r="1160" spans="1:6" x14ac:dyDescent="0.35">
      <c r="A1160" s="8">
        <v>42098</v>
      </c>
      <c r="B1160" s="71">
        <v>0.25</v>
      </c>
      <c r="C1160">
        <v>8.1999999999999993</v>
      </c>
      <c r="D1160">
        <v>0</v>
      </c>
      <c r="E1160">
        <v>0</v>
      </c>
      <c r="F1160">
        <v>0</v>
      </c>
    </row>
    <row r="1161" spans="1:6" x14ac:dyDescent="0.35">
      <c r="A1161" s="8">
        <v>42098</v>
      </c>
      <c r="B1161" s="71">
        <v>0.29166666666666669</v>
      </c>
      <c r="C1161">
        <v>8</v>
      </c>
      <c r="D1161">
        <v>0</v>
      </c>
      <c r="E1161">
        <v>0</v>
      </c>
      <c r="F1161">
        <v>0</v>
      </c>
    </row>
    <row r="1162" spans="1:6" x14ac:dyDescent="0.35">
      <c r="A1162" s="8">
        <v>42098</v>
      </c>
      <c r="B1162" s="71">
        <v>0.33333333333333331</v>
      </c>
      <c r="C1162">
        <v>8.1</v>
      </c>
      <c r="D1162">
        <v>0</v>
      </c>
      <c r="E1162">
        <v>0</v>
      </c>
      <c r="F1162">
        <v>2</v>
      </c>
    </row>
    <row r="1163" spans="1:6" x14ac:dyDescent="0.35">
      <c r="A1163" s="8">
        <v>42098</v>
      </c>
      <c r="B1163" s="71">
        <v>0.375</v>
      </c>
      <c r="C1163">
        <v>8.6999999999999993</v>
      </c>
      <c r="D1163">
        <v>0</v>
      </c>
      <c r="E1163">
        <v>2</v>
      </c>
      <c r="F1163">
        <v>30</v>
      </c>
    </row>
    <row r="1164" spans="1:6" x14ac:dyDescent="0.35">
      <c r="A1164" s="8">
        <v>42098</v>
      </c>
      <c r="B1164" s="71">
        <v>0.41666666666666669</v>
      </c>
      <c r="C1164">
        <v>9.8000000000000007</v>
      </c>
      <c r="D1164">
        <v>0.2</v>
      </c>
      <c r="E1164">
        <v>23</v>
      </c>
      <c r="F1164">
        <v>93</v>
      </c>
    </row>
    <row r="1165" spans="1:6" x14ac:dyDescent="0.35">
      <c r="A1165" s="8">
        <v>42098</v>
      </c>
      <c r="B1165" s="71">
        <v>0.45833333333333331</v>
      </c>
      <c r="C1165">
        <v>11</v>
      </c>
      <c r="D1165">
        <v>0.1</v>
      </c>
      <c r="E1165">
        <v>174</v>
      </c>
      <c r="F1165">
        <v>128</v>
      </c>
    </row>
    <row r="1166" spans="1:6" x14ac:dyDescent="0.35">
      <c r="A1166" s="8">
        <v>42098</v>
      </c>
      <c r="B1166" s="71">
        <v>0.5</v>
      </c>
      <c r="C1166">
        <v>12.4</v>
      </c>
      <c r="D1166">
        <v>0.2</v>
      </c>
      <c r="E1166">
        <v>259</v>
      </c>
      <c r="F1166">
        <v>150</v>
      </c>
    </row>
    <row r="1167" spans="1:6" x14ac:dyDescent="0.35">
      <c r="A1167" s="8">
        <v>42098</v>
      </c>
      <c r="B1167" s="71">
        <v>0.54166666666666663</v>
      </c>
      <c r="C1167">
        <v>13.1</v>
      </c>
      <c r="D1167">
        <v>0.2</v>
      </c>
      <c r="E1167">
        <v>178</v>
      </c>
      <c r="F1167">
        <v>229</v>
      </c>
    </row>
    <row r="1168" spans="1:6" x14ac:dyDescent="0.35">
      <c r="A1168" s="8">
        <v>42098</v>
      </c>
      <c r="B1168" s="71">
        <v>0.58333333333333337</v>
      </c>
      <c r="C1168">
        <v>13.4</v>
      </c>
      <c r="D1168">
        <v>0</v>
      </c>
      <c r="E1168">
        <v>124</v>
      </c>
      <c r="F1168">
        <v>239</v>
      </c>
    </row>
    <row r="1169" spans="1:6" x14ac:dyDescent="0.35">
      <c r="A1169" s="8">
        <v>42098</v>
      </c>
      <c r="B1169" s="71">
        <v>0.625</v>
      </c>
      <c r="C1169">
        <v>14.2</v>
      </c>
      <c r="D1169">
        <v>0</v>
      </c>
      <c r="E1169">
        <v>151</v>
      </c>
      <c r="F1169">
        <v>310</v>
      </c>
    </row>
    <row r="1170" spans="1:6" x14ac:dyDescent="0.35">
      <c r="A1170" s="8">
        <v>42098</v>
      </c>
      <c r="B1170" s="71">
        <v>0.66666666666666663</v>
      </c>
      <c r="C1170">
        <v>14.3</v>
      </c>
      <c r="D1170">
        <v>0</v>
      </c>
      <c r="E1170">
        <v>142</v>
      </c>
      <c r="F1170">
        <v>230</v>
      </c>
    </row>
    <row r="1171" spans="1:6" x14ac:dyDescent="0.35">
      <c r="A1171" s="8">
        <v>42098</v>
      </c>
      <c r="B1171" s="71">
        <v>0.70833333333333337</v>
      </c>
      <c r="C1171">
        <v>13.9</v>
      </c>
      <c r="D1171">
        <v>0</v>
      </c>
      <c r="E1171">
        <v>61</v>
      </c>
      <c r="F1171">
        <v>185</v>
      </c>
    </row>
    <row r="1172" spans="1:6" x14ac:dyDescent="0.35">
      <c r="A1172" s="8">
        <v>42098</v>
      </c>
      <c r="B1172" s="71">
        <v>0.75</v>
      </c>
      <c r="C1172">
        <v>13.5</v>
      </c>
      <c r="D1172">
        <v>0</v>
      </c>
      <c r="E1172">
        <v>38</v>
      </c>
      <c r="F1172">
        <v>156</v>
      </c>
    </row>
    <row r="1173" spans="1:6" x14ac:dyDescent="0.35">
      <c r="A1173" s="8">
        <v>42098</v>
      </c>
      <c r="B1173" s="71">
        <v>0.79166666666666663</v>
      </c>
      <c r="C1173">
        <v>13.2</v>
      </c>
      <c r="D1173">
        <v>0</v>
      </c>
      <c r="E1173">
        <v>56</v>
      </c>
      <c r="F1173">
        <v>92</v>
      </c>
    </row>
    <row r="1174" spans="1:6" x14ac:dyDescent="0.35">
      <c r="A1174" s="8">
        <v>42098</v>
      </c>
      <c r="B1174" s="71">
        <v>0.83333333333333337</v>
      </c>
      <c r="C1174">
        <v>12.5</v>
      </c>
      <c r="D1174">
        <v>0</v>
      </c>
      <c r="E1174">
        <v>1</v>
      </c>
      <c r="F1174">
        <v>35</v>
      </c>
    </row>
    <row r="1175" spans="1:6" x14ac:dyDescent="0.35">
      <c r="A1175" s="8">
        <v>42098</v>
      </c>
      <c r="B1175" s="71">
        <v>0.875</v>
      </c>
      <c r="C1175">
        <v>11.6</v>
      </c>
      <c r="D1175">
        <v>0</v>
      </c>
      <c r="E1175">
        <v>0</v>
      </c>
      <c r="F1175">
        <v>4</v>
      </c>
    </row>
    <row r="1176" spans="1:6" x14ac:dyDescent="0.35">
      <c r="A1176" s="8">
        <v>42098</v>
      </c>
      <c r="B1176" s="71">
        <v>0.91666666666666663</v>
      </c>
      <c r="C1176">
        <v>11.4</v>
      </c>
      <c r="D1176">
        <v>0</v>
      </c>
      <c r="E1176">
        <v>0</v>
      </c>
      <c r="F1176">
        <v>0</v>
      </c>
    </row>
    <row r="1177" spans="1:6" x14ac:dyDescent="0.35">
      <c r="A1177" s="8">
        <v>42098</v>
      </c>
      <c r="B1177" s="71">
        <v>0.95833333333333337</v>
      </c>
      <c r="C1177">
        <v>11</v>
      </c>
      <c r="D1177">
        <v>0</v>
      </c>
      <c r="E1177">
        <v>0</v>
      </c>
      <c r="F1177">
        <v>0</v>
      </c>
    </row>
    <row r="1178" spans="1:6" x14ac:dyDescent="0.35">
      <c r="A1178" s="8">
        <v>42099</v>
      </c>
      <c r="B1178" s="71">
        <v>0</v>
      </c>
      <c r="C1178">
        <v>10.5</v>
      </c>
      <c r="D1178">
        <v>0</v>
      </c>
      <c r="E1178">
        <v>0</v>
      </c>
      <c r="F1178">
        <v>0</v>
      </c>
    </row>
    <row r="1179" spans="1:6" x14ac:dyDescent="0.35">
      <c r="A1179" s="8">
        <v>42099</v>
      </c>
      <c r="B1179" s="71">
        <v>4.1666666666666664E-2</v>
      </c>
      <c r="C1179">
        <v>10.3</v>
      </c>
      <c r="D1179">
        <v>0</v>
      </c>
      <c r="E1179">
        <v>0</v>
      </c>
      <c r="F1179">
        <v>0</v>
      </c>
    </row>
    <row r="1180" spans="1:6" x14ac:dyDescent="0.35">
      <c r="A1180" s="8">
        <v>42099</v>
      </c>
      <c r="B1180" s="71">
        <v>8.3333333333333329E-2</v>
      </c>
      <c r="C1180">
        <v>10.3</v>
      </c>
      <c r="D1180">
        <v>0</v>
      </c>
      <c r="E1180">
        <v>0</v>
      </c>
      <c r="F1180">
        <v>0</v>
      </c>
    </row>
    <row r="1181" spans="1:6" x14ac:dyDescent="0.35">
      <c r="A1181" s="8">
        <v>42099</v>
      </c>
      <c r="B1181" s="71">
        <v>0.125</v>
      </c>
      <c r="C1181">
        <v>10</v>
      </c>
      <c r="D1181">
        <v>0</v>
      </c>
      <c r="E1181">
        <v>0</v>
      </c>
      <c r="F1181">
        <v>0</v>
      </c>
    </row>
    <row r="1182" spans="1:6" x14ac:dyDescent="0.35">
      <c r="A1182" s="8">
        <v>42099</v>
      </c>
      <c r="B1182" s="71">
        <v>0.16666666666666666</v>
      </c>
      <c r="C1182">
        <v>9.4</v>
      </c>
      <c r="D1182">
        <v>0</v>
      </c>
      <c r="E1182">
        <v>0</v>
      </c>
      <c r="F1182">
        <v>0</v>
      </c>
    </row>
    <row r="1183" spans="1:6" x14ac:dyDescent="0.35">
      <c r="A1183" s="8">
        <v>42099</v>
      </c>
      <c r="B1183" s="71">
        <v>0.20833333333333334</v>
      </c>
      <c r="C1183">
        <v>8.5</v>
      </c>
      <c r="D1183">
        <v>0</v>
      </c>
      <c r="E1183">
        <v>0</v>
      </c>
      <c r="F1183">
        <v>0</v>
      </c>
    </row>
    <row r="1184" spans="1:6" x14ac:dyDescent="0.35">
      <c r="A1184" s="8">
        <v>42099</v>
      </c>
      <c r="B1184" s="71">
        <v>0.25</v>
      </c>
      <c r="C1184">
        <v>7.4</v>
      </c>
      <c r="D1184">
        <v>0</v>
      </c>
      <c r="E1184">
        <v>0</v>
      </c>
      <c r="F1184">
        <v>0</v>
      </c>
    </row>
    <row r="1185" spans="1:6" x14ac:dyDescent="0.35">
      <c r="A1185" s="8">
        <v>42099</v>
      </c>
      <c r="B1185" s="71">
        <v>0.29166666666666669</v>
      </c>
      <c r="C1185">
        <v>6.5</v>
      </c>
      <c r="D1185">
        <v>0</v>
      </c>
      <c r="E1185">
        <v>0</v>
      </c>
      <c r="F1185">
        <v>0</v>
      </c>
    </row>
    <row r="1186" spans="1:6" x14ac:dyDescent="0.35">
      <c r="A1186" s="8">
        <v>42099</v>
      </c>
      <c r="B1186" s="71">
        <v>0.33333333333333331</v>
      </c>
      <c r="C1186">
        <v>5.8</v>
      </c>
      <c r="D1186">
        <v>0</v>
      </c>
      <c r="E1186">
        <v>1</v>
      </c>
      <c r="F1186">
        <v>3</v>
      </c>
    </row>
    <row r="1187" spans="1:6" x14ac:dyDescent="0.35">
      <c r="A1187" s="8">
        <v>42099</v>
      </c>
      <c r="B1187" s="71">
        <v>0.375</v>
      </c>
      <c r="C1187">
        <v>6.6</v>
      </c>
      <c r="D1187">
        <v>0</v>
      </c>
      <c r="E1187">
        <v>71</v>
      </c>
      <c r="F1187">
        <v>39</v>
      </c>
    </row>
    <row r="1188" spans="1:6" x14ac:dyDescent="0.35">
      <c r="A1188" s="8">
        <v>42099</v>
      </c>
      <c r="B1188" s="71">
        <v>0.41666666666666669</v>
      </c>
      <c r="C1188">
        <v>7.8</v>
      </c>
      <c r="D1188">
        <v>0</v>
      </c>
      <c r="E1188">
        <v>224</v>
      </c>
      <c r="F1188">
        <v>68</v>
      </c>
    </row>
    <row r="1189" spans="1:6" x14ac:dyDescent="0.35">
      <c r="A1189" s="8">
        <v>42099</v>
      </c>
      <c r="B1189" s="71">
        <v>0.45833333333333331</v>
      </c>
      <c r="C1189">
        <v>9.1</v>
      </c>
      <c r="D1189">
        <v>0</v>
      </c>
      <c r="E1189">
        <v>399</v>
      </c>
      <c r="F1189">
        <v>82</v>
      </c>
    </row>
    <row r="1190" spans="1:6" x14ac:dyDescent="0.35">
      <c r="A1190" s="8">
        <v>42099</v>
      </c>
      <c r="B1190" s="71">
        <v>0.5</v>
      </c>
      <c r="C1190">
        <v>10.4</v>
      </c>
      <c r="D1190">
        <v>0</v>
      </c>
      <c r="E1190">
        <v>549</v>
      </c>
      <c r="F1190">
        <v>93</v>
      </c>
    </row>
    <row r="1191" spans="1:6" x14ac:dyDescent="0.35">
      <c r="A1191" s="8">
        <v>42099</v>
      </c>
      <c r="B1191" s="71">
        <v>0.54166666666666663</v>
      </c>
      <c r="C1191">
        <v>11.5</v>
      </c>
      <c r="D1191">
        <v>0</v>
      </c>
      <c r="E1191">
        <v>661</v>
      </c>
      <c r="F1191">
        <v>100</v>
      </c>
    </row>
    <row r="1192" spans="1:6" x14ac:dyDescent="0.35">
      <c r="A1192" s="8">
        <v>42099</v>
      </c>
      <c r="B1192" s="71">
        <v>0.58333333333333337</v>
      </c>
      <c r="C1192">
        <v>12.4</v>
      </c>
      <c r="D1192">
        <v>0</v>
      </c>
      <c r="E1192">
        <v>720</v>
      </c>
      <c r="F1192">
        <v>103</v>
      </c>
    </row>
    <row r="1193" spans="1:6" x14ac:dyDescent="0.35">
      <c r="A1193" s="8">
        <v>42099</v>
      </c>
      <c r="B1193" s="71">
        <v>0.625</v>
      </c>
      <c r="C1193">
        <v>12.9</v>
      </c>
      <c r="D1193">
        <v>0</v>
      </c>
      <c r="E1193">
        <v>729</v>
      </c>
      <c r="F1193">
        <v>102</v>
      </c>
    </row>
    <row r="1194" spans="1:6" x14ac:dyDescent="0.35">
      <c r="A1194" s="8">
        <v>42099</v>
      </c>
      <c r="B1194" s="71">
        <v>0.66666666666666663</v>
      </c>
      <c r="C1194">
        <v>13.3</v>
      </c>
      <c r="D1194">
        <v>0</v>
      </c>
      <c r="E1194">
        <v>677</v>
      </c>
      <c r="F1194">
        <v>98</v>
      </c>
    </row>
    <row r="1195" spans="1:6" x14ac:dyDescent="0.35">
      <c r="A1195" s="8">
        <v>42099</v>
      </c>
      <c r="B1195" s="71">
        <v>0.70833333333333337</v>
      </c>
      <c r="C1195">
        <v>13.4</v>
      </c>
      <c r="D1195">
        <v>0</v>
      </c>
      <c r="E1195">
        <v>577</v>
      </c>
      <c r="F1195">
        <v>90</v>
      </c>
    </row>
    <row r="1196" spans="1:6" x14ac:dyDescent="0.35">
      <c r="A1196" s="8">
        <v>42099</v>
      </c>
      <c r="B1196" s="71">
        <v>0.75</v>
      </c>
      <c r="C1196">
        <v>13.2</v>
      </c>
      <c r="D1196">
        <v>0</v>
      </c>
      <c r="E1196">
        <v>428</v>
      </c>
      <c r="F1196">
        <v>84</v>
      </c>
    </row>
    <row r="1197" spans="1:6" x14ac:dyDescent="0.35">
      <c r="A1197" s="8">
        <v>42099</v>
      </c>
      <c r="B1197" s="71">
        <v>0.79166666666666663</v>
      </c>
      <c r="C1197">
        <v>12.5</v>
      </c>
      <c r="D1197">
        <v>0</v>
      </c>
      <c r="E1197">
        <v>260</v>
      </c>
      <c r="F1197">
        <v>69</v>
      </c>
    </row>
    <row r="1198" spans="1:6" x14ac:dyDescent="0.35">
      <c r="A1198" s="8">
        <v>42099</v>
      </c>
      <c r="B1198" s="71">
        <v>0.83333333333333337</v>
      </c>
      <c r="C1198">
        <v>11.5</v>
      </c>
      <c r="D1198">
        <v>0</v>
      </c>
      <c r="E1198">
        <v>96</v>
      </c>
      <c r="F1198">
        <v>45</v>
      </c>
    </row>
    <row r="1199" spans="1:6" x14ac:dyDescent="0.35">
      <c r="A1199" s="8">
        <v>42099</v>
      </c>
      <c r="B1199" s="71">
        <v>0.875</v>
      </c>
      <c r="C1199">
        <v>10.5</v>
      </c>
      <c r="D1199">
        <v>0</v>
      </c>
      <c r="E1199">
        <v>6</v>
      </c>
      <c r="F1199">
        <v>6</v>
      </c>
    </row>
    <row r="1200" spans="1:6" x14ac:dyDescent="0.35">
      <c r="A1200" s="8">
        <v>42099</v>
      </c>
      <c r="B1200" s="71">
        <v>0.91666666666666663</v>
      </c>
      <c r="C1200">
        <v>9.6</v>
      </c>
      <c r="D1200">
        <v>0</v>
      </c>
      <c r="E1200">
        <v>0</v>
      </c>
      <c r="F1200">
        <v>0</v>
      </c>
    </row>
    <row r="1201" spans="1:6" x14ac:dyDescent="0.35">
      <c r="A1201" s="8">
        <v>42099</v>
      </c>
      <c r="B1201" s="71">
        <v>0.95833333333333337</v>
      </c>
      <c r="C1201">
        <v>8.9</v>
      </c>
      <c r="D1201">
        <v>0</v>
      </c>
      <c r="E1201">
        <v>0</v>
      </c>
      <c r="F1201">
        <v>0</v>
      </c>
    </row>
    <row r="1202" spans="1:6" x14ac:dyDescent="0.35">
      <c r="A1202" s="8">
        <v>42100</v>
      </c>
      <c r="B1202" s="71">
        <v>0</v>
      </c>
      <c r="C1202">
        <v>8.4</v>
      </c>
      <c r="D1202">
        <v>0</v>
      </c>
      <c r="E1202">
        <v>0</v>
      </c>
      <c r="F1202">
        <v>0</v>
      </c>
    </row>
    <row r="1203" spans="1:6" x14ac:dyDescent="0.35">
      <c r="A1203" s="8">
        <v>42100</v>
      </c>
      <c r="B1203" s="71">
        <v>4.1666666666666664E-2</v>
      </c>
      <c r="C1203">
        <v>8</v>
      </c>
      <c r="D1203">
        <v>0</v>
      </c>
      <c r="E1203">
        <v>0</v>
      </c>
      <c r="F1203">
        <v>0</v>
      </c>
    </row>
    <row r="1204" spans="1:6" x14ac:dyDescent="0.35">
      <c r="A1204" s="8">
        <v>42100</v>
      </c>
      <c r="B1204" s="71">
        <v>8.3333333333333329E-2</v>
      </c>
      <c r="C1204">
        <v>7.5</v>
      </c>
      <c r="D1204">
        <v>0</v>
      </c>
      <c r="E1204">
        <v>0</v>
      </c>
      <c r="F1204">
        <v>0</v>
      </c>
    </row>
    <row r="1205" spans="1:6" x14ac:dyDescent="0.35">
      <c r="A1205" s="8">
        <v>42100</v>
      </c>
      <c r="B1205" s="71">
        <v>0.125</v>
      </c>
      <c r="C1205">
        <v>6.9</v>
      </c>
      <c r="D1205">
        <v>0</v>
      </c>
      <c r="E1205">
        <v>0</v>
      </c>
      <c r="F1205">
        <v>0</v>
      </c>
    </row>
    <row r="1206" spans="1:6" x14ac:dyDescent="0.35">
      <c r="A1206" s="8">
        <v>42100</v>
      </c>
      <c r="B1206" s="71">
        <v>0.16666666666666666</v>
      </c>
      <c r="C1206">
        <v>6.4</v>
      </c>
      <c r="D1206">
        <v>0</v>
      </c>
      <c r="E1206">
        <v>0</v>
      </c>
      <c r="F1206">
        <v>0</v>
      </c>
    </row>
    <row r="1207" spans="1:6" x14ac:dyDescent="0.35">
      <c r="A1207" s="8">
        <v>42100</v>
      </c>
      <c r="B1207" s="71">
        <v>0.20833333333333334</v>
      </c>
      <c r="C1207">
        <v>5.9</v>
      </c>
      <c r="D1207">
        <v>0</v>
      </c>
      <c r="E1207">
        <v>0</v>
      </c>
      <c r="F1207">
        <v>0</v>
      </c>
    </row>
    <row r="1208" spans="1:6" x14ac:dyDescent="0.35">
      <c r="A1208" s="8">
        <v>42100</v>
      </c>
      <c r="B1208" s="71">
        <v>0.25</v>
      </c>
      <c r="C1208">
        <v>5.5</v>
      </c>
      <c r="D1208">
        <v>0</v>
      </c>
      <c r="E1208">
        <v>0</v>
      </c>
      <c r="F1208">
        <v>0</v>
      </c>
    </row>
    <row r="1209" spans="1:6" x14ac:dyDescent="0.35">
      <c r="A1209" s="8">
        <v>42100</v>
      </c>
      <c r="B1209" s="71">
        <v>0.29166666666666669</v>
      </c>
      <c r="C1209">
        <v>5.0999999999999996</v>
      </c>
      <c r="D1209">
        <v>0</v>
      </c>
      <c r="E1209">
        <v>0</v>
      </c>
      <c r="F1209">
        <v>0</v>
      </c>
    </row>
    <row r="1210" spans="1:6" x14ac:dyDescent="0.35">
      <c r="A1210" s="8">
        <v>42100</v>
      </c>
      <c r="B1210" s="71">
        <v>0.33333333333333331</v>
      </c>
      <c r="C1210">
        <v>4.8</v>
      </c>
      <c r="D1210">
        <v>0</v>
      </c>
      <c r="E1210">
        <v>2</v>
      </c>
      <c r="F1210">
        <v>4</v>
      </c>
    </row>
    <row r="1211" spans="1:6" x14ac:dyDescent="0.35">
      <c r="A1211" s="8">
        <v>42100</v>
      </c>
      <c r="B1211" s="71">
        <v>0.375</v>
      </c>
      <c r="C1211">
        <v>5.8</v>
      </c>
      <c r="D1211">
        <v>0</v>
      </c>
      <c r="E1211">
        <v>79</v>
      </c>
      <c r="F1211">
        <v>40</v>
      </c>
    </row>
    <row r="1212" spans="1:6" x14ac:dyDescent="0.35">
      <c r="A1212" s="8">
        <v>42100</v>
      </c>
      <c r="B1212" s="71">
        <v>0.41666666666666669</v>
      </c>
      <c r="C1212">
        <v>7.8</v>
      </c>
      <c r="D1212">
        <v>0</v>
      </c>
      <c r="E1212">
        <v>241</v>
      </c>
      <c r="F1212">
        <v>67</v>
      </c>
    </row>
    <row r="1213" spans="1:6" x14ac:dyDescent="0.35">
      <c r="A1213" s="8">
        <v>42100</v>
      </c>
      <c r="B1213" s="71">
        <v>0.45833333333333331</v>
      </c>
      <c r="C1213">
        <v>9.6</v>
      </c>
      <c r="D1213">
        <v>0</v>
      </c>
      <c r="E1213">
        <v>414</v>
      </c>
      <c r="F1213">
        <v>82</v>
      </c>
    </row>
    <row r="1214" spans="1:6" x14ac:dyDescent="0.35">
      <c r="A1214" s="8">
        <v>42100</v>
      </c>
      <c r="B1214" s="71">
        <v>0.5</v>
      </c>
      <c r="C1214">
        <v>11.3</v>
      </c>
      <c r="D1214">
        <v>0</v>
      </c>
      <c r="E1214">
        <v>564</v>
      </c>
      <c r="F1214">
        <v>92</v>
      </c>
    </row>
    <row r="1215" spans="1:6" x14ac:dyDescent="0.35">
      <c r="A1215" s="8">
        <v>42100</v>
      </c>
      <c r="B1215" s="71">
        <v>0.54166666666666663</v>
      </c>
      <c r="C1215">
        <v>12.7</v>
      </c>
      <c r="D1215">
        <v>0</v>
      </c>
      <c r="E1215">
        <v>674</v>
      </c>
      <c r="F1215">
        <v>98</v>
      </c>
    </row>
    <row r="1216" spans="1:6" x14ac:dyDescent="0.35">
      <c r="A1216" s="8">
        <v>42100</v>
      </c>
      <c r="B1216" s="71">
        <v>0.58333333333333337</v>
      </c>
      <c r="C1216">
        <v>14</v>
      </c>
      <c r="D1216">
        <v>0</v>
      </c>
      <c r="E1216">
        <v>733</v>
      </c>
      <c r="F1216">
        <v>102</v>
      </c>
    </row>
    <row r="1217" spans="1:6" x14ac:dyDescent="0.35">
      <c r="A1217" s="8">
        <v>42100</v>
      </c>
      <c r="B1217" s="71">
        <v>0.625</v>
      </c>
      <c r="C1217">
        <v>15</v>
      </c>
      <c r="D1217">
        <v>0</v>
      </c>
      <c r="E1217">
        <v>736</v>
      </c>
      <c r="F1217">
        <v>102</v>
      </c>
    </row>
    <row r="1218" spans="1:6" x14ac:dyDescent="0.35">
      <c r="A1218" s="8">
        <v>42100</v>
      </c>
      <c r="B1218" s="71">
        <v>0.66666666666666663</v>
      </c>
      <c r="C1218">
        <v>15.6</v>
      </c>
      <c r="D1218">
        <v>0</v>
      </c>
      <c r="E1218">
        <v>683</v>
      </c>
      <c r="F1218">
        <v>99</v>
      </c>
    </row>
    <row r="1219" spans="1:6" x14ac:dyDescent="0.35">
      <c r="A1219" s="8">
        <v>42100</v>
      </c>
      <c r="B1219" s="71">
        <v>0.70833333333333337</v>
      </c>
      <c r="C1219">
        <v>15.9</v>
      </c>
      <c r="D1219">
        <v>0</v>
      </c>
      <c r="E1219">
        <v>579</v>
      </c>
      <c r="F1219">
        <v>93</v>
      </c>
    </row>
    <row r="1220" spans="1:6" x14ac:dyDescent="0.35">
      <c r="A1220" s="8">
        <v>42100</v>
      </c>
      <c r="B1220" s="71">
        <v>0.75</v>
      </c>
      <c r="C1220">
        <v>15.8</v>
      </c>
      <c r="D1220">
        <v>0</v>
      </c>
      <c r="E1220">
        <v>434</v>
      </c>
      <c r="F1220">
        <v>83</v>
      </c>
    </row>
    <row r="1221" spans="1:6" x14ac:dyDescent="0.35">
      <c r="A1221" s="8">
        <v>42100</v>
      </c>
      <c r="B1221" s="71">
        <v>0.79166666666666663</v>
      </c>
      <c r="C1221">
        <v>15.2</v>
      </c>
      <c r="D1221">
        <v>0</v>
      </c>
      <c r="E1221">
        <v>264</v>
      </c>
      <c r="F1221">
        <v>69</v>
      </c>
    </row>
    <row r="1222" spans="1:6" x14ac:dyDescent="0.35">
      <c r="A1222" s="8">
        <v>42100</v>
      </c>
      <c r="B1222" s="71">
        <v>0.83333333333333337</v>
      </c>
      <c r="C1222">
        <v>13.8</v>
      </c>
      <c r="D1222">
        <v>0</v>
      </c>
      <c r="E1222">
        <v>99</v>
      </c>
      <c r="F1222">
        <v>45</v>
      </c>
    </row>
    <row r="1223" spans="1:6" x14ac:dyDescent="0.35">
      <c r="A1223" s="8">
        <v>42100</v>
      </c>
      <c r="B1223" s="71">
        <v>0.875</v>
      </c>
      <c r="C1223">
        <v>12.7</v>
      </c>
      <c r="D1223">
        <v>0</v>
      </c>
      <c r="E1223">
        <v>6</v>
      </c>
      <c r="F1223">
        <v>7</v>
      </c>
    </row>
    <row r="1224" spans="1:6" x14ac:dyDescent="0.35">
      <c r="A1224" s="8">
        <v>42100</v>
      </c>
      <c r="B1224" s="71">
        <v>0.91666666666666663</v>
      </c>
      <c r="C1224">
        <v>11.7</v>
      </c>
      <c r="D1224">
        <v>0</v>
      </c>
      <c r="E1224">
        <v>0</v>
      </c>
      <c r="F1224">
        <v>0</v>
      </c>
    </row>
    <row r="1225" spans="1:6" x14ac:dyDescent="0.35">
      <c r="A1225" s="8">
        <v>42100</v>
      </c>
      <c r="B1225" s="71">
        <v>0.95833333333333337</v>
      </c>
      <c r="C1225">
        <v>10.9</v>
      </c>
      <c r="D1225">
        <v>0</v>
      </c>
      <c r="E1225">
        <v>0</v>
      </c>
      <c r="F1225">
        <v>0</v>
      </c>
    </row>
    <row r="1226" spans="1:6" x14ac:dyDescent="0.35">
      <c r="A1226" s="8">
        <v>42101</v>
      </c>
      <c r="B1226" s="71">
        <v>0</v>
      </c>
      <c r="C1226">
        <v>10.3</v>
      </c>
      <c r="D1226">
        <v>0</v>
      </c>
      <c r="E1226">
        <v>0</v>
      </c>
      <c r="F1226">
        <v>0</v>
      </c>
    </row>
    <row r="1227" spans="1:6" x14ac:dyDescent="0.35">
      <c r="A1227" s="8">
        <v>42101</v>
      </c>
      <c r="B1227" s="71">
        <v>4.1666666666666664E-2</v>
      </c>
      <c r="C1227">
        <v>9.6999999999999993</v>
      </c>
      <c r="D1227">
        <v>0</v>
      </c>
      <c r="E1227">
        <v>0</v>
      </c>
      <c r="F1227">
        <v>0</v>
      </c>
    </row>
    <row r="1228" spans="1:6" x14ac:dyDescent="0.35">
      <c r="A1228" s="8">
        <v>42101</v>
      </c>
      <c r="B1228" s="71">
        <v>8.3333333333333329E-2</v>
      </c>
      <c r="C1228">
        <v>9.1</v>
      </c>
      <c r="D1228">
        <v>0</v>
      </c>
      <c r="E1228">
        <v>0</v>
      </c>
      <c r="F1228">
        <v>0</v>
      </c>
    </row>
    <row r="1229" spans="1:6" x14ac:dyDescent="0.35">
      <c r="A1229" s="8">
        <v>42101</v>
      </c>
      <c r="B1229" s="71">
        <v>0.125</v>
      </c>
      <c r="C1229">
        <v>8.5</v>
      </c>
      <c r="D1229">
        <v>0</v>
      </c>
      <c r="E1229">
        <v>0</v>
      </c>
      <c r="F1229">
        <v>0</v>
      </c>
    </row>
    <row r="1230" spans="1:6" x14ac:dyDescent="0.35">
      <c r="A1230" s="8">
        <v>42101</v>
      </c>
      <c r="B1230" s="71">
        <v>0.16666666666666666</v>
      </c>
      <c r="C1230">
        <v>7.9</v>
      </c>
      <c r="D1230">
        <v>0</v>
      </c>
      <c r="E1230">
        <v>0</v>
      </c>
      <c r="F1230">
        <v>0</v>
      </c>
    </row>
    <row r="1231" spans="1:6" x14ac:dyDescent="0.35">
      <c r="A1231" s="8">
        <v>42101</v>
      </c>
      <c r="B1231" s="71">
        <v>0.20833333333333334</v>
      </c>
      <c r="C1231">
        <v>7.4</v>
      </c>
      <c r="D1231">
        <v>0</v>
      </c>
      <c r="E1231">
        <v>0</v>
      </c>
      <c r="F1231">
        <v>0</v>
      </c>
    </row>
    <row r="1232" spans="1:6" x14ac:dyDescent="0.35">
      <c r="A1232" s="8">
        <v>42101</v>
      </c>
      <c r="B1232" s="71">
        <v>0.25</v>
      </c>
      <c r="C1232">
        <v>7</v>
      </c>
      <c r="D1232">
        <v>0</v>
      </c>
      <c r="E1232">
        <v>0</v>
      </c>
      <c r="F1232">
        <v>0</v>
      </c>
    </row>
    <row r="1233" spans="1:6" x14ac:dyDescent="0.35">
      <c r="A1233" s="8">
        <v>42101</v>
      </c>
      <c r="B1233" s="71">
        <v>0.29166666666666669</v>
      </c>
      <c r="C1233">
        <v>6.6</v>
      </c>
      <c r="D1233">
        <v>0</v>
      </c>
      <c r="E1233">
        <v>0</v>
      </c>
      <c r="F1233">
        <v>0</v>
      </c>
    </row>
    <row r="1234" spans="1:6" x14ac:dyDescent="0.35">
      <c r="A1234" s="8">
        <v>42101</v>
      </c>
      <c r="B1234" s="71">
        <v>0.33333333333333331</v>
      </c>
      <c r="C1234">
        <v>6.2</v>
      </c>
      <c r="D1234">
        <v>0</v>
      </c>
      <c r="E1234">
        <v>3</v>
      </c>
      <c r="F1234">
        <v>4</v>
      </c>
    </row>
    <row r="1235" spans="1:6" x14ac:dyDescent="0.35">
      <c r="A1235" s="8">
        <v>42101</v>
      </c>
      <c r="B1235" s="71">
        <v>0.375</v>
      </c>
      <c r="C1235">
        <v>7.1</v>
      </c>
      <c r="D1235">
        <v>0</v>
      </c>
      <c r="E1235">
        <v>83</v>
      </c>
      <c r="F1235">
        <v>41</v>
      </c>
    </row>
    <row r="1236" spans="1:6" x14ac:dyDescent="0.35">
      <c r="A1236" s="8">
        <v>42101</v>
      </c>
      <c r="B1236" s="71">
        <v>0.41666666666666669</v>
      </c>
      <c r="C1236">
        <v>9.1</v>
      </c>
      <c r="D1236">
        <v>0</v>
      </c>
      <c r="E1236">
        <v>248</v>
      </c>
      <c r="F1236">
        <v>68</v>
      </c>
    </row>
    <row r="1237" spans="1:6" x14ac:dyDescent="0.35">
      <c r="A1237" s="8">
        <v>42101</v>
      </c>
      <c r="B1237" s="71">
        <v>0.45833333333333331</v>
      </c>
      <c r="C1237">
        <v>11.1</v>
      </c>
      <c r="D1237">
        <v>0</v>
      </c>
      <c r="E1237">
        <v>423</v>
      </c>
      <c r="F1237">
        <v>83</v>
      </c>
    </row>
    <row r="1238" spans="1:6" x14ac:dyDescent="0.35">
      <c r="A1238" s="8">
        <v>42101</v>
      </c>
      <c r="B1238" s="71">
        <v>0.5</v>
      </c>
      <c r="C1238">
        <v>13</v>
      </c>
      <c r="D1238">
        <v>0</v>
      </c>
      <c r="E1238">
        <v>573</v>
      </c>
      <c r="F1238">
        <v>93</v>
      </c>
    </row>
    <row r="1239" spans="1:6" x14ac:dyDescent="0.35">
      <c r="A1239" s="8">
        <v>42101</v>
      </c>
      <c r="B1239" s="71">
        <v>0.54166666666666663</v>
      </c>
      <c r="C1239">
        <v>14.8</v>
      </c>
      <c r="D1239">
        <v>0</v>
      </c>
      <c r="E1239">
        <v>683</v>
      </c>
      <c r="F1239">
        <v>99</v>
      </c>
    </row>
    <row r="1240" spans="1:6" x14ac:dyDescent="0.35">
      <c r="A1240" s="8">
        <v>42101</v>
      </c>
      <c r="B1240" s="71">
        <v>0.58333333333333337</v>
      </c>
      <c r="C1240">
        <v>16.2</v>
      </c>
      <c r="D1240">
        <v>0</v>
      </c>
      <c r="E1240">
        <v>743</v>
      </c>
      <c r="F1240">
        <v>102</v>
      </c>
    </row>
    <row r="1241" spans="1:6" x14ac:dyDescent="0.35">
      <c r="A1241" s="8">
        <v>42101</v>
      </c>
      <c r="B1241" s="71">
        <v>0.625</v>
      </c>
      <c r="C1241">
        <v>17.100000000000001</v>
      </c>
      <c r="D1241">
        <v>0</v>
      </c>
      <c r="E1241">
        <v>747</v>
      </c>
      <c r="F1241">
        <v>102</v>
      </c>
    </row>
    <row r="1242" spans="1:6" x14ac:dyDescent="0.35">
      <c r="A1242" s="8">
        <v>42101</v>
      </c>
      <c r="B1242" s="71">
        <v>0.66666666666666663</v>
      </c>
      <c r="C1242">
        <v>17.7</v>
      </c>
      <c r="D1242">
        <v>0</v>
      </c>
      <c r="E1242">
        <v>695</v>
      </c>
      <c r="F1242">
        <v>99</v>
      </c>
    </row>
    <row r="1243" spans="1:6" x14ac:dyDescent="0.35">
      <c r="A1243" s="8">
        <v>42101</v>
      </c>
      <c r="B1243" s="71">
        <v>0.70833333333333337</v>
      </c>
      <c r="C1243">
        <v>17.899999999999999</v>
      </c>
      <c r="D1243">
        <v>0</v>
      </c>
      <c r="E1243">
        <v>590</v>
      </c>
      <c r="F1243">
        <v>93</v>
      </c>
    </row>
    <row r="1244" spans="1:6" x14ac:dyDescent="0.35">
      <c r="A1244" s="8">
        <v>42101</v>
      </c>
      <c r="B1244" s="71">
        <v>0.75</v>
      </c>
      <c r="C1244">
        <v>17.8</v>
      </c>
      <c r="D1244">
        <v>0</v>
      </c>
      <c r="E1244">
        <v>443</v>
      </c>
      <c r="F1244">
        <v>84</v>
      </c>
    </row>
    <row r="1245" spans="1:6" x14ac:dyDescent="0.35">
      <c r="A1245" s="8">
        <v>42101</v>
      </c>
      <c r="B1245" s="71">
        <v>0.79166666666666663</v>
      </c>
      <c r="C1245">
        <v>17.2</v>
      </c>
      <c r="D1245">
        <v>0</v>
      </c>
      <c r="E1245">
        <v>272</v>
      </c>
      <c r="F1245">
        <v>70</v>
      </c>
    </row>
    <row r="1246" spans="1:6" x14ac:dyDescent="0.35">
      <c r="A1246" s="8">
        <v>42101</v>
      </c>
      <c r="B1246" s="71">
        <v>0.83333333333333337</v>
      </c>
      <c r="C1246">
        <v>15.6</v>
      </c>
      <c r="D1246">
        <v>0</v>
      </c>
      <c r="E1246">
        <v>104</v>
      </c>
      <c r="F1246">
        <v>46</v>
      </c>
    </row>
    <row r="1247" spans="1:6" x14ac:dyDescent="0.35">
      <c r="A1247" s="8">
        <v>42101</v>
      </c>
      <c r="B1247" s="71">
        <v>0.875</v>
      </c>
      <c r="C1247">
        <v>14.2</v>
      </c>
      <c r="D1247">
        <v>0</v>
      </c>
      <c r="E1247">
        <v>7</v>
      </c>
      <c r="F1247">
        <v>8</v>
      </c>
    </row>
    <row r="1248" spans="1:6" x14ac:dyDescent="0.35">
      <c r="A1248" s="8">
        <v>42101</v>
      </c>
      <c r="B1248" s="71">
        <v>0.91666666666666663</v>
      </c>
      <c r="C1248">
        <v>12.3</v>
      </c>
      <c r="D1248">
        <v>0</v>
      </c>
      <c r="E1248">
        <v>0</v>
      </c>
      <c r="F1248">
        <v>0</v>
      </c>
    </row>
    <row r="1249" spans="1:6" x14ac:dyDescent="0.35">
      <c r="A1249" s="8">
        <v>42101</v>
      </c>
      <c r="B1249" s="71">
        <v>0.95833333333333337</v>
      </c>
      <c r="C1249">
        <v>10.6</v>
      </c>
      <c r="D1249">
        <v>0</v>
      </c>
      <c r="E1249">
        <v>0</v>
      </c>
      <c r="F1249">
        <v>0</v>
      </c>
    </row>
    <row r="1250" spans="1:6" x14ac:dyDescent="0.35">
      <c r="A1250" s="8">
        <v>42102</v>
      </c>
      <c r="B1250" s="71">
        <v>0</v>
      </c>
      <c r="C1250">
        <v>9.1999999999999993</v>
      </c>
      <c r="D1250">
        <v>0</v>
      </c>
      <c r="E1250">
        <v>0</v>
      </c>
      <c r="F1250">
        <v>0</v>
      </c>
    </row>
    <row r="1251" spans="1:6" x14ac:dyDescent="0.35">
      <c r="A1251" s="8">
        <v>42102</v>
      </c>
      <c r="B1251" s="71">
        <v>4.1666666666666664E-2</v>
      </c>
      <c r="C1251">
        <v>8</v>
      </c>
      <c r="D1251">
        <v>0</v>
      </c>
      <c r="E1251">
        <v>0</v>
      </c>
      <c r="F1251">
        <v>0</v>
      </c>
    </row>
    <row r="1252" spans="1:6" x14ac:dyDescent="0.35">
      <c r="A1252" s="8">
        <v>42102</v>
      </c>
      <c r="B1252" s="71">
        <v>8.3333333333333329E-2</v>
      </c>
      <c r="C1252">
        <v>7</v>
      </c>
      <c r="D1252">
        <v>0</v>
      </c>
      <c r="E1252">
        <v>0</v>
      </c>
      <c r="F1252">
        <v>0</v>
      </c>
    </row>
    <row r="1253" spans="1:6" x14ac:dyDescent="0.35">
      <c r="A1253" s="8">
        <v>42102</v>
      </c>
      <c r="B1253" s="71">
        <v>0.125</v>
      </c>
      <c r="C1253">
        <v>6.3</v>
      </c>
      <c r="D1253">
        <v>0</v>
      </c>
      <c r="E1253">
        <v>0</v>
      </c>
      <c r="F1253">
        <v>0</v>
      </c>
    </row>
    <row r="1254" spans="1:6" x14ac:dyDescent="0.35">
      <c r="A1254" s="8">
        <v>42102</v>
      </c>
      <c r="B1254" s="71">
        <v>0.16666666666666666</v>
      </c>
      <c r="C1254">
        <v>5.8</v>
      </c>
      <c r="D1254">
        <v>0</v>
      </c>
      <c r="E1254">
        <v>0</v>
      </c>
      <c r="F1254">
        <v>0</v>
      </c>
    </row>
    <row r="1255" spans="1:6" x14ac:dyDescent="0.35">
      <c r="A1255" s="8">
        <v>42102</v>
      </c>
      <c r="B1255" s="71">
        <v>0.20833333333333334</v>
      </c>
      <c r="C1255">
        <v>5.3</v>
      </c>
      <c r="D1255">
        <v>0</v>
      </c>
      <c r="E1255">
        <v>0</v>
      </c>
      <c r="F1255">
        <v>0</v>
      </c>
    </row>
    <row r="1256" spans="1:6" x14ac:dyDescent="0.35">
      <c r="A1256" s="8">
        <v>42102</v>
      </c>
      <c r="B1256" s="71">
        <v>0.25</v>
      </c>
      <c r="C1256">
        <v>4.9000000000000004</v>
      </c>
      <c r="D1256">
        <v>0</v>
      </c>
      <c r="E1256">
        <v>0</v>
      </c>
      <c r="F1256">
        <v>0</v>
      </c>
    </row>
    <row r="1257" spans="1:6" x14ac:dyDescent="0.35">
      <c r="A1257" s="8">
        <v>42102</v>
      </c>
      <c r="B1257" s="71">
        <v>0.29166666666666669</v>
      </c>
      <c r="C1257">
        <v>4.5</v>
      </c>
      <c r="D1257">
        <v>0</v>
      </c>
      <c r="E1257">
        <v>0</v>
      </c>
      <c r="F1257">
        <v>0</v>
      </c>
    </row>
    <row r="1258" spans="1:6" x14ac:dyDescent="0.35">
      <c r="A1258" s="8">
        <v>42102</v>
      </c>
      <c r="B1258" s="71">
        <v>0.33333333333333331</v>
      </c>
      <c r="C1258">
        <v>4.2</v>
      </c>
      <c r="D1258">
        <v>0</v>
      </c>
      <c r="E1258">
        <v>3</v>
      </c>
      <c r="F1258">
        <v>5</v>
      </c>
    </row>
    <row r="1259" spans="1:6" x14ac:dyDescent="0.35">
      <c r="A1259" s="8">
        <v>42102</v>
      </c>
      <c r="B1259" s="71">
        <v>0.375</v>
      </c>
      <c r="C1259">
        <v>6.8</v>
      </c>
      <c r="D1259">
        <v>0</v>
      </c>
      <c r="E1259">
        <v>87</v>
      </c>
      <c r="F1259">
        <v>42</v>
      </c>
    </row>
    <row r="1260" spans="1:6" x14ac:dyDescent="0.35">
      <c r="A1260" s="8">
        <v>42102</v>
      </c>
      <c r="B1260" s="71">
        <v>0.41666666666666669</v>
      </c>
      <c r="C1260">
        <v>10.7</v>
      </c>
      <c r="D1260">
        <v>0</v>
      </c>
      <c r="E1260">
        <v>253</v>
      </c>
      <c r="F1260">
        <v>67</v>
      </c>
    </row>
    <row r="1261" spans="1:6" x14ac:dyDescent="0.35">
      <c r="A1261" s="8">
        <v>42102</v>
      </c>
      <c r="B1261" s="71">
        <v>0.45833333333333331</v>
      </c>
      <c r="C1261">
        <v>12.9</v>
      </c>
      <c r="D1261">
        <v>0</v>
      </c>
      <c r="E1261">
        <v>426</v>
      </c>
      <c r="F1261">
        <v>83</v>
      </c>
    </row>
    <row r="1262" spans="1:6" x14ac:dyDescent="0.35">
      <c r="A1262" s="8">
        <v>42102</v>
      </c>
      <c r="B1262" s="71">
        <v>0.5</v>
      </c>
      <c r="C1262">
        <v>15.1</v>
      </c>
      <c r="D1262">
        <v>0</v>
      </c>
      <c r="E1262">
        <v>575</v>
      </c>
      <c r="F1262">
        <v>93</v>
      </c>
    </row>
    <row r="1263" spans="1:6" x14ac:dyDescent="0.35">
      <c r="A1263" s="8">
        <v>42102</v>
      </c>
      <c r="B1263" s="71">
        <v>0.54166666666666663</v>
      </c>
      <c r="C1263">
        <v>16.899999999999999</v>
      </c>
      <c r="D1263">
        <v>0</v>
      </c>
      <c r="E1263">
        <v>684</v>
      </c>
      <c r="F1263">
        <v>99</v>
      </c>
    </row>
    <row r="1264" spans="1:6" x14ac:dyDescent="0.35">
      <c r="A1264" s="8">
        <v>42102</v>
      </c>
      <c r="B1264" s="71">
        <v>0.58333333333333337</v>
      </c>
      <c r="C1264">
        <v>18.399999999999999</v>
      </c>
      <c r="D1264">
        <v>0</v>
      </c>
      <c r="E1264">
        <v>743</v>
      </c>
      <c r="F1264">
        <v>102</v>
      </c>
    </row>
    <row r="1265" spans="1:6" x14ac:dyDescent="0.35">
      <c r="A1265" s="8">
        <v>42102</v>
      </c>
      <c r="B1265" s="71">
        <v>0.625</v>
      </c>
      <c r="C1265">
        <v>19.5</v>
      </c>
      <c r="D1265">
        <v>0</v>
      </c>
      <c r="E1265">
        <v>745</v>
      </c>
      <c r="F1265">
        <v>102</v>
      </c>
    </row>
    <row r="1266" spans="1:6" x14ac:dyDescent="0.35">
      <c r="A1266" s="8">
        <v>42102</v>
      </c>
      <c r="B1266" s="71">
        <v>0.66666666666666663</v>
      </c>
      <c r="C1266">
        <v>20.2</v>
      </c>
      <c r="D1266">
        <v>0</v>
      </c>
      <c r="E1266">
        <v>691</v>
      </c>
      <c r="F1266">
        <v>99</v>
      </c>
    </row>
    <row r="1267" spans="1:6" x14ac:dyDescent="0.35">
      <c r="A1267" s="8">
        <v>42102</v>
      </c>
      <c r="B1267" s="71">
        <v>0.70833333333333337</v>
      </c>
      <c r="C1267">
        <v>20.399999999999999</v>
      </c>
      <c r="D1267">
        <v>0</v>
      </c>
      <c r="E1267">
        <v>587</v>
      </c>
      <c r="F1267">
        <v>93</v>
      </c>
    </row>
    <row r="1268" spans="1:6" x14ac:dyDescent="0.35">
      <c r="A1268" s="8">
        <v>42102</v>
      </c>
      <c r="B1268" s="71">
        <v>0.75</v>
      </c>
      <c r="C1268">
        <v>20.100000000000001</v>
      </c>
      <c r="D1268">
        <v>0</v>
      </c>
      <c r="E1268">
        <v>443</v>
      </c>
      <c r="F1268">
        <v>83</v>
      </c>
    </row>
    <row r="1269" spans="1:6" x14ac:dyDescent="0.35">
      <c r="A1269" s="8">
        <v>42102</v>
      </c>
      <c r="B1269" s="71">
        <v>0.79166666666666663</v>
      </c>
      <c r="C1269">
        <v>19.399999999999999</v>
      </c>
      <c r="D1269">
        <v>0</v>
      </c>
      <c r="E1269">
        <v>273</v>
      </c>
      <c r="F1269">
        <v>70</v>
      </c>
    </row>
    <row r="1270" spans="1:6" x14ac:dyDescent="0.35">
      <c r="A1270" s="8">
        <v>42102</v>
      </c>
      <c r="B1270" s="71">
        <v>0.83333333333333337</v>
      </c>
      <c r="C1270">
        <v>17.5</v>
      </c>
      <c r="D1270">
        <v>0</v>
      </c>
      <c r="E1270">
        <v>106</v>
      </c>
      <c r="F1270">
        <v>46</v>
      </c>
    </row>
    <row r="1271" spans="1:6" x14ac:dyDescent="0.35">
      <c r="A1271" s="8">
        <v>42102</v>
      </c>
      <c r="B1271" s="71">
        <v>0.875</v>
      </c>
      <c r="C1271">
        <v>15.5</v>
      </c>
      <c r="D1271">
        <v>0</v>
      </c>
      <c r="E1271">
        <v>8</v>
      </c>
      <c r="F1271">
        <v>8</v>
      </c>
    </row>
    <row r="1272" spans="1:6" x14ac:dyDescent="0.35">
      <c r="A1272" s="8">
        <v>42102</v>
      </c>
      <c r="B1272" s="71">
        <v>0.91666666666666663</v>
      </c>
      <c r="C1272">
        <v>13.7</v>
      </c>
      <c r="D1272">
        <v>0</v>
      </c>
      <c r="E1272">
        <v>0</v>
      </c>
      <c r="F1272">
        <v>0</v>
      </c>
    </row>
    <row r="1273" spans="1:6" x14ac:dyDescent="0.35">
      <c r="A1273" s="8">
        <v>42102</v>
      </c>
      <c r="B1273" s="71">
        <v>0.95833333333333337</v>
      </c>
      <c r="C1273">
        <v>12.3</v>
      </c>
      <c r="D1273">
        <v>0</v>
      </c>
      <c r="E1273">
        <v>0</v>
      </c>
      <c r="F1273">
        <v>0</v>
      </c>
    </row>
    <row r="1274" spans="1:6" x14ac:dyDescent="0.35">
      <c r="A1274" s="8">
        <v>42103</v>
      </c>
      <c r="B1274" s="71">
        <v>0</v>
      </c>
      <c r="C1274">
        <v>10.9</v>
      </c>
      <c r="D1274">
        <v>0</v>
      </c>
      <c r="E1274">
        <v>0</v>
      </c>
      <c r="F1274">
        <v>0</v>
      </c>
    </row>
    <row r="1275" spans="1:6" x14ac:dyDescent="0.35">
      <c r="A1275" s="8">
        <v>42103</v>
      </c>
      <c r="B1275" s="71">
        <v>4.1666666666666664E-2</v>
      </c>
      <c r="C1275">
        <v>9.6999999999999993</v>
      </c>
      <c r="D1275">
        <v>0</v>
      </c>
      <c r="E1275">
        <v>0</v>
      </c>
      <c r="F1275">
        <v>0</v>
      </c>
    </row>
    <row r="1276" spans="1:6" x14ac:dyDescent="0.35">
      <c r="A1276" s="8">
        <v>42103</v>
      </c>
      <c r="B1276" s="71">
        <v>8.3333333333333329E-2</v>
      </c>
      <c r="C1276">
        <v>8.6999999999999993</v>
      </c>
      <c r="D1276">
        <v>0</v>
      </c>
      <c r="E1276">
        <v>0</v>
      </c>
      <c r="F1276">
        <v>0</v>
      </c>
    </row>
    <row r="1277" spans="1:6" x14ac:dyDescent="0.35">
      <c r="A1277" s="8">
        <v>42103</v>
      </c>
      <c r="B1277" s="71">
        <v>0.125</v>
      </c>
      <c r="C1277">
        <v>7.7</v>
      </c>
      <c r="D1277">
        <v>0</v>
      </c>
      <c r="E1277">
        <v>0</v>
      </c>
      <c r="F1277">
        <v>0</v>
      </c>
    </row>
    <row r="1278" spans="1:6" x14ac:dyDescent="0.35">
      <c r="A1278" s="8">
        <v>42103</v>
      </c>
      <c r="B1278" s="71">
        <v>0.16666666666666666</v>
      </c>
      <c r="C1278">
        <v>6.9</v>
      </c>
      <c r="D1278">
        <v>0</v>
      </c>
      <c r="E1278">
        <v>0</v>
      </c>
      <c r="F1278">
        <v>0</v>
      </c>
    </row>
    <row r="1279" spans="1:6" x14ac:dyDescent="0.35">
      <c r="A1279" s="8">
        <v>42103</v>
      </c>
      <c r="B1279" s="71">
        <v>0.20833333333333334</v>
      </c>
      <c r="C1279">
        <v>6.4</v>
      </c>
      <c r="D1279">
        <v>0</v>
      </c>
      <c r="E1279">
        <v>0</v>
      </c>
      <c r="F1279">
        <v>0</v>
      </c>
    </row>
    <row r="1280" spans="1:6" x14ac:dyDescent="0.35">
      <c r="A1280" s="8">
        <v>42103</v>
      </c>
      <c r="B1280" s="71">
        <v>0.25</v>
      </c>
      <c r="C1280">
        <v>6</v>
      </c>
      <c r="D1280">
        <v>0</v>
      </c>
      <c r="E1280">
        <v>0</v>
      </c>
      <c r="F1280">
        <v>0</v>
      </c>
    </row>
    <row r="1281" spans="1:6" x14ac:dyDescent="0.35">
      <c r="A1281" s="8">
        <v>42103</v>
      </c>
      <c r="B1281" s="71">
        <v>0.29166666666666669</v>
      </c>
      <c r="C1281">
        <v>5.6</v>
      </c>
      <c r="D1281">
        <v>0</v>
      </c>
      <c r="E1281">
        <v>0</v>
      </c>
      <c r="F1281">
        <v>0</v>
      </c>
    </row>
    <row r="1282" spans="1:6" x14ac:dyDescent="0.35">
      <c r="A1282" s="8">
        <v>42103</v>
      </c>
      <c r="B1282" s="71">
        <v>0.33333333333333331</v>
      </c>
      <c r="C1282">
        <v>5.3</v>
      </c>
      <c r="D1282">
        <v>0</v>
      </c>
      <c r="E1282">
        <v>4</v>
      </c>
      <c r="F1282">
        <v>5</v>
      </c>
    </row>
    <row r="1283" spans="1:6" x14ac:dyDescent="0.35">
      <c r="A1283" s="8">
        <v>42103</v>
      </c>
      <c r="B1283" s="71">
        <v>0.375</v>
      </c>
      <c r="C1283">
        <v>8</v>
      </c>
      <c r="D1283">
        <v>0</v>
      </c>
      <c r="E1283">
        <v>89</v>
      </c>
      <c r="F1283">
        <v>42</v>
      </c>
    </row>
    <row r="1284" spans="1:6" x14ac:dyDescent="0.35">
      <c r="A1284" s="8">
        <v>42103</v>
      </c>
      <c r="B1284" s="71">
        <v>0.41666666666666669</v>
      </c>
      <c r="C1284">
        <v>11.6</v>
      </c>
      <c r="D1284">
        <v>0</v>
      </c>
      <c r="E1284">
        <v>251</v>
      </c>
      <c r="F1284">
        <v>69</v>
      </c>
    </row>
    <row r="1285" spans="1:6" x14ac:dyDescent="0.35">
      <c r="A1285" s="8">
        <v>42103</v>
      </c>
      <c r="B1285" s="71">
        <v>0.45833333333333331</v>
      </c>
      <c r="C1285">
        <v>13.9</v>
      </c>
      <c r="D1285">
        <v>0</v>
      </c>
      <c r="E1285">
        <v>399</v>
      </c>
      <c r="F1285">
        <v>99</v>
      </c>
    </row>
    <row r="1286" spans="1:6" x14ac:dyDescent="0.35">
      <c r="A1286" s="8">
        <v>42103</v>
      </c>
      <c r="B1286" s="71">
        <v>0.5</v>
      </c>
      <c r="C1286">
        <v>16.2</v>
      </c>
      <c r="D1286">
        <v>0</v>
      </c>
      <c r="E1286">
        <v>565</v>
      </c>
      <c r="F1286">
        <v>97</v>
      </c>
    </row>
    <row r="1287" spans="1:6" x14ac:dyDescent="0.35">
      <c r="A1287" s="8">
        <v>42103</v>
      </c>
      <c r="B1287" s="71">
        <v>0.54166666666666663</v>
      </c>
      <c r="C1287">
        <v>18.2</v>
      </c>
      <c r="D1287">
        <v>0</v>
      </c>
      <c r="E1287">
        <v>672</v>
      </c>
      <c r="F1287">
        <v>105</v>
      </c>
    </row>
    <row r="1288" spans="1:6" x14ac:dyDescent="0.35">
      <c r="A1288" s="8">
        <v>42103</v>
      </c>
      <c r="B1288" s="71">
        <v>0.58333333333333337</v>
      </c>
      <c r="C1288">
        <v>19.600000000000001</v>
      </c>
      <c r="D1288">
        <v>0</v>
      </c>
      <c r="E1288">
        <v>728</v>
      </c>
      <c r="F1288">
        <v>108</v>
      </c>
    </row>
    <row r="1289" spans="1:6" x14ac:dyDescent="0.35">
      <c r="A1289" s="8">
        <v>42103</v>
      </c>
      <c r="B1289" s="71">
        <v>0.625</v>
      </c>
      <c r="C1289">
        <v>20.6</v>
      </c>
      <c r="D1289">
        <v>0</v>
      </c>
      <c r="E1289">
        <v>719</v>
      </c>
      <c r="F1289">
        <v>117</v>
      </c>
    </row>
    <row r="1290" spans="1:6" x14ac:dyDescent="0.35">
      <c r="A1290" s="8">
        <v>42103</v>
      </c>
      <c r="B1290" s="71">
        <v>0.66666666666666663</v>
      </c>
      <c r="C1290">
        <v>21.1</v>
      </c>
      <c r="D1290">
        <v>0</v>
      </c>
      <c r="E1290">
        <v>668</v>
      </c>
      <c r="F1290">
        <v>112</v>
      </c>
    </row>
    <row r="1291" spans="1:6" x14ac:dyDescent="0.35">
      <c r="A1291" s="8">
        <v>42103</v>
      </c>
      <c r="B1291" s="71">
        <v>0.70833333333333337</v>
      </c>
      <c r="C1291">
        <v>21.1</v>
      </c>
      <c r="D1291">
        <v>0</v>
      </c>
      <c r="E1291">
        <v>518</v>
      </c>
      <c r="F1291">
        <v>134</v>
      </c>
    </row>
    <row r="1292" spans="1:6" x14ac:dyDescent="0.35">
      <c r="A1292" s="8">
        <v>42103</v>
      </c>
      <c r="B1292" s="71">
        <v>0.75</v>
      </c>
      <c r="C1292">
        <v>20.6</v>
      </c>
      <c r="D1292">
        <v>0</v>
      </c>
      <c r="E1292">
        <v>251</v>
      </c>
      <c r="F1292">
        <v>189</v>
      </c>
    </row>
    <row r="1293" spans="1:6" x14ac:dyDescent="0.35">
      <c r="A1293" s="8">
        <v>42103</v>
      </c>
      <c r="B1293" s="71">
        <v>0.79166666666666663</v>
      </c>
      <c r="C1293">
        <v>19.7</v>
      </c>
      <c r="D1293">
        <v>0</v>
      </c>
      <c r="E1293">
        <v>87</v>
      </c>
      <c r="F1293">
        <v>161</v>
      </c>
    </row>
    <row r="1294" spans="1:6" x14ac:dyDescent="0.35">
      <c r="A1294" s="8">
        <v>42103</v>
      </c>
      <c r="B1294" s="71">
        <v>0.83333333333333337</v>
      </c>
      <c r="C1294">
        <v>18</v>
      </c>
      <c r="D1294">
        <v>0</v>
      </c>
      <c r="E1294">
        <v>20</v>
      </c>
      <c r="F1294">
        <v>77</v>
      </c>
    </row>
    <row r="1295" spans="1:6" x14ac:dyDescent="0.35">
      <c r="A1295" s="8">
        <v>42103</v>
      </c>
      <c r="B1295" s="71">
        <v>0.875</v>
      </c>
      <c r="C1295">
        <v>16.2</v>
      </c>
      <c r="D1295">
        <v>0</v>
      </c>
      <c r="E1295">
        <v>1</v>
      </c>
      <c r="F1295">
        <v>11</v>
      </c>
    </row>
    <row r="1296" spans="1:6" x14ac:dyDescent="0.35">
      <c r="A1296" s="8">
        <v>42103</v>
      </c>
      <c r="B1296" s="71">
        <v>0.91666666666666663</v>
      </c>
      <c r="C1296">
        <v>14.1</v>
      </c>
      <c r="D1296">
        <v>0</v>
      </c>
      <c r="E1296">
        <v>0</v>
      </c>
      <c r="F1296">
        <v>0</v>
      </c>
    </row>
    <row r="1297" spans="1:6" x14ac:dyDescent="0.35">
      <c r="A1297" s="8">
        <v>42103</v>
      </c>
      <c r="B1297" s="71">
        <v>0.95833333333333337</v>
      </c>
      <c r="C1297">
        <v>13.2</v>
      </c>
      <c r="D1297">
        <v>0</v>
      </c>
      <c r="E1297">
        <v>0</v>
      </c>
      <c r="F1297">
        <v>0</v>
      </c>
    </row>
    <row r="1298" spans="1:6" x14ac:dyDescent="0.35">
      <c r="A1298" s="8">
        <v>42104</v>
      </c>
      <c r="B1298" s="71">
        <v>0</v>
      </c>
      <c r="C1298">
        <v>11.5</v>
      </c>
      <c r="D1298">
        <v>0</v>
      </c>
      <c r="E1298">
        <v>0</v>
      </c>
      <c r="F1298">
        <v>0</v>
      </c>
    </row>
    <row r="1299" spans="1:6" x14ac:dyDescent="0.35">
      <c r="A1299" s="8">
        <v>42104</v>
      </c>
      <c r="B1299" s="71">
        <v>4.1666666666666664E-2</v>
      </c>
      <c r="C1299">
        <v>9.6999999999999993</v>
      </c>
      <c r="D1299">
        <v>0</v>
      </c>
      <c r="E1299">
        <v>0</v>
      </c>
      <c r="F1299">
        <v>0</v>
      </c>
    </row>
    <row r="1300" spans="1:6" x14ac:dyDescent="0.35">
      <c r="A1300" s="8">
        <v>42104</v>
      </c>
      <c r="B1300" s="71">
        <v>8.3333333333333329E-2</v>
      </c>
      <c r="C1300">
        <v>8.6999999999999993</v>
      </c>
      <c r="D1300">
        <v>0</v>
      </c>
      <c r="E1300">
        <v>0</v>
      </c>
      <c r="F1300">
        <v>0</v>
      </c>
    </row>
    <row r="1301" spans="1:6" x14ac:dyDescent="0.35">
      <c r="A1301" s="8">
        <v>42104</v>
      </c>
      <c r="B1301" s="71">
        <v>0.125</v>
      </c>
      <c r="C1301">
        <v>8.3000000000000007</v>
      </c>
      <c r="D1301">
        <v>0</v>
      </c>
      <c r="E1301">
        <v>0</v>
      </c>
      <c r="F1301">
        <v>0</v>
      </c>
    </row>
    <row r="1302" spans="1:6" x14ac:dyDescent="0.35">
      <c r="A1302" s="8">
        <v>42104</v>
      </c>
      <c r="B1302" s="71">
        <v>0.16666666666666666</v>
      </c>
      <c r="C1302">
        <v>7.9</v>
      </c>
      <c r="D1302">
        <v>0</v>
      </c>
      <c r="E1302">
        <v>0</v>
      </c>
      <c r="F1302">
        <v>0</v>
      </c>
    </row>
    <row r="1303" spans="1:6" x14ac:dyDescent="0.35">
      <c r="A1303" s="8">
        <v>42104</v>
      </c>
      <c r="B1303" s="71">
        <v>0.20833333333333334</v>
      </c>
      <c r="C1303">
        <v>10.1</v>
      </c>
      <c r="D1303">
        <v>0</v>
      </c>
      <c r="E1303">
        <v>0</v>
      </c>
      <c r="F1303">
        <v>0</v>
      </c>
    </row>
    <row r="1304" spans="1:6" x14ac:dyDescent="0.35">
      <c r="A1304" s="8">
        <v>42104</v>
      </c>
      <c r="B1304" s="71">
        <v>0.25</v>
      </c>
      <c r="C1304">
        <v>10.3</v>
      </c>
      <c r="D1304">
        <v>0</v>
      </c>
      <c r="E1304">
        <v>0</v>
      </c>
      <c r="F1304">
        <v>0</v>
      </c>
    </row>
    <row r="1305" spans="1:6" x14ac:dyDescent="0.35">
      <c r="A1305" s="8">
        <v>42104</v>
      </c>
      <c r="B1305" s="71">
        <v>0.29166666666666669</v>
      </c>
      <c r="C1305">
        <v>8</v>
      </c>
      <c r="D1305">
        <v>0</v>
      </c>
      <c r="E1305">
        <v>0</v>
      </c>
      <c r="F1305">
        <v>0</v>
      </c>
    </row>
    <row r="1306" spans="1:6" x14ac:dyDescent="0.35">
      <c r="A1306" s="8">
        <v>42104</v>
      </c>
      <c r="B1306" s="71">
        <v>0.33333333333333331</v>
      </c>
      <c r="C1306">
        <v>7.9</v>
      </c>
      <c r="D1306">
        <v>0.2</v>
      </c>
      <c r="E1306">
        <v>0</v>
      </c>
      <c r="F1306">
        <v>6</v>
      </c>
    </row>
    <row r="1307" spans="1:6" x14ac:dyDescent="0.35">
      <c r="A1307" s="8">
        <v>42104</v>
      </c>
      <c r="B1307" s="71">
        <v>0.375</v>
      </c>
      <c r="C1307">
        <v>10</v>
      </c>
      <c r="D1307">
        <v>0</v>
      </c>
      <c r="E1307">
        <v>23</v>
      </c>
      <c r="F1307">
        <v>65</v>
      </c>
    </row>
    <row r="1308" spans="1:6" x14ac:dyDescent="0.35">
      <c r="A1308" s="8">
        <v>42104</v>
      </c>
      <c r="B1308" s="71">
        <v>0.41666666666666669</v>
      </c>
      <c r="C1308">
        <v>13.8</v>
      </c>
      <c r="D1308">
        <v>0</v>
      </c>
      <c r="E1308">
        <v>106</v>
      </c>
      <c r="F1308">
        <v>126</v>
      </c>
    </row>
    <row r="1309" spans="1:6" x14ac:dyDescent="0.35">
      <c r="A1309" s="8">
        <v>42104</v>
      </c>
      <c r="B1309" s="71">
        <v>0.45833333333333331</v>
      </c>
      <c r="C1309">
        <v>15.3</v>
      </c>
      <c r="D1309">
        <v>0</v>
      </c>
      <c r="E1309">
        <v>222</v>
      </c>
      <c r="F1309">
        <v>142</v>
      </c>
    </row>
    <row r="1310" spans="1:6" x14ac:dyDescent="0.35">
      <c r="A1310" s="8">
        <v>42104</v>
      </c>
      <c r="B1310" s="71">
        <v>0.5</v>
      </c>
      <c r="C1310">
        <v>17</v>
      </c>
      <c r="D1310">
        <v>0</v>
      </c>
      <c r="E1310">
        <v>359</v>
      </c>
      <c r="F1310">
        <v>181</v>
      </c>
    </row>
    <row r="1311" spans="1:6" x14ac:dyDescent="0.35">
      <c r="A1311" s="8">
        <v>42104</v>
      </c>
      <c r="B1311" s="71">
        <v>0.54166666666666663</v>
      </c>
      <c r="C1311">
        <v>18.3</v>
      </c>
      <c r="D1311">
        <v>0</v>
      </c>
      <c r="E1311">
        <v>364</v>
      </c>
      <c r="F1311">
        <v>236</v>
      </c>
    </row>
    <row r="1312" spans="1:6" x14ac:dyDescent="0.35">
      <c r="A1312" s="8">
        <v>42104</v>
      </c>
      <c r="B1312" s="71">
        <v>0.58333333333333337</v>
      </c>
      <c r="C1312">
        <v>19.2</v>
      </c>
      <c r="D1312">
        <v>0</v>
      </c>
      <c r="E1312">
        <v>493</v>
      </c>
      <c r="F1312">
        <v>200</v>
      </c>
    </row>
    <row r="1313" spans="1:6" x14ac:dyDescent="0.35">
      <c r="A1313" s="8">
        <v>42104</v>
      </c>
      <c r="B1313" s="71">
        <v>0.625</v>
      </c>
      <c r="C1313">
        <v>19.100000000000001</v>
      </c>
      <c r="D1313">
        <v>0</v>
      </c>
      <c r="E1313">
        <v>447</v>
      </c>
      <c r="F1313">
        <v>200</v>
      </c>
    </row>
    <row r="1314" spans="1:6" x14ac:dyDescent="0.35">
      <c r="A1314" s="8">
        <v>42104</v>
      </c>
      <c r="B1314" s="71">
        <v>0.66666666666666663</v>
      </c>
      <c r="C1314">
        <v>18.2</v>
      </c>
      <c r="D1314">
        <v>0</v>
      </c>
      <c r="E1314">
        <v>350</v>
      </c>
      <c r="F1314">
        <v>210</v>
      </c>
    </row>
    <row r="1315" spans="1:6" x14ac:dyDescent="0.35">
      <c r="A1315" s="8">
        <v>42104</v>
      </c>
      <c r="B1315" s="71">
        <v>0.70833333333333337</v>
      </c>
      <c r="C1315">
        <v>16.8</v>
      </c>
      <c r="D1315">
        <v>0</v>
      </c>
      <c r="E1315">
        <v>224</v>
      </c>
      <c r="F1315">
        <v>173</v>
      </c>
    </row>
    <row r="1316" spans="1:6" x14ac:dyDescent="0.35">
      <c r="A1316" s="8">
        <v>42104</v>
      </c>
      <c r="B1316" s="71">
        <v>0.75</v>
      </c>
      <c r="C1316">
        <v>15.3</v>
      </c>
      <c r="D1316">
        <v>1.4</v>
      </c>
      <c r="E1316">
        <v>25</v>
      </c>
      <c r="F1316">
        <v>186</v>
      </c>
    </row>
    <row r="1317" spans="1:6" x14ac:dyDescent="0.35">
      <c r="A1317" s="8">
        <v>42104</v>
      </c>
      <c r="B1317" s="71">
        <v>0.79166666666666663</v>
      </c>
      <c r="C1317">
        <v>14.9</v>
      </c>
      <c r="D1317">
        <v>0</v>
      </c>
      <c r="E1317">
        <v>17</v>
      </c>
      <c r="F1317">
        <v>138</v>
      </c>
    </row>
    <row r="1318" spans="1:6" x14ac:dyDescent="0.35">
      <c r="A1318" s="8">
        <v>42104</v>
      </c>
      <c r="B1318" s="71">
        <v>0.83333333333333337</v>
      </c>
      <c r="C1318">
        <v>14.2</v>
      </c>
      <c r="D1318">
        <v>0</v>
      </c>
      <c r="E1318">
        <v>13</v>
      </c>
      <c r="F1318">
        <v>64</v>
      </c>
    </row>
    <row r="1319" spans="1:6" x14ac:dyDescent="0.35">
      <c r="A1319" s="8">
        <v>42104</v>
      </c>
      <c r="B1319" s="71">
        <v>0.875</v>
      </c>
      <c r="C1319">
        <v>13</v>
      </c>
      <c r="D1319">
        <v>0</v>
      </c>
      <c r="E1319">
        <v>3</v>
      </c>
      <c r="F1319">
        <v>9</v>
      </c>
    </row>
    <row r="1320" spans="1:6" x14ac:dyDescent="0.35">
      <c r="A1320" s="8">
        <v>42104</v>
      </c>
      <c r="B1320" s="71">
        <v>0.91666666666666663</v>
      </c>
      <c r="C1320">
        <v>11.5</v>
      </c>
      <c r="D1320">
        <v>0</v>
      </c>
      <c r="E1320">
        <v>0</v>
      </c>
      <c r="F1320">
        <v>0</v>
      </c>
    </row>
    <row r="1321" spans="1:6" x14ac:dyDescent="0.35">
      <c r="A1321" s="8">
        <v>42104</v>
      </c>
      <c r="B1321" s="71">
        <v>0.95833333333333337</v>
      </c>
      <c r="C1321">
        <v>10.3</v>
      </c>
      <c r="D1321">
        <v>0</v>
      </c>
      <c r="E1321">
        <v>0</v>
      </c>
      <c r="F1321">
        <v>0</v>
      </c>
    </row>
    <row r="1322" spans="1:6" x14ac:dyDescent="0.35">
      <c r="A1322" s="8">
        <v>42105</v>
      </c>
      <c r="B1322" s="71">
        <v>0</v>
      </c>
      <c r="C1322">
        <v>9.5</v>
      </c>
      <c r="D1322">
        <v>0</v>
      </c>
      <c r="E1322">
        <v>0</v>
      </c>
      <c r="F1322">
        <v>0</v>
      </c>
    </row>
    <row r="1323" spans="1:6" x14ac:dyDescent="0.35">
      <c r="A1323" s="8">
        <v>42105</v>
      </c>
      <c r="B1323" s="71">
        <v>4.1666666666666664E-2</v>
      </c>
      <c r="C1323">
        <v>8.6999999999999993</v>
      </c>
      <c r="D1323">
        <v>0</v>
      </c>
      <c r="E1323">
        <v>0</v>
      </c>
      <c r="F1323">
        <v>0</v>
      </c>
    </row>
    <row r="1324" spans="1:6" x14ac:dyDescent="0.35">
      <c r="A1324" s="8">
        <v>42105</v>
      </c>
      <c r="B1324" s="71">
        <v>8.3333333333333329E-2</v>
      </c>
      <c r="C1324">
        <v>8.1999999999999993</v>
      </c>
      <c r="D1324">
        <v>0</v>
      </c>
      <c r="E1324">
        <v>0</v>
      </c>
      <c r="F1324">
        <v>0</v>
      </c>
    </row>
    <row r="1325" spans="1:6" x14ac:dyDescent="0.35">
      <c r="A1325" s="8">
        <v>42105</v>
      </c>
      <c r="B1325" s="71">
        <v>0.125</v>
      </c>
      <c r="C1325">
        <v>7.7</v>
      </c>
      <c r="D1325">
        <v>0</v>
      </c>
      <c r="E1325">
        <v>0</v>
      </c>
      <c r="F1325">
        <v>0</v>
      </c>
    </row>
    <row r="1326" spans="1:6" x14ac:dyDescent="0.35">
      <c r="A1326" s="8">
        <v>42105</v>
      </c>
      <c r="B1326" s="71">
        <v>0.16666666666666666</v>
      </c>
      <c r="C1326">
        <v>7.5</v>
      </c>
      <c r="D1326">
        <v>0</v>
      </c>
      <c r="E1326">
        <v>0</v>
      </c>
      <c r="F1326">
        <v>0</v>
      </c>
    </row>
    <row r="1327" spans="1:6" x14ac:dyDescent="0.35">
      <c r="A1327" s="8">
        <v>42105</v>
      </c>
      <c r="B1327" s="71">
        <v>0.20833333333333334</v>
      </c>
      <c r="C1327">
        <v>7.4</v>
      </c>
      <c r="D1327">
        <v>0</v>
      </c>
      <c r="E1327">
        <v>0</v>
      </c>
      <c r="F1327">
        <v>0</v>
      </c>
    </row>
    <row r="1328" spans="1:6" x14ac:dyDescent="0.35">
      <c r="A1328" s="8">
        <v>42105</v>
      </c>
      <c r="B1328" s="71">
        <v>0.25</v>
      </c>
      <c r="C1328">
        <v>7.8</v>
      </c>
      <c r="D1328">
        <v>0</v>
      </c>
      <c r="E1328">
        <v>0</v>
      </c>
      <c r="F1328">
        <v>0</v>
      </c>
    </row>
    <row r="1329" spans="1:6" x14ac:dyDescent="0.35">
      <c r="A1329" s="8">
        <v>42105</v>
      </c>
      <c r="B1329" s="71">
        <v>0.29166666666666669</v>
      </c>
      <c r="C1329">
        <v>7.8</v>
      </c>
      <c r="D1329">
        <v>0</v>
      </c>
      <c r="E1329">
        <v>0</v>
      </c>
      <c r="F1329">
        <v>0</v>
      </c>
    </row>
    <row r="1330" spans="1:6" x14ac:dyDescent="0.35">
      <c r="A1330" s="8">
        <v>42105</v>
      </c>
      <c r="B1330" s="71">
        <v>0.33333333333333331</v>
      </c>
      <c r="C1330">
        <v>7.9</v>
      </c>
      <c r="D1330">
        <v>0</v>
      </c>
      <c r="E1330">
        <v>3</v>
      </c>
      <c r="F1330">
        <v>5</v>
      </c>
    </row>
    <row r="1331" spans="1:6" x14ac:dyDescent="0.35">
      <c r="A1331" s="8">
        <v>42105</v>
      </c>
      <c r="B1331" s="71">
        <v>0.375</v>
      </c>
      <c r="C1331">
        <v>10.6</v>
      </c>
      <c r="D1331">
        <v>0</v>
      </c>
      <c r="E1331">
        <v>32</v>
      </c>
      <c r="F1331">
        <v>46</v>
      </c>
    </row>
    <row r="1332" spans="1:6" x14ac:dyDescent="0.35">
      <c r="A1332" s="8">
        <v>42105</v>
      </c>
      <c r="B1332" s="71">
        <v>0.41666666666666669</v>
      </c>
      <c r="C1332">
        <v>13</v>
      </c>
      <c r="D1332">
        <v>0</v>
      </c>
      <c r="E1332">
        <v>113</v>
      </c>
      <c r="F1332">
        <v>122</v>
      </c>
    </row>
    <row r="1333" spans="1:6" x14ac:dyDescent="0.35">
      <c r="A1333" s="8">
        <v>42105</v>
      </c>
      <c r="B1333" s="71">
        <v>0.45833333333333331</v>
      </c>
      <c r="C1333">
        <v>14.2</v>
      </c>
      <c r="D1333">
        <v>0</v>
      </c>
      <c r="E1333">
        <v>186</v>
      </c>
      <c r="F1333">
        <v>171</v>
      </c>
    </row>
    <row r="1334" spans="1:6" x14ac:dyDescent="0.35">
      <c r="A1334" s="8">
        <v>42105</v>
      </c>
      <c r="B1334" s="71">
        <v>0.5</v>
      </c>
      <c r="C1334">
        <v>14.9</v>
      </c>
      <c r="D1334">
        <v>0</v>
      </c>
      <c r="E1334">
        <v>128</v>
      </c>
      <c r="F1334">
        <v>226</v>
      </c>
    </row>
    <row r="1335" spans="1:6" x14ac:dyDescent="0.35">
      <c r="A1335" s="8">
        <v>42105</v>
      </c>
      <c r="B1335" s="71">
        <v>0.54166666666666663</v>
      </c>
      <c r="C1335">
        <v>15.2</v>
      </c>
      <c r="D1335">
        <v>0</v>
      </c>
      <c r="E1335">
        <v>95</v>
      </c>
      <c r="F1335">
        <v>212</v>
      </c>
    </row>
    <row r="1336" spans="1:6" x14ac:dyDescent="0.35">
      <c r="A1336" s="8">
        <v>42105</v>
      </c>
      <c r="B1336" s="71">
        <v>0.58333333333333337</v>
      </c>
      <c r="C1336">
        <v>16.100000000000001</v>
      </c>
      <c r="D1336">
        <v>0</v>
      </c>
      <c r="E1336">
        <v>238</v>
      </c>
      <c r="F1336">
        <v>212</v>
      </c>
    </row>
    <row r="1337" spans="1:6" x14ac:dyDescent="0.35">
      <c r="A1337" s="8">
        <v>42105</v>
      </c>
      <c r="B1337" s="71">
        <v>0.625</v>
      </c>
      <c r="C1337">
        <v>16.899999999999999</v>
      </c>
      <c r="D1337">
        <v>0</v>
      </c>
      <c r="E1337">
        <v>285</v>
      </c>
      <c r="F1337">
        <v>223</v>
      </c>
    </row>
    <row r="1338" spans="1:6" x14ac:dyDescent="0.35">
      <c r="A1338" s="8">
        <v>42105</v>
      </c>
      <c r="B1338" s="71">
        <v>0.66666666666666663</v>
      </c>
      <c r="C1338">
        <v>17</v>
      </c>
      <c r="D1338">
        <v>0</v>
      </c>
      <c r="E1338">
        <v>228</v>
      </c>
      <c r="F1338">
        <v>193</v>
      </c>
    </row>
    <row r="1339" spans="1:6" x14ac:dyDescent="0.35">
      <c r="A1339" s="8">
        <v>42105</v>
      </c>
      <c r="B1339" s="71">
        <v>0.70833333333333337</v>
      </c>
      <c r="C1339">
        <v>16.7</v>
      </c>
      <c r="D1339">
        <v>0</v>
      </c>
      <c r="E1339">
        <v>175</v>
      </c>
      <c r="F1339">
        <v>184</v>
      </c>
    </row>
    <row r="1340" spans="1:6" x14ac:dyDescent="0.35">
      <c r="A1340" s="8">
        <v>42105</v>
      </c>
      <c r="B1340" s="71">
        <v>0.75</v>
      </c>
      <c r="C1340">
        <v>16.600000000000001</v>
      </c>
      <c r="D1340">
        <v>0</v>
      </c>
      <c r="E1340">
        <v>214</v>
      </c>
      <c r="F1340">
        <v>159</v>
      </c>
    </row>
    <row r="1341" spans="1:6" x14ac:dyDescent="0.35">
      <c r="A1341" s="8">
        <v>42105</v>
      </c>
      <c r="B1341" s="71">
        <v>0.79166666666666663</v>
      </c>
      <c r="C1341">
        <v>16.2</v>
      </c>
      <c r="D1341">
        <v>0</v>
      </c>
      <c r="E1341">
        <v>165</v>
      </c>
      <c r="F1341">
        <v>113</v>
      </c>
    </row>
    <row r="1342" spans="1:6" x14ac:dyDescent="0.35">
      <c r="A1342" s="8">
        <v>42105</v>
      </c>
      <c r="B1342" s="71">
        <v>0.83333333333333337</v>
      </c>
      <c r="C1342">
        <v>15.1</v>
      </c>
      <c r="D1342">
        <v>0</v>
      </c>
      <c r="E1342">
        <v>103</v>
      </c>
      <c r="F1342">
        <v>51</v>
      </c>
    </row>
    <row r="1343" spans="1:6" x14ac:dyDescent="0.35">
      <c r="A1343" s="8">
        <v>42105</v>
      </c>
      <c r="B1343" s="71">
        <v>0.875</v>
      </c>
      <c r="C1343">
        <v>13.5</v>
      </c>
      <c r="D1343">
        <v>0</v>
      </c>
      <c r="E1343">
        <v>6</v>
      </c>
      <c r="F1343">
        <v>9</v>
      </c>
    </row>
    <row r="1344" spans="1:6" x14ac:dyDescent="0.35">
      <c r="A1344" s="8">
        <v>42105</v>
      </c>
      <c r="B1344" s="71">
        <v>0.91666666666666663</v>
      </c>
      <c r="C1344">
        <v>12.1</v>
      </c>
      <c r="D1344">
        <v>0</v>
      </c>
      <c r="E1344">
        <v>0</v>
      </c>
      <c r="F1344">
        <v>0</v>
      </c>
    </row>
    <row r="1345" spans="1:6" x14ac:dyDescent="0.35">
      <c r="A1345" s="8">
        <v>42105</v>
      </c>
      <c r="B1345" s="71">
        <v>0.95833333333333337</v>
      </c>
      <c r="C1345">
        <v>11</v>
      </c>
      <c r="D1345">
        <v>0</v>
      </c>
      <c r="E1345">
        <v>0</v>
      </c>
      <c r="F1345">
        <v>0</v>
      </c>
    </row>
    <row r="1346" spans="1:6" x14ac:dyDescent="0.35">
      <c r="A1346" s="8">
        <v>42106</v>
      </c>
      <c r="B1346" s="71">
        <v>0</v>
      </c>
      <c r="C1346">
        <v>9.9</v>
      </c>
      <c r="D1346">
        <v>0</v>
      </c>
      <c r="E1346">
        <v>0</v>
      </c>
      <c r="F1346">
        <v>0</v>
      </c>
    </row>
    <row r="1347" spans="1:6" x14ac:dyDescent="0.35">
      <c r="A1347" s="8">
        <v>42106</v>
      </c>
      <c r="B1347" s="71">
        <v>4.1666666666666664E-2</v>
      </c>
      <c r="C1347">
        <v>8.9</v>
      </c>
      <c r="D1347">
        <v>0</v>
      </c>
      <c r="E1347">
        <v>0</v>
      </c>
      <c r="F1347">
        <v>0</v>
      </c>
    </row>
    <row r="1348" spans="1:6" x14ac:dyDescent="0.35">
      <c r="A1348" s="8">
        <v>42106</v>
      </c>
      <c r="B1348" s="71">
        <v>8.3333333333333329E-2</v>
      </c>
      <c r="C1348">
        <v>8.3000000000000007</v>
      </c>
      <c r="D1348">
        <v>0</v>
      </c>
      <c r="E1348">
        <v>0</v>
      </c>
      <c r="F1348">
        <v>0</v>
      </c>
    </row>
    <row r="1349" spans="1:6" x14ac:dyDescent="0.35">
      <c r="A1349" s="8">
        <v>42106</v>
      </c>
      <c r="B1349" s="71">
        <v>0.125</v>
      </c>
      <c r="C1349">
        <v>7.7</v>
      </c>
      <c r="D1349">
        <v>0</v>
      </c>
      <c r="E1349">
        <v>0</v>
      </c>
      <c r="F1349">
        <v>0</v>
      </c>
    </row>
    <row r="1350" spans="1:6" x14ac:dyDescent="0.35">
      <c r="A1350" s="8">
        <v>42106</v>
      </c>
      <c r="B1350" s="71">
        <v>0.16666666666666666</v>
      </c>
      <c r="C1350">
        <v>7.2</v>
      </c>
      <c r="D1350">
        <v>0</v>
      </c>
      <c r="E1350">
        <v>0</v>
      </c>
      <c r="F1350">
        <v>0</v>
      </c>
    </row>
    <row r="1351" spans="1:6" x14ac:dyDescent="0.35">
      <c r="A1351" s="8">
        <v>42106</v>
      </c>
      <c r="B1351" s="71">
        <v>0.20833333333333334</v>
      </c>
      <c r="C1351">
        <v>6.8</v>
      </c>
      <c r="D1351">
        <v>0</v>
      </c>
      <c r="E1351">
        <v>0</v>
      </c>
      <c r="F1351">
        <v>0</v>
      </c>
    </row>
    <row r="1352" spans="1:6" x14ac:dyDescent="0.35">
      <c r="A1352" s="8">
        <v>42106</v>
      </c>
      <c r="B1352" s="71">
        <v>0.25</v>
      </c>
      <c r="C1352">
        <v>6.5</v>
      </c>
      <c r="D1352">
        <v>0</v>
      </c>
      <c r="E1352">
        <v>0</v>
      </c>
      <c r="F1352">
        <v>0</v>
      </c>
    </row>
    <row r="1353" spans="1:6" x14ac:dyDescent="0.35">
      <c r="A1353" s="8">
        <v>42106</v>
      </c>
      <c r="B1353" s="71">
        <v>0.29166666666666669</v>
      </c>
      <c r="C1353">
        <v>6.3</v>
      </c>
      <c r="D1353">
        <v>0</v>
      </c>
      <c r="E1353">
        <v>0</v>
      </c>
      <c r="F1353">
        <v>0</v>
      </c>
    </row>
    <row r="1354" spans="1:6" x14ac:dyDescent="0.35">
      <c r="A1354" s="8">
        <v>42106</v>
      </c>
      <c r="B1354" s="71">
        <v>0.33333333333333331</v>
      </c>
      <c r="C1354">
        <v>6.4</v>
      </c>
      <c r="D1354">
        <v>0</v>
      </c>
      <c r="E1354">
        <v>5</v>
      </c>
      <c r="F1354">
        <v>7</v>
      </c>
    </row>
    <row r="1355" spans="1:6" x14ac:dyDescent="0.35">
      <c r="A1355" s="8">
        <v>42106</v>
      </c>
      <c r="B1355" s="71">
        <v>0.375</v>
      </c>
      <c r="C1355">
        <v>9.1999999999999993</v>
      </c>
      <c r="D1355">
        <v>0</v>
      </c>
      <c r="E1355">
        <v>66</v>
      </c>
      <c r="F1355">
        <v>53</v>
      </c>
    </row>
    <row r="1356" spans="1:6" x14ac:dyDescent="0.35">
      <c r="A1356" s="8">
        <v>42106</v>
      </c>
      <c r="B1356" s="71">
        <v>0.41666666666666669</v>
      </c>
      <c r="C1356">
        <v>12.3</v>
      </c>
      <c r="D1356">
        <v>0</v>
      </c>
      <c r="E1356">
        <v>213</v>
      </c>
      <c r="F1356">
        <v>87</v>
      </c>
    </row>
    <row r="1357" spans="1:6" x14ac:dyDescent="0.35">
      <c r="A1357" s="8">
        <v>42106</v>
      </c>
      <c r="B1357" s="71">
        <v>0.45833333333333331</v>
      </c>
      <c r="C1357">
        <v>15.2</v>
      </c>
      <c r="D1357">
        <v>0</v>
      </c>
      <c r="E1357">
        <v>373</v>
      </c>
      <c r="F1357">
        <v>106</v>
      </c>
    </row>
    <row r="1358" spans="1:6" x14ac:dyDescent="0.35">
      <c r="A1358" s="8">
        <v>42106</v>
      </c>
      <c r="B1358" s="71">
        <v>0.5</v>
      </c>
      <c r="C1358">
        <v>17.899999999999999</v>
      </c>
      <c r="D1358">
        <v>0</v>
      </c>
      <c r="E1358">
        <v>549</v>
      </c>
      <c r="F1358">
        <v>99</v>
      </c>
    </row>
    <row r="1359" spans="1:6" x14ac:dyDescent="0.35">
      <c r="A1359" s="8">
        <v>42106</v>
      </c>
      <c r="B1359" s="71">
        <v>0.54166666666666663</v>
      </c>
      <c r="C1359">
        <v>19.7</v>
      </c>
      <c r="D1359">
        <v>0</v>
      </c>
      <c r="E1359">
        <v>663</v>
      </c>
      <c r="F1359">
        <v>101</v>
      </c>
    </row>
    <row r="1360" spans="1:6" x14ac:dyDescent="0.35">
      <c r="A1360" s="8">
        <v>42106</v>
      </c>
      <c r="B1360" s="71">
        <v>0.58333333333333337</v>
      </c>
      <c r="C1360">
        <v>21</v>
      </c>
      <c r="D1360">
        <v>0</v>
      </c>
      <c r="E1360">
        <v>719</v>
      </c>
      <c r="F1360">
        <v>104</v>
      </c>
    </row>
    <row r="1361" spans="1:6" x14ac:dyDescent="0.35">
      <c r="A1361" s="8">
        <v>42106</v>
      </c>
      <c r="B1361" s="71">
        <v>0.625</v>
      </c>
      <c r="C1361">
        <v>22</v>
      </c>
      <c r="D1361">
        <v>0</v>
      </c>
      <c r="E1361">
        <v>702</v>
      </c>
      <c r="F1361">
        <v>117</v>
      </c>
    </row>
    <row r="1362" spans="1:6" x14ac:dyDescent="0.35">
      <c r="A1362" s="8">
        <v>42106</v>
      </c>
      <c r="B1362" s="71">
        <v>0.66666666666666663</v>
      </c>
      <c r="C1362">
        <v>22.7</v>
      </c>
      <c r="D1362">
        <v>0</v>
      </c>
      <c r="E1362">
        <v>659</v>
      </c>
      <c r="F1362">
        <v>109</v>
      </c>
    </row>
    <row r="1363" spans="1:6" x14ac:dyDescent="0.35">
      <c r="A1363" s="8">
        <v>42106</v>
      </c>
      <c r="B1363" s="71">
        <v>0.70833333333333337</v>
      </c>
      <c r="C1363">
        <v>23</v>
      </c>
      <c r="D1363">
        <v>0</v>
      </c>
      <c r="E1363">
        <v>463</v>
      </c>
      <c r="F1363">
        <v>108</v>
      </c>
    </row>
    <row r="1364" spans="1:6" x14ac:dyDescent="0.35">
      <c r="A1364" s="8">
        <v>42106</v>
      </c>
      <c r="B1364" s="71">
        <v>0.75</v>
      </c>
      <c r="C1364">
        <v>23</v>
      </c>
      <c r="D1364">
        <v>0</v>
      </c>
      <c r="E1364">
        <v>366</v>
      </c>
      <c r="F1364">
        <v>91</v>
      </c>
    </row>
    <row r="1365" spans="1:6" x14ac:dyDescent="0.35">
      <c r="A1365" s="8">
        <v>42106</v>
      </c>
      <c r="B1365" s="71">
        <v>0.79166666666666663</v>
      </c>
      <c r="C1365">
        <v>22.5</v>
      </c>
      <c r="D1365">
        <v>0</v>
      </c>
      <c r="E1365">
        <v>229</v>
      </c>
      <c r="F1365">
        <v>79</v>
      </c>
    </row>
    <row r="1366" spans="1:6" x14ac:dyDescent="0.35">
      <c r="A1366" s="8">
        <v>42106</v>
      </c>
      <c r="B1366" s="71">
        <v>0.83333333333333337</v>
      </c>
      <c r="C1366">
        <v>20.6</v>
      </c>
      <c r="D1366">
        <v>0</v>
      </c>
      <c r="E1366">
        <v>81</v>
      </c>
      <c r="F1366">
        <v>54</v>
      </c>
    </row>
    <row r="1367" spans="1:6" x14ac:dyDescent="0.35">
      <c r="A1367" s="8">
        <v>42106</v>
      </c>
      <c r="B1367" s="71">
        <v>0.875</v>
      </c>
      <c r="C1367">
        <v>18.3</v>
      </c>
      <c r="D1367">
        <v>0</v>
      </c>
      <c r="E1367">
        <v>10</v>
      </c>
      <c r="F1367">
        <v>10</v>
      </c>
    </row>
    <row r="1368" spans="1:6" x14ac:dyDescent="0.35">
      <c r="A1368" s="8">
        <v>42106</v>
      </c>
      <c r="B1368" s="71">
        <v>0.91666666666666663</v>
      </c>
      <c r="C1368">
        <v>16.8</v>
      </c>
      <c r="D1368">
        <v>0</v>
      </c>
      <c r="E1368">
        <v>0</v>
      </c>
      <c r="F1368">
        <v>0</v>
      </c>
    </row>
    <row r="1369" spans="1:6" x14ac:dyDescent="0.35">
      <c r="A1369" s="8">
        <v>42106</v>
      </c>
      <c r="B1369" s="71">
        <v>0.95833333333333337</v>
      </c>
      <c r="C1369">
        <v>15.6</v>
      </c>
      <c r="D1369">
        <v>0</v>
      </c>
      <c r="E1369">
        <v>0</v>
      </c>
      <c r="F1369">
        <v>0</v>
      </c>
    </row>
    <row r="1370" spans="1:6" x14ac:dyDescent="0.35">
      <c r="A1370" s="8">
        <v>42107</v>
      </c>
      <c r="B1370" s="71">
        <v>0</v>
      </c>
      <c r="C1370">
        <v>14.5</v>
      </c>
      <c r="D1370">
        <v>0</v>
      </c>
      <c r="E1370">
        <v>0</v>
      </c>
      <c r="F1370">
        <v>0</v>
      </c>
    </row>
    <row r="1371" spans="1:6" x14ac:dyDescent="0.35">
      <c r="A1371" s="8">
        <v>42107</v>
      </c>
      <c r="B1371" s="71">
        <v>4.1666666666666664E-2</v>
      </c>
      <c r="C1371">
        <v>13.5</v>
      </c>
      <c r="D1371">
        <v>0</v>
      </c>
      <c r="E1371">
        <v>0</v>
      </c>
      <c r="F1371">
        <v>0</v>
      </c>
    </row>
    <row r="1372" spans="1:6" x14ac:dyDescent="0.35">
      <c r="A1372" s="8">
        <v>42107</v>
      </c>
      <c r="B1372" s="71">
        <v>8.3333333333333329E-2</v>
      </c>
      <c r="C1372">
        <v>12.5</v>
      </c>
      <c r="D1372">
        <v>0</v>
      </c>
      <c r="E1372">
        <v>0</v>
      </c>
      <c r="F1372">
        <v>0</v>
      </c>
    </row>
    <row r="1373" spans="1:6" x14ac:dyDescent="0.35">
      <c r="A1373" s="8">
        <v>42107</v>
      </c>
      <c r="B1373" s="71">
        <v>0.125</v>
      </c>
      <c r="C1373">
        <v>11.5</v>
      </c>
      <c r="D1373">
        <v>0</v>
      </c>
      <c r="E1373">
        <v>0</v>
      </c>
      <c r="F1373">
        <v>0</v>
      </c>
    </row>
    <row r="1374" spans="1:6" x14ac:dyDescent="0.35">
      <c r="A1374" s="8">
        <v>42107</v>
      </c>
      <c r="B1374" s="71">
        <v>0.16666666666666666</v>
      </c>
      <c r="C1374">
        <v>10.7</v>
      </c>
      <c r="D1374">
        <v>0</v>
      </c>
      <c r="E1374">
        <v>0</v>
      </c>
      <c r="F1374">
        <v>0</v>
      </c>
    </row>
    <row r="1375" spans="1:6" x14ac:dyDescent="0.35">
      <c r="A1375" s="8">
        <v>42107</v>
      </c>
      <c r="B1375" s="71">
        <v>0.20833333333333334</v>
      </c>
      <c r="C1375">
        <v>10</v>
      </c>
      <c r="D1375">
        <v>0</v>
      </c>
      <c r="E1375">
        <v>0</v>
      </c>
      <c r="F1375">
        <v>0</v>
      </c>
    </row>
    <row r="1376" spans="1:6" x14ac:dyDescent="0.35">
      <c r="A1376" s="8">
        <v>42107</v>
      </c>
      <c r="B1376" s="71">
        <v>0.25</v>
      </c>
      <c r="C1376">
        <v>9.5</v>
      </c>
      <c r="D1376">
        <v>0</v>
      </c>
      <c r="E1376">
        <v>0</v>
      </c>
      <c r="F1376">
        <v>0</v>
      </c>
    </row>
    <row r="1377" spans="1:6" x14ac:dyDescent="0.35">
      <c r="A1377" s="8">
        <v>42107</v>
      </c>
      <c r="B1377" s="71">
        <v>0.29166666666666669</v>
      </c>
      <c r="C1377">
        <v>9</v>
      </c>
      <c r="D1377">
        <v>0</v>
      </c>
      <c r="E1377">
        <v>0</v>
      </c>
      <c r="F1377">
        <v>0</v>
      </c>
    </row>
    <row r="1378" spans="1:6" x14ac:dyDescent="0.35">
      <c r="A1378" s="8">
        <v>42107</v>
      </c>
      <c r="B1378" s="71">
        <v>0.33333333333333331</v>
      </c>
      <c r="C1378">
        <v>8.8000000000000007</v>
      </c>
      <c r="D1378">
        <v>0</v>
      </c>
      <c r="E1378">
        <v>7</v>
      </c>
      <c r="F1378">
        <v>8</v>
      </c>
    </row>
    <row r="1379" spans="1:6" x14ac:dyDescent="0.35">
      <c r="A1379" s="8">
        <v>42107</v>
      </c>
      <c r="B1379" s="71">
        <v>0.375</v>
      </c>
      <c r="C1379">
        <v>12.1</v>
      </c>
      <c r="D1379">
        <v>0</v>
      </c>
      <c r="E1379">
        <v>99</v>
      </c>
      <c r="F1379">
        <v>46</v>
      </c>
    </row>
    <row r="1380" spans="1:6" x14ac:dyDescent="0.35">
      <c r="A1380" s="8">
        <v>42107</v>
      </c>
      <c r="B1380" s="71">
        <v>0.41666666666666669</v>
      </c>
      <c r="C1380">
        <v>15.8</v>
      </c>
      <c r="D1380">
        <v>0</v>
      </c>
      <c r="E1380">
        <v>260</v>
      </c>
      <c r="F1380">
        <v>70</v>
      </c>
    </row>
    <row r="1381" spans="1:6" x14ac:dyDescent="0.35">
      <c r="A1381" s="8">
        <v>42107</v>
      </c>
      <c r="B1381" s="71">
        <v>0.45833333333333331</v>
      </c>
      <c r="C1381">
        <v>18.8</v>
      </c>
      <c r="D1381">
        <v>0</v>
      </c>
      <c r="E1381">
        <v>428</v>
      </c>
      <c r="F1381">
        <v>83</v>
      </c>
    </row>
    <row r="1382" spans="1:6" x14ac:dyDescent="0.35">
      <c r="A1382" s="8">
        <v>42107</v>
      </c>
      <c r="B1382" s="71">
        <v>0.5</v>
      </c>
      <c r="C1382">
        <v>21.5</v>
      </c>
      <c r="D1382">
        <v>0</v>
      </c>
      <c r="E1382">
        <v>573</v>
      </c>
      <c r="F1382">
        <v>93</v>
      </c>
    </row>
    <row r="1383" spans="1:6" x14ac:dyDescent="0.35">
      <c r="A1383" s="8">
        <v>42107</v>
      </c>
      <c r="B1383" s="71">
        <v>0.54166666666666663</v>
      </c>
      <c r="C1383">
        <v>23.3</v>
      </c>
      <c r="D1383">
        <v>0</v>
      </c>
      <c r="E1383">
        <v>680</v>
      </c>
      <c r="F1383">
        <v>99</v>
      </c>
    </row>
    <row r="1384" spans="1:6" x14ac:dyDescent="0.35">
      <c r="A1384" s="8">
        <v>42107</v>
      </c>
      <c r="B1384" s="71">
        <v>0.58333333333333337</v>
      </c>
      <c r="C1384">
        <v>24.5</v>
      </c>
      <c r="D1384">
        <v>0</v>
      </c>
      <c r="E1384">
        <v>737</v>
      </c>
      <c r="F1384">
        <v>102</v>
      </c>
    </row>
    <row r="1385" spans="1:6" x14ac:dyDescent="0.35">
      <c r="A1385" s="8">
        <v>42107</v>
      </c>
      <c r="B1385" s="71">
        <v>0.625</v>
      </c>
      <c r="C1385">
        <v>25.2</v>
      </c>
      <c r="D1385">
        <v>0</v>
      </c>
      <c r="E1385">
        <v>740</v>
      </c>
      <c r="F1385">
        <v>102</v>
      </c>
    </row>
    <row r="1386" spans="1:6" x14ac:dyDescent="0.35">
      <c r="A1386" s="8">
        <v>42107</v>
      </c>
      <c r="B1386" s="71">
        <v>0.66666666666666663</v>
      </c>
      <c r="C1386">
        <v>25.5</v>
      </c>
      <c r="D1386">
        <v>0</v>
      </c>
      <c r="E1386">
        <v>689</v>
      </c>
      <c r="F1386">
        <v>98</v>
      </c>
    </row>
    <row r="1387" spans="1:6" x14ac:dyDescent="0.35">
      <c r="A1387" s="8">
        <v>42107</v>
      </c>
      <c r="B1387" s="71">
        <v>0.70833333333333337</v>
      </c>
      <c r="C1387">
        <v>25.5</v>
      </c>
      <c r="D1387">
        <v>0</v>
      </c>
      <c r="E1387">
        <v>587</v>
      </c>
      <c r="F1387">
        <v>93</v>
      </c>
    </row>
    <row r="1388" spans="1:6" x14ac:dyDescent="0.35">
      <c r="A1388" s="8">
        <v>42107</v>
      </c>
      <c r="B1388" s="71">
        <v>0.75</v>
      </c>
      <c r="C1388">
        <v>25.1</v>
      </c>
      <c r="D1388">
        <v>0</v>
      </c>
      <c r="E1388">
        <v>445</v>
      </c>
      <c r="F1388">
        <v>84</v>
      </c>
    </row>
    <row r="1389" spans="1:6" x14ac:dyDescent="0.35">
      <c r="A1389" s="8">
        <v>42107</v>
      </c>
      <c r="B1389" s="71">
        <v>0.79166666666666663</v>
      </c>
      <c r="C1389">
        <v>24.3</v>
      </c>
      <c r="D1389">
        <v>0</v>
      </c>
      <c r="E1389">
        <v>280</v>
      </c>
      <c r="F1389">
        <v>70</v>
      </c>
    </row>
    <row r="1390" spans="1:6" x14ac:dyDescent="0.35">
      <c r="A1390" s="8">
        <v>42107</v>
      </c>
      <c r="B1390" s="71">
        <v>0.83333333333333337</v>
      </c>
      <c r="C1390">
        <v>22.3</v>
      </c>
      <c r="D1390">
        <v>0</v>
      </c>
      <c r="E1390">
        <v>115</v>
      </c>
      <c r="F1390">
        <v>49</v>
      </c>
    </row>
    <row r="1391" spans="1:6" x14ac:dyDescent="0.35">
      <c r="A1391" s="8">
        <v>42107</v>
      </c>
      <c r="B1391" s="71">
        <v>0.875</v>
      </c>
      <c r="C1391">
        <v>19.899999999999999</v>
      </c>
      <c r="D1391">
        <v>0</v>
      </c>
      <c r="E1391">
        <v>12</v>
      </c>
      <c r="F1391">
        <v>10</v>
      </c>
    </row>
    <row r="1392" spans="1:6" x14ac:dyDescent="0.35">
      <c r="A1392" s="8">
        <v>42107</v>
      </c>
      <c r="B1392" s="71">
        <v>0.91666666666666663</v>
      </c>
      <c r="C1392">
        <v>18.100000000000001</v>
      </c>
      <c r="D1392">
        <v>0</v>
      </c>
      <c r="E1392">
        <v>0</v>
      </c>
      <c r="F1392">
        <v>0</v>
      </c>
    </row>
    <row r="1393" spans="1:6" x14ac:dyDescent="0.35">
      <c r="A1393" s="8">
        <v>42107</v>
      </c>
      <c r="B1393" s="71">
        <v>0.95833333333333337</v>
      </c>
      <c r="C1393">
        <v>16.600000000000001</v>
      </c>
      <c r="D1393">
        <v>0</v>
      </c>
      <c r="E1393">
        <v>0</v>
      </c>
      <c r="F1393">
        <v>0</v>
      </c>
    </row>
    <row r="1394" spans="1:6" x14ac:dyDescent="0.35">
      <c r="A1394" s="8">
        <v>42108</v>
      </c>
      <c r="B1394" s="71">
        <v>0</v>
      </c>
      <c r="C1394">
        <v>15.3</v>
      </c>
      <c r="D1394">
        <v>0</v>
      </c>
      <c r="E1394">
        <v>0</v>
      </c>
      <c r="F1394">
        <v>0</v>
      </c>
    </row>
    <row r="1395" spans="1:6" x14ac:dyDescent="0.35">
      <c r="A1395" s="8">
        <v>42108</v>
      </c>
      <c r="B1395" s="71">
        <v>4.1666666666666664E-2</v>
      </c>
      <c r="C1395">
        <v>14</v>
      </c>
      <c r="D1395">
        <v>0</v>
      </c>
      <c r="E1395">
        <v>0</v>
      </c>
      <c r="F1395">
        <v>0</v>
      </c>
    </row>
    <row r="1396" spans="1:6" x14ac:dyDescent="0.35">
      <c r="A1396" s="8">
        <v>42108</v>
      </c>
      <c r="B1396" s="71">
        <v>8.3333333333333329E-2</v>
      </c>
      <c r="C1396">
        <v>12.9</v>
      </c>
      <c r="D1396">
        <v>0</v>
      </c>
      <c r="E1396">
        <v>0</v>
      </c>
      <c r="F1396">
        <v>0</v>
      </c>
    </row>
    <row r="1397" spans="1:6" x14ac:dyDescent="0.35">
      <c r="A1397" s="8">
        <v>42108</v>
      </c>
      <c r="B1397" s="71">
        <v>0.125</v>
      </c>
      <c r="C1397">
        <v>11.8</v>
      </c>
      <c r="D1397">
        <v>0</v>
      </c>
      <c r="E1397">
        <v>0</v>
      </c>
      <c r="F1397">
        <v>0</v>
      </c>
    </row>
    <row r="1398" spans="1:6" x14ac:dyDescent="0.35">
      <c r="A1398" s="8">
        <v>42108</v>
      </c>
      <c r="B1398" s="71">
        <v>0.16666666666666666</v>
      </c>
      <c r="C1398">
        <v>11</v>
      </c>
      <c r="D1398">
        <v>0</v>
      </c>
      <c r="E1398">
        <v>0</v>
      </c>
      <c r="F1398">
        <v>0</v>
      </c>
    </row>
    <row r="1399" spans="1:6" x14ac:dyDescent="0.35">
      <c r="A1399" s="8">
        <v>42108</v>
      </c>
      <c r="B1399" s="71">
        <v>0.20833333333333334</v>
      </c>
      <c r="C1399">
        <v>10.3</v>
      </c>
      <c r="D1399">
        <v>0</v>
      </c>
      <c r="E1399">
        <v>0</v>
      </c>
      <c r="F1399">
        <v>0</v>
      </c>
    </row>
    <row r="1400" spans="1:6" x14ac:dyDescent="0.35">
      <c r="A1400" s="8">
        <v>42108</v>
      </c>
      <c r="B1400" s="71">
        <v>0.25</v>
      </c>
      <c r="C1400">
        <v>9.8000000000000007</v>
      </c>
      <c r="D1400">
        <v>0</v>
      </c>
      <c r="E1400">
        <v>0</v>
      </c>
      <c r="F1400">
        <v>0</v>
      </c>
    </row>
    <row r="1401" spans="1:6" x14ac:dyDescent="0.35">
      <c r="A1401" s="8">
        <v>42108</v>
      </c>
      <c r="B1401" s="71">
        <v>0.29166666666666669</v>
      </c>
      <c r="C1401">
        <v>9.3000000000000007</v>
      </c>
      <c r="D1401">
        <v>0</v>
      </c>
      <c r="E1401">
        <v>0</v>
      </c>
      <c r="F1401">
        <v>0</v>
      </c>
    </row>
    <row r="1402" spans="1:6" x14ac:dyDescent="0.35">
      <c r="A1402" s="8">
        <v>42108</v>
      </c>
      <c r="B1402" s="71">
        <v>0.33333333333333331</v>
      </c>
      <c r="C1402">
        <v>9.3000000000000007</v>
      </c>
      <c r="D1402">
        <v>0</v>
      </c>
      <c r="E1402">
        <v>9</v>
      </c>
      <c r="F1402">
        <v>8</v>
      </c>
    </row>
    <row r="1403" spans="1:6" x14ac:dyDescent="0.35">
      <c r="A1403" s="8">
        <v>42108</v>
      </c>
      <c r="B1403" s="71">
        <v>0.375</v>
      </c>
      <c r="C1403">
        <v>13.1</v>
      </c>
      <c r="D1403">
        <v>0</v>
      </c>
      <c r="E1403">
        <v>106</v>
      </c>
      <c r="F1403">
        <v>46</v>
      </c>
    </row>
    <row r="1404" spans="1:6" x14ac:dyDescent="0.35">
      <c r="A1404" s="8">
        <v>42108</v>
      </c>
      <c r="B1404" s="71">
        <v>0.41666666666666669</v>
      </c>
      <c r="C1404">
        <v>17</v>
      </c>
      <c r="D1404">
        <v>0</v>
      </c>
      <c r="E1404">
        <v>270</v>
      </c>
      <c r="F1404">
        <v>69</v>
      </c>
    </row>
    <row r="1405" spans="1:6" x14ac:dyDescent="0.35">
      <c r="A1405" s="8">
        <v>42108</v>
      </c>
      <c r="B1405" s="71">
        <v>0.45833333333333331</v>
      </c>
      <c r="C1405">
        <v>20.100000000000001</v>
      </c>
      <c r="D1405">
        <v>0</v>
      </c>
      <c r="E1405">
        <v>438</v>
      </c>
      <c r="F1405">
        <v>83</v>
      </c>
    </row>
    <row r="1406" spans="1:6" x14ac:dyDescent="0.35">
      <c r="A1406" s="8">
        <v>42108</v>
      </c>
      <c r="B1406" s="71">
        <v>0.5</v>
      </c>
      <c r="C1406">
        <v>22.8</v>
      </c>
      <c r="D1406">
        <v>0</v>
      </c>
      <c r="E1406">
        <v>584</v>
      </c>
      <c r="F1406">
        <v>92</v>
      </c>
    </row>
    <row r="1407" spans="1:6" x14ac:dyDescent="0.35">
      <c r="A1407" s="8">
        <v>42108</v>
      </c>
      <c r="B1407" s="71">
        <v>0.54166666666666663</v>
      </c>
      <c r="C1407">
        <v>24.9</v>
      </c>
      <c r="D1407">
        <v>0</v>
      </c>
      <c r="E1407">
        <v>690</v>
      </c>
      <c r="F1407">
        <v>98</v>
      </c>
    </row>
    <row r="1408" spans="1:6" x14ac:dyDescent="0.35">
      <c r="A1408" s="8">
        <v>42108</v>
      </c>
      <c r="B1408" s="71">
        <v>0.58333333333333337</v>
      </c>
      <c r="C1408">
        <v>26.4</v>
      </c>
      <c r="D1408">
        <v>0</v>
      </c>
      <c r="E1408">
        <v>747</v>
      </c>
      <c r="F1408">
        <v>101</v>
      </c>
    </row>
    <row r="1409" spans="1:6" x14ac:dyDescent="0.35">
      <c r="A1409" s="8">
        <v>42108</v>
      </c>
      <c r="B1409" s="71">
        <v>0.625</v>
      </c>
      <c r="C1409">
        <v>27.2</v>
      </c>
      <c r="D1409">
        <v>0</v>
      </c>
      <c r="E1409">
        <v>750</v>
      </c>
      <c r="F1409">
        <v>101</v>
      </c>
    </row>
    <row r="1410" spans="1:6" x14ac:dyDescent="0.35">
      <c r="A1410" s="8">
        <v>42108</v>
      </c>
      <c r="B1410" s="71">
        <v>0.66666666666666663</v>
      </c>
      <c r="C1410">
        <v>27.5</v>
      </c>
      <c r="D1410">
        <v>0</v>
      </c>
      <c r="E1410">
        <v>698</v>
      </c>
      <c r="F1410">
        <v>98</v>
      </c>
    </row>
    <row r="1411" spans="1:6" x14ac:dyDescent="0.35">
      <c r="A1411" s="8">
        <v>42108</v>
      </c>
      <c r="B1411" s="71">
        <v>0.70833333333333337</v>
      </c>
      <c r="C1411">
        <v>27.4</v>
      </c>
      <c r="D1411">
        <v>0</v>
      </c>
      <c r="E1411">
        <v>595</v>
      </c>
      <c r="F1411">
        <v>93</v>
      </c>
    </row>
    <row r="1412" spans="1:6" x14ac:dyDescent="0.35">
      <c r="A1412" s="8">
        <v>42108</v>
      </c>
      <c r="B1412" s="71">
        <v>0.75</v>
      </c>
      <c r="C1412">
        <v>27</v>
      </c>
      <c r="D1412">
        <v>0</v>
      </c>
      <c r="E1412">
        <v>447</v>
      </c>
      <c r="F1412">
        <v>87</v>
      </c>
    </row>
    <row r="1413" spans="1:6" x14ac:dyDescent="0.35">
      <c r="A1413" s="8">
        <v>42108</v>
      </c>
      <c r="B1413" s="71">
        <v>0.79166666666666663</v>
      </c>
      <c r="C1413">
        <v>26</v>
      </c>
      <c r="D1413">
        <v>0</v>
      </c>
      <c r="E1413">
        <v>280</v>
      </c>
      <c r="F1413">
        <v>74</v>
      </c>
    </row>
    <row r="1414" spans="1:6" x14ac:dyDescent="0.35">
      <c r="A1414" s="8">
        <v>42108</v>
      </c>
      <c r="B1414" s="71">
        <v>0.83333333333333337</v>
      </c>
      <c r="C1414">
        <v>23.9</v>
      </c>
      <c r="D1414">
        <v>0</v>
      </c>
      <c r="E1414">
        <v>119</v>
      </c>
      <c r="F1414">
        <v>49</v>
      </c>
    </row>
    <row r="1415" spans="1:6" x14ac:dyDescent="0.35">
      <c r="A1415" s="8">
        <v>42108</v>
      </c>
      <c r="B1415" s="71">
        <v>0.875</v>
      </c>
      <c r="C1415">
        <v>21.8</v>
      </c>
      <c r="D1415">
        <v>0</v>
      </c>
      <c r="E1415">
        <v>13</v>
      </c>
      <c r="F1415">
        <v>11</v>
      </c>
    </row>
    <row r="1416" spans="1:6" x14ac:dyDescent="0.35">
      <c r="A1416" s="8">
        <v>42108</v>
      </c>
      <c r="B1416" s="71">
        <v>0.91666666666666663</v>
      </c>
      <c r="C1416">
        <v>19.899999999999999</v>
      </c>
      <c r="D1416">
        <v>0</v>
      </c>
      <c r="E1416">
        <v>0</v>
      </c>
      <c r="F1416">
        <v>0</v>
      </c>
    </row>
    <row r="1417" spans="1:6" x14ac:dyDescent="0.35">
      <c r="A1417" s="8">
        <v>42108</v>
      </c>
      <c r="B1417" s="71">
        <v>0.95833333333333337</v>
      </c>
      <c r="C1417">
        <v>18.3</v>
      </c>
      <c r="D1417">
        <v>0</v>
      </c>
      <c r="E1417">
        <v>0</v>
      </c>
      <c r="F1417">
        <v>0</v>
      </c>
    </row>
    <row r="1418" spans="1:6" x14ac:dyDescent="0.35">
      <c r="A1418" s="8">
        <v>42109</v>
      </c>
      <c r="B1418" s="71">
        <v>0</v>
      </c>
      <c r="C1418">
        <v>16.8</v>
      </c>
      <c r="D1418">
        <v>0</v>
      </c>
      <c r="E1418">
        <v>0</v>
      </c>
      <c r="F1418">
        <v>0</v>
      </c>
    </row>
    <row r="1419" spans="1:6" x14ac:dyDescent="0.35">
      <c r="A1419" s="8">
        <v>42109</v>
      </c>
      <c r="B1419" s="71">
        <v>4.1666666666666664E-2</v>
      </c>
      <c r="C1419">
        <v>15.7</v>
      </c>
      <c r="D1419">
        <v>0</v>
      </c>
      <c r="E1419">
        <v>0</v>
      </c>
      <c r="F1419">
        <v>0</v>
      </c>
    </row>
    <row r="1420" spans="1:6" x14ac:dyDescent="0.35">
      <c r="A1420" s="8">
        <v>42109</v>
      </c>
      <c r="B1420" s="71">
        <v>8.3333333333333329E-2</v>
      </c>
      <c r="C1420">
        <v>14.9</v>
      </c>
      <c r="D1420">
        <v>0</v>
      </c>
      <c r="E1420">
        <v>0</v>
      </c>
      <c r="F1420">
        <v>0</v>
      </c>
    </row>
    <row r="1421" spans="1:6" x14ac:dyDescent="0.35">
      <c r="A1421" s="8">
        <v>42109</v>
      </c>
      <c r="B1421" s="71">
        <v>0.125</v>
      </c>
      <c r="C1421">
        <v>14.5</v>
      </c>
      <c r="D1421">
        <v>0</v>
      </c>
      <c r="E1421">
        <v>0</v>
      </c>
      <c r="F1421">
        <v>0</v>
      </c>
    </row>
    <row r="1422" spans="1:6" x14ac:dyDescent="0.35">
      <c r="A1422" s="8">
        <v>42109</v>
      </c>
      <c r="B1422" s="71">
        <v>0.16666666666666666</v>
      </c>
      <c r="C1422">
        <v>14.2</v>
      </c>
      <c r="D1422">
        <v>0</v>
      </c>
      <c r="E1422">
        <v>0</v>
      </c>
      <c r="F1422">
        <v>0</v>
      </c>
    </row>
    <row r="1423" spans="1:6" x14ac:dyDescent="0.35">
      <c r="A1423" s="8">
        <v>42109</v>
      </c>
      <c r="B1423" s="71">
        <v>0.20833333333333334</v>
      </c>
      <c r="C1423">
        <v>14.2</v>
      </c>
      <c r="D1423">
        <v>0</v>
      </c>
      <c r="E1423">
        <v>0</v>
      </c>
      <c r="F1423">
        <v>0</v>
      </c>
    </row>
    <row r="1424" spans="1:6" x14ac:dyDescent="0.35">
      <c r="A1424" s="8">
        <v>42109</v>
      </c>
      <c r="B1424" s="71">
        <v>0.25</v>
      </c>
      <c r="C1424">
        <v>13.9</v>
      </c>
      <c r="D1424">
        <v>0</v>
      </c>
      <c r="E1424">
        <v>0</v>
      </c>
      <c r="F1424">
        <v>0</v>
      </c>
    </row>
    <row r="1425" spans="1:6" x14ac:dyDescent="0.35">
      <c r="A1425" s="8">
        <v>42109</v>
      </c>
      <c r="B1425" s="71">
        <v>0.29166666666666669</v>
      </c>
      <c r="C1425">
        <v>13.7</v>
      </c>
      <c r="D1425">
        <v>0</v>
      </c>
      <c r="E1425">
        <v>0</v>
      </c>
      <c r="F1425">
        <v>0</v>
      </c>
    </row>
    <row r="1426" spans="1:6" x14ac:dyDescent="0.35">
      <c r="A1426" s="8">
        <v>42109</v>
      </c>
      <c r="B1426" s="71">
        <v>0.33333333333333331</v>
      </c>
      <c r="C1426">
        <v>13.3</v>
      </c>
      <c r="D1426">
        <v>0</v>
      </c>
      <c r="E1426">
        <v>4</v>
      </c>
      <c r="F1426">
        <v>11</v>
      </c>
    </row>
    <row r="1427" spans="1:6" x14ac:dyDescent="0.35">
      <c r="A1427" s="8">
        <v>42109</v>
      </c>
      <c r="B1427" s="71">
        <v>0.375</v>
      </c>
      <c r="C1427">
        <v>15</v>
      </c>
      <c r="D1427">
        <v>0</v>
      </c>
      <c r="E1427">
        <v>61</v>
      </c>
      <c r="F1427">
        <v>68</v>
      </c>
    </row>
    <row r="1428" spans="1:6" x14ac:dyDescent="0.35">
      <c r="A1428" s="8">
        <v>42109</v>
      </c>
      <c r="B1428" s="71">
        <v>0.41666666666666669</v>
      </c>
      <c r="C1428">
        <v>17.899999999999999</v>
      </c>
      <c r="D1428">
        <v>0</v>
      </c>
      <c r="E1428">
        <v>221</v>
      </c>
      <c r="F1428">
        <v>98</v>
      </c>
    </row>
    <row r="1429" spans="1:6" x14ac:dyDescent="0.35">
      <c r="A1429" s="8">
        <v>42109</v>
      </c>
      <c r="B1429" s="71">
        <v>0.45833333333333331</v>
      </c>
      <c r="C1429">
        <v>20.399999999999999</v>
      </c>
      <c r="D1429">
        <v>0</v>
      </c>
      <c r="E1429">
        <v>431</v>
      </c>
      <c r="F1429">
        <v>92</v>
      </c>
    </row>
    <row r="1430" spans="1:6" x14ac:dyDescent="0.35">
      <c r="A1430" s="8">
        <v>42109</v>
      </c>
      <c r="B1430" s="71">
        <v>0.5</v>
      </c>
      <c r="C1430">
        <v>22.8</v>
      </c>
      <c r="D1430">
        <v>0</v>
      </c>
      <c r="E1430">
        <v>591</v>
      </c>
      <c r="F1430">
        <v>91</v>
      </c>
    </row>
    <row r="1431" spans="1:6" x14ac:dyDescent="0.35">
      <c r="A1431" s="8">
        <v>42109</v>
      </c>
      <c r="B1431" s="71">
        <v>0.54166666666666663</v>
      </c>
      <c r="C1431">
        <v>24.6</v>
      </c>
      <c r="D1431">
        <v>0</v>
      </c>
      <c r="E1431">
        <v>702</v>
      </c>
      <c r="F1431">
        <v>92</v>
      </c>
    </row>
    <row r="1432" spans="1:6" x14ac:dyDescent="0.35">
      <c r="A1432" s="8">
        <v>42109</v>
      </c>
      <c r="B1432" s="71">
        <v>0.58333333333333337</v>
      </c>
      <c r="C1432">
        <v>25.8</v>
      </c>
      <c r="D1432">
        <v>0</v>
      </c>
      <c r="E1432">
        <v>676</v>
      </c>
      <c r="F1432">
        <v>150</v>
      </c>
    </row>
    <row r="1433" spans="1:6" x14ac:dyDescent="0.35">
      <c r="A1433" s="8">
        <v>42109</v>
      </c>
      <c r="B1433" s="71">
        <v>0.625</v>
      </c>
      <c r="C1433">
        <v>26.5</v>
      </c>
      <c r="D1433">
        <v>0</v>
      </c>
      <c r="E1433">
        <v>565</v>
      </c>
      <c r="F1433">
        <v>222</v>
      </c>
    </row>
    <row r="1434" spans="1:6" x14ac:dyDescent="0.35">
      <c r="A1434" s="8">
        <v>42109</v>
      </c>
      <c r="B1434" s="71">
        <v>0.66666666666666663</v>
      </c>
      <c r="C1434">
        <v>26.6</v>
      </c>
      <c r="D1434">
        <v>0</v>
      </c>
      <c r="E1434">
        <v>452</v>
      </c>
      <c r="F1434">
        <v>234</v>
      </c>
    </row>
    <row r="1435" spans="1:6" x14ac:dyDescent="0.35">
      <c r="A1435" s="8">
        <v>42109</v>
      </c>
      <c r="B1435" s="71">
        <v>0.70833333333333337</v>
      </c>
      <c r="C1435">
        <v>26.4</v>
      </c>
      <c r="D1435">
        <v>0</v>
      </c>
      <c r="E1435">
        <v>354</v>
      </c>
      <c r="F1435">
        <v>223</v>
      </c>
    </row>
    <row r="1436" spans="1:6" x14ac:dyDescent="0.35">
      <c r="A1436" s="8">
        <v>42109</v>
      </c>
      <c r="B1436" s="71">
        <v>0.75</v>
      </c>
      <c r="C1436">
        <v>26</v>
      </c>
      <c r="D1436">
        <v>0</v>
      </c>
      <c r="E1436">
        <v>270</v>
      </c>
      <c r="F1436">
        <v>182</v>
      </c>
    </row>
    <row r="1437" spans="1:6" x14ac:dyDescent="0.35">
      <c r="A1437" s="8">
        <v>42109</v>
      </c>
      <c r="B1437" s="71">
        <v>0.79166666666666663</v>
      </c>
      <c r="C1437">
        <v>24.7</v>
      </c>
      <c r="D1437">
        <v>0</v>
      </c>
      <c r="E1437">
        <v>108</v>
      </c>
      <c r="F1437">
        <v>164</v>
      </c>
    </row>
    <row r="1438" spans="1:6" x14ac:dyDescent="0.35">
      <c r="A1438" s="8">
        <v>42109</v>
      </c>
      <c r="B1438" s="71">
        <v>0.83333333333333337</v>
      </c>
      <c r="C1438">
        <v>22.5</v>
      </c>
      <c r="D1438">
        <v>0</v>
      </c>
      <c r="E1438">
        <v>8</v>
      </c>
      <c r="F1438">
        <v>93</v>
      </c>
    </row>
    <row r="1439" spans="1:6" x14ac:dyDescent="0.35">
      <c r="A1439" s="8">
        <v>42109</v>
      </c>
      <c r="B1439" s="71">
        <v>0.875</v>
      </c>
      <c r="C1439">
        <v>20.7</v>
      </c>
      <c r="D1439">
        <v>0</v>
      </c>
      <c r="E1439">
        <v>0</v>
      </c>
      <c r="F1439">
        <v>14</v>
      </c>
    </row>
    <row r="1440" spans="1:6" x14ac:dyDescent="0.35">
      <c r="A1440" s="8">
        <v>42109</v>
      </c>
      <c r="B1440" s="71">
        <v>0.91666666666666663</v>
      </c>
      <c r="C1440">
        <v>18.8</v>
      </c>
      <c r="D1440">
        <v>0</v>
      </c>
      <c r="E1440">
        <v>0</v>
      </c>
      <c r="F1440">
        <v>0</v>
      </c>
    </row>
    <row r="1441" spans="1:6" x14ac:dyDescent="0.35">
      <c r="A1441" s="8">
        <v>42109</v>
      </c>
      <c r="B1441" s="71">
        <v>0.95833333333333337</v>
      </c>
      <c r="C1441">
        <v>17.7</v>
      </c>
      <c r="D1441">
        <v>0</v>
      </c>
      <c r="E1441">
        <v>0</v>
      </c>
      <c r="F1441">
        <v>0</v>
      </c>
    </row>
    <row r="1442" spans="1:6" x14ac:dyDescent="0.35">
      <c r="A1442" s="8">
        <v>42110</v>
      </c>
      <c r="B1442" s="71">
        <v>0</v>
      </c>
      <c r="C1442">
        <v>16.7</v>
      </c>
      <c r="D1442">
        <v>0</v>
      </c>
      <c r="E1442">
        <v>0</v>
      </c>
      <c r="F1442">
        <v>0</v>
      </c>
    </row>
    <row r="1443" spans="1:6" x14ac:dyDescent="0.35">
      <c r="A1443" s="8">
        <v>42110</v>
      </c>
      <c r="B1443" s="71">
        <v>4.1666666666666664E-2</v>
      </c>
      <c r="C1443">
        <v>15.8</v>
      </c>
      <c r="D1443">
        <v>0</v>
      </c>
      <c r="E1443">
        <v>0</v>
      </c>
      <c r="F1443">
        <v>0</v>
      </c>
    </row>
    <row r="1444" spans="1:6" x14ac:dyDescent="0.35">
      <c r="A1444" s="8">
        <v>42110</v>
      </c>
      <c r="B1444" s="71">
        <v>8.3333333333333329E-2</v>
      </c>
      <c r="C1444">
        <v>15.1</v>
      </c>
      <c r="D1444">
        <v>0</v>
      </c>
      <c r="E1444">
        <v>0</v>
      </c>
      <c r="F1444">
        <v>0</v>
      </c>
    </row>
    <row r="1445" spans="1:6" x14ac:dyDescent="0.35">
      <c r="A1445" s="8">
        <v>42110</v>
      </c>
      <c r="B1445" s="71">
        <v>0.125</v>
      </c>
      <c r="C1445">
        <v>14.7</v>
      </c>
      <c r="D1445">
        <v>0</v>
      </c>
      <c r="E1445">
        <v>0</v>
      </c>
      <c r="F1445">
        <v>0</v>
      </c>
    </row>
    <row r="1446" spans="1:6" x14ac:dyDescent="0.35">
      <c r="A1446" s="8">
        <v>42110</v>
      </c>
      <c r="B1446" s="71">
        <v>0.16666666666666666</v>
      </c>
      <c r="C1446">
        <v>14.5</v>
      </c>
      <c r="D1446">
        <v>0</v>
      </c>
      <c r="E1446">
        <v>0</v>
      </c>
      <c r="F1446">
        <v>0</v>
      </c>
    </row>
    <row r="1447" spans="1:6" x14ac:dyDescent="0.35">
      <c r="A1447" s="8">
        <v>42110</v>
      </c>
      <c r="B1447" s="71">
        <v>0.20833333333333334</v>
      </c>
      <c r="C1447">
        <v>14.5</v>
      </c>
      <c r="D1447">
        <v>0.1</v>
      </c>
      <c r="E1447">
        <v>0</v>
      </c>
      <c r="F1447">
        <v>0</v>
      </c>
    </row>
    <row r="1448" spans="1:6" x14ac:dyDescent="0.35">
      <c r="A1448" s="8">
        <v>42110</v>
      </c>
      <c r="B1448" s="71">
        <v>0.25</v>
      </c>
      <c r="C1448">
        <v>14.3</v>
      </c>
      <c r="D1448">
        <v>0</v>
      </c>
      <c r="E1448">
        <v>0</v>
      </c>
      <c r="F1448">
        <v>0</v>
      </c>
    </row>
    <row r="1449" spans="1:6" x14ac:dyDescent="0.35">
      <c r="A1449" s="8">
        <v>42110</v>
      </c>
      <c r="B1449" s="71">
        <v>0.29166666666666669</v>
      </c>
      <c r="C1449">
        <v>13.3</v>
      </c>
      <c r="D1449">
        <v>0</v>
      </c>
      <c r="E1449">
        <v>0</v>
      </c>
      <c r="F1449">
        <v>0</v>
      </c>
    </row>
    <row r="1450" spans="1:6" x14ac:dyDescent="0.35">
      <c r="A1450" s="8">
        <v>42110</v>
      </c>
      <c r="B1450" s="71">
        <v>0.33333333333333331</v>
      </c>
      <c r="C1450">
        <v>13.3</v>
      </c>
      <c r="D1450">
        <v>0</v>
      </c>
      <c r="E1450">
        <v>2</v>
      </c>
      <c r="F1450">
        <v>8</v>
      </c>
    </row>
    <row r="1451" spans="1:6" x14ac:dyDescent="0.35">
      <c r="A1451" s="8">
        <v>42110</v>
      </c>
      <c r="B1451" s="71">
        <v>0.375</v>
      </c>
      <c r="C1451">
        <v>15</v>
      </c>
      <c r="D1451">
        <v>0</v>
      </c>
      <c r="E1451">
        <v>20</v>
      </c>
      <c r="F1451">
        <v>45</v>
      </c>
    </row>
    <row r="1452" spans="1:6" x14ac:dyDescent="0.35">
      <c r="A1452" s="8">
        <v>42110</v>
      </c>
      <c r="B1452" s="71">
        <v>0.41666666666666669</v>
      </c>
      <c r="C1452">
        <v>16.3</v>
      </c>
      <c r="D1452">
        <v>0</v>
      </c>
      <c r="E1452">
        <v>52</v>
      </c>
      <c r="F1452">
        <v>121</v>
      </c>
    </row>
    <row r="1453" spans="1:6" x14ac:dyDescent="0.35">
      <c r="A1453" s="8">
        <v>42110</v>
      </c>
      <c r="B1453" s="71">
        <v>0.45833333333333331</v>
      </c>
      <c r="C1453">
        <v>16.7</v>
      </c>
      <c r="D1453">
        <v>0</v>
      </c>
      <c r="E1453">
        <v>50</v>
      </c>
      <c r="F1453">
        <v>161</v>
      </c>
    </row>
    <row r="1454" spans="1:6" x14ac:dyDescent="0.35">
      <c r="A1454" s="8">
        <v>42110</v>
      </c>
      <c r="B1454" s="71">
        <v>0.5</v>
      </c>
      <c r="C1454">
        <v>17.600000000000001</v>
      </c>
      <c r="D1454">
        <v>0.1</v>
      </c>
      <c r="E1454">
        <v>87</v>
      </c>
      <c r="F1454">
        <v>266</v>
      </c>
    </row>
    <row r="1455" spans="1:6" x14ac:dyDescent="0.35">
      <c r="A1455" s="8">
        <v>42110</v>
      </c>
      <c r="B1455" s="71">
        <v>0.54166666666666663</v>
      </c>
      <c r="C1455">
        <v>18.2</v>
      </c>
      <c r="D1455">
        <v>0</v>
      </c>
      <c r="E1455">
        <v>157</v>
      </c>
      <c r="F1455">
        <v>275</v>
      </c>
    </row>
    <row r="1456" spans="1:6" x14ac:dyDescent="0.35">
      <c r="A1456" s="8">
        <v>42110</v>
      </c>
      <c r="B1456" s="71">
        <v>0.58333333333333337</v>
      </c>
      <c r="C1456">
        <v>19.100000000000001</v>
      </c>
      <c r="D1456">
        <v>0.4</v>
      </c>
      <c r="E1456">
        <v>355</v>
      </c>
      <c r="F1456">
        <v>239</v>
      </c>
    </row>
    <row r="1457" spans="1:6" x14ac:dyDescent="0.35">
      <c r="A1457" s="8">
        <v>42110</v>
      </c>
      <c r="B1457" s="71">
        <v>0.625</v>
      </c>
      <c r="C1457">
        <v>19.399999999999999</v>
      </c>
      <c r="D1457">
        <v>0</v>
      </c>
      <c r="E1457">
        <v>195</v>
      </c>
      <c r="F1457">
        <v>277</v>
      </c>
    </row>
    <row r="1458" spans="1:6" x14ac:dyDescent="0.35">
      <c r="A1458" s="8">
        <v>42110</v>
      </c>
      <c r="B1458" s="71">
        <v>0.66666666666666663</v>
      </c>
      <c r="C1458">
        <v>19.399999999999999</v>
      </c>
      <c r="D1458">
        <v>0</v>
      </c>
      <c r="E1458">
        <v>318</v>
      </c>
      <c r="F1458">
        <v>229</v>
      </c>
    </row>
    <row r="1459" spans="1:6" x14ac:dyDescent="0.35">
      <c r="A1459" s="8">
        <v>42110</v>
      </c>
      <c r="B1459" s="71">
        <v>0.70833333333333337</v>
      </c>
      <c r="C1459">
        <v>19</v>
      </c>
      <c r="D1459">
        <v>0</v>
      </c>
      <c r="E1459">
        <v>231</v>
      </c>
      <c r="F1459">
        <v>227</v>
      </c>
    </row>
    <row r="1460" spans="1:6" x14ac:dyDescent="0.35">
      <c r="A1460" s="8">
        <v>42110</v>
      </c>
      <c r="B1460" s="71">
        <v>0.75</v>
      </c>
      <c r="C1460">
        <v>18.7</v>
      </c>
      <c r="D1460">
        <v>0</v>
      </c>
      <c r="E1460">
        <v>202</v>
      </c>
      <c r="F1460">
        <v>139</v>
      </c>
    </row>
    <row r="1461" spans="1:6" x14ac:dyDescent="0.35">
      <c r="A1461" s="8">
        <v>42110</v>
      </c>
      <c r="B1461" s="71">
        <v>0.79166666666666663</v>
      </c>
      <c r="C1461">
        <v>18.399999999999999</v>
      </c>
      <c r="D1461">
        <v>0</v>
      </c>
      <c r="E1461">
        <v>128</v>
      </c>
      <c r="F1461">
        <v>131</v>
      </c>
    </row>
    <row r="1462" spans="1:6" x14ac:dyDescent="0.35">
      <c r="A1462" s="8">
        <v>42110</v>
      </c>
      <c r="B1462" s="71">
        <v>0.83333333333333337</v>
      </c>
      <c r="C1462">
        <v>17.8</v>
      </c>
      <c r="D1462">
        <v>0</v>
      </c>
      <c r="E1462">
        <v>68</v>
      </c>
      <c r="F1462">
        <v>53</v>
      </c>
    </row>
    <row r="1463" spans="1:6" x14ac:dyDescent="0.35">
      <c r="A1463" s="8">
        <v>42110</v>
      </c>
      <c r="B1463" s="71">
        <v>0.875</v>
      </c>
      <c r="C1463">
        <v>16</v>
      </c>
      <c r="D1463">
        <v>0</v>
      </c>
      <c r="E1463">
        <v>6</v>
      </c>
      <c r="F1463">
        <v>15</v>
      </c>
    </row>
    <row r="1464" spans="1:6" x14ac:dyDescent="0.35">
      <c r="A1464" s="8">
        <v>42110</v>
      </c>
      <c r="B1464" s="71">
        <v>0.91666666666666663</v>
      </c>
      <c r="C1464">
        <v>14.9</v>
      </c>
      <c r="D1464">
        <v>0</v>
      </c>
      <c r="E1464">
        <v>0</v>
      </c>
      <c r="F1464">
        <v>0</v>
      </c>
    </row>
    <row r="1465" spans="1:6" x14ac:dyDescent="0.35">
      <c r="A1465" s="8">
        <v>42110</v>
      </c>
      <c r="B1465" s="71">
        <v>0.95833333333333337</v>
      </c>
      <c r="C1465">
        <v>14.3</v>
      </c>
      <c r="D1465">
        <v>0</v>
      </c>
      <c r="E1465">
        <v>0</v>
      </c>
      <c r="F1465">
        <v>0</v>
      </c>
    </row>
    <row r="1466" spans="1:6" x14ac:dyDescent="0.35">
      <c r="A1466" s="8">
        <v>42111</v>
      </c>
      <c r="B1466" s="71">
        <v>0</v>
      </c>
      <c r="C1466">
        <v>14</v>
      </c>
      <c r="D1466">
        <v>0</v>
      </c>
      <c r="E1466">
        <v>0</v>
      </c>
      <c r="F1466">
        <v>0</v>
      </c>
    </row>
    <row r="1467" spans="1:6" x14ac:dyDescent="0.35">
      <c r="A1467" s="8">
        <v>42111</v>
      </c>
      <c r="B1467" s="71">
        <v>4.1666666666666664E-2</v>
      </c>
      <c r="C1467">
        <v>13.7</v>
      </c>
      <c r="D1467">
        <v>0.2</v>
      </c>
      <c r="E1467">
        <v>0</v>
      </c>
      <c r="F1467">
        <v>0</v>
      </c>
    </row>
    <row r="1468" spans="1:6" x14ac:dyDescent="0.35">
      <c r="A1468" s="8">
        <v>42111</v>
      </c>
      <c r="B1468" s="71">
        <v>8.3333333333333329E-2</v>
      </c>
      <c r="C1468">
        <v>13.2</v>
      </c>
      <c r="D1468">
        <v>0</v>
      </c>
      <c r="E1468">
        <v>0</v>
      </c>
      <c r="F1468">
        <v>0</v>
      </c>
    </row>
    <row r="1469" spans="1:6" x14ac:dyDescent="0.35">
      <c r="A1469" s="8">
        <v>42111</v>
      </c>
      <c r="B1469" s="71">
        <v>0.125</v>
      </c>
      <c r="C1469">
        <v>12.6</v>
      </c>
      <c r="D1469">
        <v>0</v>
      </c>
      <c r="E1469">
        <v>0</v>
      </c>
      <c r="F1469">
        <v>0</v>
      </c>
    </row>
    <row r="1470" spans="1:6" x14ac:dyDescent="0.35">
      <c r="A1470" s="8">
        <v>42111</v>
      </c>
      <c r="B1470" s="71">
        <v>0.16666666666666666</v>
      </c>
      <c r="C1470">
        <v>12.4</v>
      </c>
      <c r="D1470">
        <v>0</v>
      </c>
      <c r="E1470">
        <v>0</v>
      </c>
      <c r="F1470">
        <v>0</v>
      </c>
    </row>
    <row r="1471" spans="1:6" x14ac:dyDescent="0.35">
      <c r="A1471" s="8">
        <v>42111</v>
      </c>
      <c r="B1471" s="71">
        <v>0.20833333333333334</v>
      </c>
      <c r="C1471">
        <v>12.3</v>
      </c>
      <c r="D1471">
        <v>0</v>
      </c>
      <c r="E1471">
        <v>0</v>
      </c>
      <c r="F1471">
        <v>0</v>
      </c>
    </row>
    <row r="1472" spans="1:6" x14ac:dyDescent="0.35">
      <c r="A1472" s="8">
        <v>42111</v>
      </c>
      <c r="B1472" s="71">
        <v>0.25</v>
      </c>
      <c r="C1472">
        <v>12.4</v>
      </c>
      <c r="D1472">
        <v>0</v>
      </c>
      <c r="E1472">
        <v>0</v>
      </c>
      <c r="F1472">
        <v>0</v>
      </c>
    </row>
    <row r="1473" spans="1:6" x14ac:dyDescent="0.35">
      <c r="A1473" s="8">
        <v>42111</v>
      </c>
      <c r="B1473" s="71">
        <v>0.29166666666666669</v>
      </c>
      <c r="C1473">
        <v>12.3</v>
      </c>
      <c r="D1473">
        <v>0.1</v>
      </c>
      <c r="E1473">
        <v>0</v>
      </c>
      <c r="F1473">
        <v>0</v>
      </c>
    </row>
    <row r="1474" spans="1:6" x14ac:dyDescent="0.35">
      <c r="A1474" s="8">
        <v>42111</v>
      </c>
      <c r="B1474" s="71">
        <v>0.33333333333333331</v>
      </c>
      <c r="C1474">
        <v>12.4</v>
      </c>
      <c r="D1474">
        <v>0.3</v>
      </c>
      <c r="E1474">
        <v>2</v>
      </c>
      <c r="F1474">
        <v>10</v>
      </c>
    </row>
    <row r="1475" spans="1:6" x14ac:dyDescent="0.35">
      <c r="A1475" s="8">
        <v>42111</v>
      </c>
      <c r="B1475" s="71">
        <v>0.375</v>
      </c>
      <c r="C1475">
        <v>13</v>
      </c>
      <c r="D1475">
        <v>0.1</v>
      </c>
      <c r="E1475">
        <v>31</v>
      </c>
      <c r="F1475">
        <v>51</v>
      </c>
    </row>
    <row r="1476" spans="1:6" x14ac:dyDescent="0.35">
      <c r="A1476" s="8">
        <v>42111</v>
      </c>
      <c r="B1476" s="71">
        <v>0.41666666666666669</v>
      </c>
      <c r="C1476">
        <v>13.8</v>
      </c>
      <c r="D1476">
        <v>0.2</v>
      </c>
      <c r="E1476">
        <v>107</v>
      </c>
      <c r="F1476">
        <v>103</v>
      </c>
    </row>
    <row r="1477" spans="1:6" x14ac:dyDescent="0.35">
      <c r="A1477" s="8">
        <v>42111</v>
      </c>
      <c r="B1477" s="71">
        <v>0.45833333333333331</v>
      </c>
      <c r="C1477">
        <v>14.7</v>
      </c>
      <c r="D1477">
        <v>0</v>
      </c>
      <c r="E1477">
        <v>218</v>
      </c>
      <c r="F1477">
        <v>155</v>
      </c>
    </row>
    <row r="1478" spans="1:6" x14ac:dyDescent="0.35">
      <c r="A1478" s="8">
        <v>42111</v>
      </c>
      <c r="B1478" s="71">
        <v>0.5</v>
      </c>
      <c r="C1478">
        <v>15.5</v>
      </c>
      <c r="D1478">
        <v>0</v>
      </c>
      <c r="E1478">
        <v>221</v>
      </c>
      <c r="F1478">
        <v>220</v>
      </c>
    </row>
    <row r="1479" spans="1:6" x14ac:dyDescent="0.35">
      <c r="A1479" s="8">
        <v>42111</v>
      </c>
      <c r="B1479" s="71">
        <v>0.54166666666666663</v>
      </c>
      <c r="C1479">
        <v>16.8</v>
      </c>
      <c r="D1479">
        <v>0</v>
      </c>
      <c r="E1479">
        <v>294</v>
      </c>
      <c r="F1479">
        <v>276</v>
      </c>
    </row>
    <row r="1480" spans="1:6" x14ac:dyDescent="0.35">
      <c r="A1480" s="8">
        <v>42111</v>
      </c>
      <c r="B1480" s="71">
        <v>0.58333333333333337</v>
      </c>
      <c r="C1480">
        <v>17.600000000000001</v>
      </c>
      <c r="D1480">
        <v>0</v>
      </c>
      <c r="E1480">
        <v>366</v>
      </c>
      <c r="F1480">
        <v>256</v>
      </c>
    </row>
    <row r="1481" spans="1:6" x14ac:dyDescent="0.35">
      <c r="A1481" s="8">
        <v>42111</v>
      </c>
      <c r="B1481" s="71">
        <v>0.625</v>
      </c>
      <c r="C1481">
        <v>17.3</v>
      </c>
      <c r="D1481">
        <v>0</v>
      </c>
      <c r="E1481">
        <v>198</v>
      </c>
      <c r="F1481">
        <v>292</v>
      </c>
    </row>
    <row r="1482" spans="1:6" x14ac:dyDescent="0.35">
      <c r="A1482" s="8">
        <v>42111</v>
      </c>
      <c r="B1482" s="71">
        <v>0.66666666666666663</v>
      </c>
      <c r="C1482">
        <v>17.2</v>
      </c>
      <c r="D1482">
        <v>0</v>
      </c>
      <c r="E1482">
        <v>244</v>
      </c>
      <c r="F1482">
        <v>300</v>
      </c>
    </row>
    <row r="1483" spans="1:6" x14ac:dyDescent="0.35">
      <c r="A1483" s="8">
        <v>42111</v>
      </c>
      <c r="B1483" s="71">
        <v>0.70833333333333337</v>
      </c>
      <c r="C1483">
        <v>16.899999999999999</v>
      </c>
      <c r="D1483">
        <v>0</v>
      </c>
      <c r="E1483">
        <v>187</v>
      </c>
      <c r="F1483">
        <v>282</v>
      </c>
    </row>
    <row r="1484" spans="1:6" x14ac:dyDescent="0.35">
      <c r="A1484" s="8">
        <v>42111</v>
      </c>
      <c r="B1484" s="71">
        <v>0.75</v>
      </c>
      <c r="C1484">
        <v>16.3</v>
      </c>
      <c r="D1484">
        <v>0</v>
      </c>
      <c r="E1484">
        <v>89</v>
      </c>
      <c r="F1484">
        <v>237</v>
      </c>
    </row>
    <row r="1485" spans="1:6" x14ac:dyDescent="0.35">
      <c r="A1485" s="8">
        <v>42111</v>
      </c>
      <c r="B1485" s="71">
        <v>0.79166666666666663</v>
      </c>
      <c r="C1485">
        <v>16</v>
      </c>
      <c r="D1485">
        <v>0</v>
      </c>
      <c r="E1485">
        <v>106</v>
      </c>
      <c r="F1485">
        <v>145</v>
      </c>
    </row>
    <row r="1486" spans="1:6" x14ac:dyDescent="0.35">
      <c r="A1486" s="8">
        <v>42111</v>
      </c>
      <c r="B1486" s="71">
        <v>0.83333333333333337</v>
      </c>
      <c r="C1486">
        <v>15.6</v>
      </c>
      <c r="D1486">
        <v>0</v>
      </c>
      <c r="E1486">
        <v>95</v>
      </c>
      <c r="F1486">
        <v>66</v>
      </c>
    </row>
    <row r="1487" spans="1:6" x14ac:dyDescent="0.35">
      <c r="A1487" s="8">
        <v>42111</v>
      </c>
      <c r="B1487" s="71">
        <v>0.875</v>
      </c>
      <c r="C1487">
        <v>14.7</v>
      </c>
      <c r="D1487">
        <v>0</v>
      </c>
      <c r="E1487">
        <v>13</v>
      </c>
      <c r="F1487">
        <v>14</v>
      </c>
    </row>
    <row r="1488" spans="1:6" x14ac:dyDescent="0.35">
      <c r="A1488" s="8">
        <v>42111</v>
      </c>
      <c r="B1488" s="71">
        <v>0.91666666666666663</v>
      </c>
      <c r="C1488">
        <v>13.3</v>
      </c>
      <c r="D1488">
        <v>0</v>
      </c>
      <c r="E1488">
        <v>0</v>
      </c>
      <c r="F1488">
        <v>0</v>
      </c>
    </row>
    <row r="1489" spans="1:6" x14ac:dyDescent="0.35">
      <c r="A1489" s="8">
        <v>42111</v>
      </c>
      <c r="B1489" s="71">
        <v>0.95833333333333337</v>
      </c>
      <c r="C1489">
        <v>12</v>
      </c>
      <c r="D1489">
        <v>0</v>
      </c>
      <c r="E1489">
        <v>0</v>
      </c>
      <c r="F1489">
        <v>0</v>
      </c>
    </row>
    <row r="1490" spans="1:6" x14ac:dyDescent="0.35">
      <c r="A1490" s="8">
        <v>42112</v>
      </c>
      <c r="B1490" s="71">
        <v>0</v>
      </c>
      <c r="C1490">
        <v>10.8</v>
      </c>
      <c r="D1490">
        <v>0</v>
      </c>
      <c r="E1490">
        <v>0</v>
      </c>
      <c r="F1490">
        <v>0</v>
      </c>
    </row>
    <row r="1491" spans="1:6" x14ac:dyDescent="0.35">
      <c r="A1491" s="8">
        <v>42112</v>
      </c>
      <c r="B1491" s="71">
        <v>4.1666666666666664E-2</v>
      </c>
      <c r="C1491">
        <v>9.8000000000000007</v>
      </c>
      <c r="D1491">
        <v>0</v>
      </c>
      <c r="E1491">
        <v>0</v>
      </c>
      <c r="F1491">
        <v>0</v>
      </c>
    </row>
    <row r="1492" spans="1:6" x14ac:dyDescent="0.35">
      <c r="A1492" s="8">
        <v>42112</v>
      </c>
      <c r="B1492" s="71">
        <v>8.3333333333333329E-2</v>
      </c>
      <c r="C1492">
        <v>9.1</v>
      </c>
      <c r="D1492">
        <v>0</v>
      </c>
      <c r="E1492">
        <v>0</v>
      </c>
      <c r="F1492">
        <v>0</v>
      </c>
    </row>
    <row r="1493" spans="1:6" x14ac:dyDescent="0.35">
      <c r="A1493" s="8">
        <v>42112</v>
      </c>
      <c r="B1493" s="71">
        <v>0.125</v>
      </c>
      <c r="C1493">
        <v>8.6</v>
      </c>
      <c r="D1493">
        <v>0</v>
      </c>
      <c r="E1493">
        <v>0</v>
      </c>
      <c r="F1493">
        <v>0</v>
      </c>
    </row>
    <row r="1494" spans="1:6" x14ac:dyDescent="0.35">
      <c r="A1494" s="8">
        <v>42112</v>
      </c>
      <c r="B1494" s="71">
        <v>0.16666666666666666</v>
      </c>
      <c r="C1494">
        <v>8.6</v>
      </c>
      <c r="D1494">
        <v>0</v>
      </c>
      <c r="E1494">
        <v>0</v>
      </c>
      <c r="F1494">
        <v>0</v>
      </c>
    </row>
    <row r="1495" spans="1:6" x14ac:dyDescent="0.35">
      <c r="A1495" s="8">
        <v>42112</v>
      </c>
      <c r="B1495" s="71">
        <v>0.20833333333333334</v>
      </c>
      <c r="C1495">
        <v>8.5</v>
      </c>
      <c r="D1495">
        <v>0</v>
      </c>
      <c r="E1495">
        <v>0</v>
      </c>
      <c r="F1495">
        <v>0</v>
      </c>
    </row>
    <row r="1496" spans="1:6" x14ac:dyDescent="0.35">
      <c r="A1496" s="8">
        <v>42112</v>
      </c>
      <c r="B1496" s="71">
        <v>0.25</v>
      </c>
      <c r="C1496">
        <v>8.4</v>
      </c>
      <c r="D1496">
        <v>0</v>
      </c>
      <c r="E1496">
        <v>0</v>
      </c>
      <c r="F1496">
        <v>0</v>
      </c>
    </row>
    <row r="1497" spans="1:6" x14ac:dyDescent="0.35">
      <c r="A1497" s="8">
        <v>42112</v>
      </c>
      <c r="B1497" s="71">
        <v>0.29166666666666669</v>
      </c>
      <c r="C1497">
        <v>8.6</v>
      </c>
      <c r="D1497">
        <v>0</v>
      </c>
      <c r="E1497">
        <v>0</v>
      </c>
      <c r="F1497">
        <v>0</v>
      </c>
    </row>
    <row r="1498" spans="1:6" x14ac:dyDescent="0.35">
      <c r="A1498" s="8">
        <v>42112</v>
      </c>
      <c r="B1498" s="71">
        <v>0.33333333333333331</v>
      </c>
      <c r="C1498">
        <v>9.3000000000000007</v>
      </c>
      <c r="D1498">
        <v>0</v>
      </c>
      <c r="E1498">
        <v>8</v>
      </c>
      <c r="F1498">
        <v>14</v>
      </c>
    </row>
    <row r="1499" spans="1:6" x14ac:dyDescent="0.35">
      <c r="A1499" s="8">
        <v>42112</v>
      </c>
      <c r="B1499" s="71">
        <v>0.375</v>
      </c>
      <c r="C1499">
        <v>11.2</v>
      </c>
      <c r="D1499">
        <v>0.1</v>
      </c>
      <c r="E1499">
        <v>53</v>
      </c>
      <c r="F1499">
        <v>71</v>
      </c>
    </row>
    <row r="1500" spans="1:6" x14ac:dyDescent="0.35">
      <c r="A1500" s="8">
        <v>42112</v>
      </c>
      <c r="B1500" s="71">
        <v>0.41666666666666669</v>
      </c>
      <c r="C1500">
        <v>12.8</v>
      </c>
      <c r="D1500">
        <v>1</v>
      </c>
      <c r="E1500">
        <v>73</v>
      </c>
      <c r="F1500">
        <v>135</v>
      </c>
    </row>
    <row r="1501" spans="1:6" x14ac:dyDescent="0.35">
      <c r="A1501" s="8">
        <v>42112</v>
      </c>
      <c r="B1501" s="71">
        <v>0.45833333333333331</v>
      </c>
      <c r="C1501">
        <v>14.3</v>
      </c>
      <c r="D1501">
        <v>0</v>
      </c>
      <c r="E1501">
        <v>157</v>
      </c>
      <c r="F1501">
        <v>209</v>
      </c>
    </row>
    <row r="1502" spans="1:6" x14ac:dyDescent="0.35">
      <c r="A1502" s="8">
        <v>42112</v>
      </c>
      <c r="B1502" s="71">
        <v>0.5</v>
      </c>
      <c r="C1502">
        <v>15.2</v>
      </c>
      <c r="D1502">
        <v>1</v>
      </c>
      <c r="E1502">
        <v>165</v>
      </c>
      <c r="F1502">
        <v>234</v>
      </c>
    </row>
    <row r="1503" spans="1:6" x14ac:dyDescent="0.35">
      <c r="A1503" s="8">
        <v>42112</v>
      </c>
      <c r="B1503" s="71">
        <v>0.54166666666666663</v>
      </c>
      <c r="C1503">
        <v>16.5</v>
      </c>
      <c r="D1503">
        <v>0</v>
      </c>
      <c r="E1503">
        <v>168</v>
      </c>
      <c r="F1503">
        <v>271</v>
      </c>
    </row>
    <row r="1504" spans="1:6" x14ac:dyDescent="0.35">
      <c r="A1504" s="8">
        <v>42112</v>
      </c>
      <c r="B1504" s="71">
        <v>0.58333333333333337</v>
      </c>
      <c r="C1504">
        <v>18</v>
      </c>
      <c r="D1504">
        <v>0</v>
      </c>
      <c r="E1504">
        <v>298</v>
      </c>
      <c r="F1504">
        <v>269</v>
      </c>
    </row>
    <row r="1505" spans="1:6" x14ac:dyDescent="0.35">
      <c r="A1505" s="8">
        <v>42112</v>
      </c>
      <c r="B1505" s="71">
        <v>0.625</v>
      </c>
      <c r="C1505">
        <v>19.5</v>
      </c>
      <c r="D1505">
        <v>0</v>
      </c>
      <c r="E1505">
        <v>262</v>
      </c>
      <c r="F1505">
        <v>304</v>
      </c>
    </row>
    <row r="1506" spans="1:6" x14ac:dyDescent="0.35">
      <c r="A1506" s="8">
        <v>42112</v>
      </c>
      <c r="B1506" s="71">
        <v>0.66666666666666663</v>
      </c>
      <c r="C1506">
        <v>20.6</v>
      </c>
      <c r="D1506">
        <v>0</v>
      </c>
      <c r="E1506">
        <v>311</v>
      </c>
      <c r="F1506">
        <v>249</v>
      </c>
    </row>
    <row r="1507" spans="1:6" x14ac:dyDescent="0.35">
      <c r="A1507" s="8">
        <v>42112</v>
      </c>
      <c r="B1507" s="71">
        <v>0.70833333333333337</v>
      </c>
      <c r="C1507">
        <v>20.9</v>
      </c>
      <c r="D1507">
        <v>0</v>
      </c>
      <c r="E1507">
        <v>218</v>
      </c>
      <c r="F1507">
        <v>246</v>
      </c>
    </row>
    <row r="1508" spans="1:6" x14ac:dyDescent="0.35">
      <c r="A1508" s="8">
        <v>42112</v>
      </c>
      <c r="B1508" s="71">
        <v>0.75</v>
      </c>
      <c r="C1508">
        <v>20.5</v>
      </c>
      <c r="D1508">
        <v>0</v>
      </c>
      <c r="E1508">
        <v>40</v>
      </c>
      <c r="F1508">
        <v>190</v>
      </c>
    </row>
    <row r="1509" spans="1:6" x14ac:dyDescent="0.35">
      <c r="A1509" s="8">
        <v>42112</v>
      </c>
      <c r="B1509" s="71">
        <v>0.79166666666666663</v>
      </c>
      <c r="C1509">
        <v>19</v>
      </c>
      <c r="D1509">
        <v>0.4</v>
      </c>
      <c r="E1509">
        <v>17</v>
      </c>
      <c r="F1509">
        <v>117</v>
      </c>
    </row>
    <row r="1510" spans="1:6" x14ac:dyDescent="0.35">
      <c r="A1510" s="8">
        <v>42112</v>
      </c>
      <c r="B1510" s="71">
        <v>0.83333333333333337</v>
      </c>
      <c r="C1510">
        <v>17</v>
      </c>
      <c r="D1510">
        <v>0.9</v>
      </c>
      <c r="E1510">
        <v>0</v>
      </c>
      <c r="F1510">
        <v>37</v>
      </c>
    </row>
    <row r="1511" spans="1:6" x14ac:dyDescent="0.35">
      <c r="A1511" s="8">
        <v>42112</v>
      </c>
      <c r="B1511" s="71">
        <v>0.875</v>
      </c>
      <c r="C1511">
        <v>14.1</v>
      </c>
      <c r="D1511">
        <v>2.5</v>
      </c>
      <c r="E1511">
        <v>0</v>
      </c>
      <c r="F1511">
        <v>5</v>
      </c>
    </row>
    <row r="1512" spans="1:6" x14ac:dyDescent="0.35">
      <c r="A1512" s="8">
        <v>42112</v>
      </c>
      <c r="B1512" s="71">
        <v>0.91666666666666663</v>
      </c>
      <c r="C1512">
        <v>13.7</v>
      </c>
      <c r="D1512">
        <v>2.8</v>
      </c>
      <c r="E1512">
        <v>0</v>
      </c>
      <c r="F1512">
        <v>0</v>
      </c>
    </row>
    <row r="1513" spans="1:6" x14ac:dyDescent="0.35">
      <c r="A1513" s="8">
        <v>42112</v>
      </c>
      <c r="B1513" s="71">
        <v>0.95833333333333337</v>
      </c>
      <c r="C1513">
        <v>13.4</v>
      </c>
      <c r="D1513">
        <v>2.9</v>
      </c>
      <c r="E1513">
        <v>0</v>
      </c>
      <c r="F1513">
        <v>0</v>
      </c>
    </row>
    <row r="1514" spans="1:6" x14ac:dyDescent="0.35">
      <c r="A1514" s="8">
        <v>42113</v>
      </c>
      <c r="B1514" s="71">
        <v>0</v>
      </c>
      <c r="C1514">
        <v>13.1</v>
      </c>
      <c r="D1514">
        <v>2.9</v>
      </c>
      <c r="E1514">
        <v>0</v>
      </c>
      <c r="F1514">
        <v>0</v>
      </c>
    </row>
    <row r="1515" spans="1:6" x14ac:dyDescent="0.35">
      <c r="A1515" s="8">
        <v>42113</v>
      </c>
      <c r="B1515" s="71">
        <v>4.1666666666666664E-2</v>
      </c>
      <c r="C1515">
        <v>12.9</v>
      </c>
      <c r="D1515">
        <v>2.4</v>
      </c>
      <c r="E1515">
        <v>0</v>
      </c>
      <c r="F1515">
        <v>0</v>
      </c>
    </row>
    <row r="1516" spans="1:6" x14ac:dyDescent="0.35">
      <c r="A1516" s="8">
        <v>42113</v>
      </c>
      <c r="B1516" s="71">
        <v>8.3333333333333329E-2</v>
      </c>
      <c r="C1516">
        <v>12.5</v>
      </c>
      <c r="D1516">
        <v>1.9</v>
      </c>
      <c r="E1516">
        <v>0</v>
      </c>
      <c r="F1516">
        <v>0</v>
      </c>
    </row>
    <row r="1517" spans="1:6" x14ac:dyDescent="0.35">
      <c r="A1517" s="8">
        <v>42113</v>
      </c>
      <c r="B1517" s="71">
        <v>0.125</v>
      </c>
      <c r="C1517">
        <v>12.2</v>
      </c>
      <c r="D1517">
        <v>1</v>
      </c>
      <c r="E1517">
        <v>0</v>
      </c>
      <c r="F1517">
        <v>0</v>
      </c>
    </row>
    <row r="1518" spans="1:6" x14ac:dyDescent="0.35">
      <c r="A1518" s="8">
        <v>42113</v>
      </c>
      <c r="B1518" s="71">
        <v>0.16666666666666666</v>
      </c>
      <c r="C1518">
        <v>12</v>
      </c>
      <c r="D1518">
        <v>0.5</v>
      </c>
      <c r="E1518">
        <v>0</v>
      </c>
      <c r="F1518">
        <v>0</v>
      </c>
    </row>
    <row r="1519" spans="1:6" x14ac:dyDescent="0.35">
      <c r="A1519" s="8">
        <v>42113</v>
      </c>
      <c r="B1519" s="71">
        <v>0.20833333333333334</v>
      </c>
      <c r="C1519">
        <v>11.9</v>
      </c>
      <c r="D1519">
        <v>0.3</v>
      </c>
      <c r="E1519">
        <v>0</v>
      </c>
      <c r="F1519">
        <v>0</v>
      </c>
    </row>
    <row r="1520" spans="1:6" x14ac:dyDescent="0.35">
      <c r="A1520" s="8">
        <v>42113</v>
      </c>
      <c r="B1520" s="71">
        <v>0.25</v>
      </c>
      <c r="C1520">
        <v>11.8</v>
      </c>
      <c r="D1520">
        <v>0.4</v>
      </c>
      <c r="E1520">
        <v>0</v>
      </c>
      <c r="F1520">
        <v>0</v>
      </c>
    </row>
    <row r="1521" spans="1:6" x14ac:dyDescent="0.35">
      <c r="A1521" s="8">
        <v>42113</v>
      </c>
      <c r="B1521" s="71">
        <v>0.29166666666666669</v>
      </c>
      <c r="C1521">
        <v>11.8</v>
      </c>
      <c r="D1521">
        <v>0.2</v>
      </c>
      <c r="E1521">
        <v>0</v>
      </c>
      <c r="F1521">
        <v>0</v>
      </c>
    </row>
    <row r="1522" spans="1:6" x14ac:dyDescent="0.35">
      <c r="A1522" s="8">
        <v>42113</v>
      </c>
      <c r="B1522" s="71">
        <v>0.33333333333333331</v>
      </c>
      <c r="C1522">
        <v>11.8</v>
      </c>
      <c r="D1522">
        <v>0.2</v>
      </c>
      <c r="E1522">
        <v>0</v>
      </c>
      <c r="F1522">
        <v>3</v>
      </c>
    </row>
    <row r="1523" spans="1:6" x14ac:dyDescent="0.35">
      <c r="A1523" s="8">
        <v>42113</v>
      </c>
      <c r="B1523" s="71">
        <v>0.375</v>
      </c>
      <c r="C1523">
        <v>11.8</v>
      </c>
      <c r="D1523">
        <v>0.1</v>
      </c>
      <c r="E1523">
        <v>8</v>
      </c>
      <c r="F1523">
        <v>44</v>
      </c>
    </row>
    <row r="1524" spans="1:6" x14ac:dyDescent="0.35">
      <c r="A1524" s="8">
        <v>42113</v>
      </c>
      <c r="B1524" s="71">
        <v>0.41666666666666669</v>
      </c>
      <c r="C1524">
        <v>12.2</v>
      </c>
      <c r="D1524">
        <v>0</v>
      </c>
      <c r="E1524">
        <v>54</v>
      </c>
      <c r="F1524">
        <v>112</v>
      </c>
    </row>
    <row r="1525" spans="1:6" x14ac:dyDescent="0.35">
      <c r="A1525" s="8">
        <v>42113</v>
      </c>
      <c r="B1525" s="71">
        <v>0.45833333333333331</v>
      </c>
      <c r="C1525">
        <v>13.2</v>
      </c>
      <c r="D1525">
        <v>0</v>
      </c>
      <c r="E1525">
        <v>90</v>
      </c>
      <c r="F1525">
        <v>187</v>
      </c>
    </row>
    <row r="1526" spans="1:6" x14ac:dyDescent="0.35">
      <c r="A1526" s="8">
        <v>42113</v>
      </c>
      <c r="B1526" s="71">
        <v>0.5</v>
      </c>
      <c r="C1526">
        <v>14.1</v>
      </c>
      <c r="D1526">
        <v>0.1</v>
      </c>
      <c r="E1526">
        <v>165</v>
      </c>
      <c r="F1526">
        <v>220</v>
      </c>
    </row>
    <row r="1527" spans="1:6" x14ac:dyDescent="0.35">
      <c r="A1527" s="8">
        <v>42113</v>
      </c>
      <c r="B1527" s="71">
        <v>0.54166666666666663</v>
      </c>
      <c r="C1527">
        <v>14.5</v>
      </c>
      <c r="D1527">
        <v>0.2</v>
      </c>
      <c r="E1527">
        <v>143</v>
      </c>
      <c r="F1527">
        <v>269</v>
      </c>
    </row>
    <row r="1528" spans="1:6" x14ac:dyDescent="0.35">
      <c r="A1528" s="8">
        <v>42113</v>
      </c>
      <c r="B1528" s="71">
        <v>0.58333333333333337</v>
      </c>
      <c r="C1528">
        <v>14.7</v>
      </c>
      <c r="D1528">
        <v>0.3</v>
      </c>
      <c r="E1528">
        <v>118</v>
      </c>
      <c r="F1528">
        <v>251</v>
      </c>
    </row>
    <row r="1529" spans="1:6" x14ac:dyDescent="0.35">
      <c r="A1529" s="8">
        <v>42113</v>
      </c>
      <c r="B1529" s="71">
        <v>0.625</v>
      </c>
      <c r="C1529">
        <v>14.6</v>
      </c>
      <c r="D1529">
        <v>0.2</v>
      </c>
      <c r="E1529">
        <v>127</v>
      </c>
      <c r="F1529">
        <v>216</v>
      </c>
    </row>
    <row r="1530" spans="1:6" x14ac:dyDescent="0.35">
      <c r="A1530" s="8">
        <v>42113</v>
      </c>
      <c r="B1530" s="71">
        <v>0.66666666666666663</v>
      </c>
      <c r="C1530">
        <v>14.8</v>
      </c>
      <c r="D1530">
        <v>0.1</v>
      </c>
      <c r="E1530">
        <v>151</v>
      </c>
      <c r="F1530">
        <v>213</v>
      </c>
    </row>
    <row r="1531" spans="1:6" x14ac:dyDescent="0.35">
      <c r="A1531" s="8">
        <v>42113</v>
      </c>
      <c r="B1531" s="71">
        <v>0.70833333333333337</v>
      </c>
      <c r="C1531">
        <v>14.9</v>
      </c>
      <c r="D1531">
        <v>0.1</v>
      </c>
      <c r="E1531">
        <v>117</v>
      </c>
      <c r="F1531">
        <v>198</v>
      </c>
    </row>
    <row r="1532" spans="1:6" x14ac:dyDescent="0.35">
      <c r="A1532" s="8">
        <v>42113</v>
      </c>
      <c r="B1532" s="71">
        <v>0.75</v>
      </c>
      <c r="C1532">
        <v>14.8</v>
      </c>
      <c r="D1532">
        <v>0</v>
      </c>
      <c r="E1532">
        <v>139</v>
      </c>
      <c r="F1532">
        <v>124</v>
      </c>
    </row>
    <row r="1533" spans="1:6" x14ac:dyDescent="0.35">
      <c r="A1533" s="8">
        <v>42113</v>
      </c>
      <c r="B1533" s="71">
        <v>0.79166666666666663</v>
      </c>
      <c r="C1533">
        <v>14.3</v>
      </c>
      <c r="D1533">
        <v>0.1</v>
      </c>
      <c r="E1533">
        <v>63</v>
      </c>
      <c r="F1533">
        <v>84</v>
      </c>
    </row>
    <row r="1534" spans="1:6" x14ac:dyDescent="0.35">
      <c r="A1534" s="8">
        <v>42113</v>
      </c>
      <c r="B1534" s="71">
        <v>0.83333333333333337</v>
      </c>
      <c r="C1534">
        <v>13.9</v>
      </c>
      <c r="D1534">
        <v>0.2</v>
      </c>
      <c r="E1534">
        <v>54</v>
      </c>
      <c r="F1534">
        <v>57</v>
      </c>
    </row>
    <row r="1535" spans="1:6" x14ac:dyDescent="0.35">
      <c r="A1535" s="8">
        <v>42113</v>
      </c>
      <c r="B1535" s="71">
        <v>0.875</v>
      </c>
      <c r="C1535">
        <v>12.9</v>
      </c>
      <c r="D1535">
        <v>0</v>
      </c>
      <c r="E1535">
        <v>5</v>
      </c>
      <c r="F1535">
        <v>11</v>
      </c>
    </row>
    <row r="1536" spans="1:6" x14ac:dyDescent="0.35">
      <c r="A1536" s="8">
        <v>42113</v>
      </c>
      <c r="B1536" s="71">
        <v>0.91666666666666663</v>
      </c>
      <c r="C1536">
        <v>12.3</v>
      </c>
      <c r="D1536">
        <v>0</v>
      </c>
      <c r="E1536">
        <v>0</v>
      </c>
      <c r="F1536">
        <v>0</v>
      </c>
    </row>
    <row r="1537" spans="1:6" x14ac:dyDescent="0.35">
      <c r="A1537" s="8">
        <v>42113</v>
      </c>
      <c r="B1537" s="71">
        <v>0.95833333333333337</v>
      </c>
      <c r="C1537">
        <v>11.8</v>
      </c>
      <c r="D1537">
        <v>0</v>
      </c>
      <c r="E1537">
        <v>0</v>
      </c>
      <c r="F1537">
        <v>0</v>
      </c>
    </row>
    <row r="1538" spans="1:6" x14ac:dyDescent="0.35">
      <c r="A1538" s="8">
        <v>42114</v>
      </c>
      <c r="B1538" s="71">
        <v>0</v>
      </c>
      <c r="C1538">
        <v>11.4</v>
      </c>
      <c r="D1538">
        <v>0</v>
      </c>
      <c r="E1538">
        <v>0</v>
      </c>
      <c r="F1538">
        <v>0</v>
      </c>
    </row>
    <row r="1539" spans="1:6" x14ac:dyDescent="0.35">
      <c r="A1539" s="8">
        <v>42114</v>
      </c>
      <c r="B1539" s="71">
        <v>4.1666666666666664E-2</v>
      </c>
      <c r="C1539">
        <v>10.8</v>
      </c>
      <c r="D1539">
        <v>0</v>
      </c>
      <c r="E1539">
        <v>0</v>
      </c>
      <c r="F1539">
        <v>0</v>
      </c>
    </row>
    <row r="1540" spans="1:6" x14ac:dyDescent="0.35">
      <c r="A1540" s="8">
        <v>42114</v>
      </c>
      <c r="B1540" s="71">
        <v>8.3333333333333329E-2</v>
      </c>
      <c r="C1540">
        <v>10.5</v>
      </c>
      <c r="D1540">
        <v>0</v>
      </c>
      <c r="E1540">
        <v>0</v>
      </c>
      <c r="F1540">
        <v>0</v>
      </c>
    </row>
    <row r="1541" spans="1:6" x14ac:dyDescent="0.35">
      <c r="A1541" s="8">
        <v>42114</v>
      </c>
      <c r="B1541" s="71">
        <v>0.125</v>
      </c>
      <c r="C1541">
        <v>10.3</v>
      </c>
      <c r="D1541">
        <v>0</v>
      </c>
      <c r="E1541">
        <v>0</v>
      </c>
      <c r="F1541">
        <v>0</v>
      </c>
    </row>
    <row r="1542" spans="1:6" x14ac:dyDescent="0.35">
      <c r="A1542" s="8">
        <v>42114</v>
      </c>
      <c r="B1542" s="71">
        <v>0.16666666666666666</v>
      </c>
      <c r="C1542">
        <v>9.4</v>
      </c>
      <c r="D1542">
        <v>0</v>
      </c>
      <c r="E1542">
        <v>0</v>
      </c>
      <c r="F1542">
        <v>0</v>
      </c>
    </row>
    <row r="1543" spans="1:6" x14ac:dyDescent="0.35">
      <c r="A1543" s="8">
        <v>42114</v>
      </c>
      <c r="B1543" s="71">
        <v>0.20833333333333334</v>
      </c>
      <c r="C1543">
        <v>9</v>
      </c>
      <c r="D1543">
        <v>0</v>
      </c>
      <c r="E1543">
        <v>0</v>
      </c>
      <c r="F1543">
        <v>0</v>
      </c>
    </row>
    <row r="1544" spans="1:6" x14ac:dyDescent="0.35">
      <c r="A1544" s="8">
        <v>42114</v>
      </c>
      <c r="B1544" s="71">
        <v>0.25</v>
      </c>
      <c r="C1544">
        <v>8.5</v>
      </c>
      <c r="D1544">
        <v>0</v>
      </c>
      <c r="E1544">
        <v>0</v>
      </c>
      <c r="F1544">
        <v>0</v>
      </c>
    </row>
    <row r="1545" spans="1:6" x14ac:dyDescent="0.35">
      <c r="A1545" s="8">
        <v>42114</v>
      </c>
      <c r="B1545" s="71">
        <v>0.29166666666666669</v>
      </c>
      <c r="C1545">
        <v>8.3000000000000007</v>
      </c>
      <c r="D1545">
        <v>0</v>
      </c>
      <c r="E1545">
        <v>0</v>
      </c>
      <c r="F1545">
        <v>0</v>
      </c>
    </row>
    <row r="1546" spans="1:6" x14ac:dyDescent="0.35">
      <c r="A1546" s="8">
        <v>42114</v>
      </c>
      <c r="B1546" s="71">
        <v>0.33333333333333331</v>
      </c>
      <c r="C1546">
        <v>8.3000000000000007</v>
      </c>
      <c r="D1546">
        <v>0</v>
      </c>
      <c r="E1546">
        <v>13</v>
      </c>
      <c r="F1546">
        <v>14</v>
      </c>
    </row>
    <row r="1547" spans="1:6" x14ac:dyDescent="0.35">
      <c r="A1547" s="8">
        <v>42114</v>
      </c>
      <c r="B1547" s="71">
        <v>0.375</v>
      </c>
      <c r="C1547">
        <v>10.4</v>
      </c>
      <c r="D1547">
        <v>0</v>
      </c>
      <c r="E1547">
        <v>77</v>
      </c>
      <c r="F1547">
        <v>68</v>
      </c>
    </row>
    <row r="1548" spans="1:6" x14ac:dyDescent="0.35">
      <c r="A1548" s="8">
        <v>42114</v>
      </c>
      <c r="B1548" s="71">
        <v>0.41666666666666669</v>
      </c>
      <c r="C1548">
        <v>12.8</v>
      </c>
      <c r="D1548">
        <v>0</v>
      </c>
      <c r="E1548">
        <v>205</v>
      </c>
      <c r="F1548">
        <v>115</v>
      </c>
    </row>
    <row r="1549" spans="1:6" x14ac:dyDescent="0.35">
      <c r="A1549" s="8">
        <v>42114</v>
      </c>
      <c r="B1549" s="71">
        <v>0.45833333333333331</v>
      </c>
      <c r="C1549">
        <v>14.8</v>
      </c>
      <c r="D1549">
        <v>0</v>
      </c>
      <c r="E1549">
        <v>262</v>
      </c>
      <c r="F1549">
        <v>172</v>
      </c>
    </row>
    <row r="1550" spans="1:6" x14ac:dyDescent="0.35">
      <c r="A1550" s="8">
        <v>42114</v>
      </c>
      <c r="B1550" s="71">
        <v>0.5</v>
      </c>
      <c r="C1550">
        <v>16.2</v>
      </c>
      <c r="D1550">
        <v>0</v>
      </c>
      <c r="E1550">
        <v>237</v>
      </c>
      <c r="F1550">
        <v>227</v>
      </c>
    </row>
    <row r="1551" spans="1:6" x14ac:dyDescent="0.35">
      <c r="A1551" s="8">
        <v>42114</v>
      </c>
      <c r="B1551" s="71">
        <v>0.54166666666666663</v>
      </c>
      <c r="C1551">
        <v>17.100000000000001</v>
      </c>
      <c r="D1551">
        <v>0</v>
      </c>
      <c r="E1551">
        <v>292</v>
      </c>
      <c r="F1551">
        <v>206</v>
      </c>
    </row>
    <row r="1552" spans="1:6" x14ac:dyDescent="0.35">
      <c r="A1552" s="8">
        <v>42114</v>
      </c>
      <c r="B1552" s="71">
        <v>0.58333333333333337</v>
      </c>
      <c r="C1552">
        <v>18.399999999999999</v>
      </c>
      <c r="D1552">
        <v>0</v>
      </c>
      <c r="E1552">
        <v>396</v>
      </c>
      <c r="F1552">
        <v>222</v>
      </c>
    </row>
    <row r="1553" spans="1:6" x14ac:dyDescent="0.35">
      <c r="A1553" s="8">
        <v>42114</v>
      </c>
      <c r="B1553" s="71">
        <v>0.625</v>
      </c>
      <c r="C1553">
        <v>19.3</v>
      </c>
      <c r="D1553">
        <v>0</v>
      </c>
      <c r="E1553">
        <v>469</v>
      </c>
      <c r="F1553">
        <v>216</v>
      </c>
    </row>
    <row r="1554" spans="1:6" x14ac:dyDescent="0.35">
      <c r="A1554" s="8">
        <v>42114</v>
      </c>
      <c r="B1554" s="71">
        <v>0.66666666666666663</v>
      </c>
      <c r="C1554">
        <v>19.899999999999999</v>
      </c>
      <c r="D1554">
        <v>0</v>
      </c>
      <c r="E1554">
        <v>317</v>
      </c>
      <c r="F1554">
        <v>235</v>
      </c>
    </row>
    <row r="1555" spans="1:6" x14ac:dyDescent="0.35">
      <c r="A1555" s="8">
        <v>42114</v>
      </c>
      <c r="B1555" s="71">
        <v>0.70833333333333337</v>
      </c>
      <c r="C1555">
        <v>20.3</v>
      </c>
      <c r="D1555">
        <v>0</v>
      </c>
      <c r="E1555">
        <v>223</v>
      </c>
      <c r="F1555">
        <v>261</v>
      </c>
    </row>
    <row r="1556" spans="1:6" x14ac:dyDescent="0.35">
      <c r="A1556" s="8">
        <v>42114</v>
      </c>
      <c r="B1556" s="71">
        <v>0.75</v>
      </c>
      <c r="C1556">
        <v>20.399999999999999</v>
      </c>
      <c r="D1556">
        <v>0</v>
      </c>
      <c r="E1556">
        <v>169</v>
      </c>
      <c r="F1556">
        <v>222</v>
      </c>
    </row>
    <row r="1557" spans="1:6" x14ac:dyDescent="0.35">
      <c r="A1557" s="8">
        <v>42114</v>
      </c>
      <c r="B1557" s="71">
        <v>0.79166666666666663</v>
      </c>
      <c r="C1557">
        <v>19.8</v>
      </c>
      <c r="D1557">
        <v>0</v>
      </c>
      <c r="E1557">
        <v>95</v>
      </c>
      <c r="F1557">
        <v>143</v>
      </c>
    </row>
    <row r="1558" spans="1:6" x14ac:dyDescent="0.35">
      <c r="A1558" s="8">
        <v>42114</v>
      </c>
      <c r="B1558" s="71">
        <v>0.83333333333333337</v>
      </c>
      <c r="C1558">
        <v>18.600000000000001</v>
      </c>
      <c r="D1558">
        <v>0</v>
      </c>
      <c r="E1558">
        <v>84</v>
      </c>
      <c r="F1558">
        <v>70</v>
      </c>
    </row>
    <row r="1559" spans="1:6" x14ac:dyDescent="0.35">
      <c r="A1559" s="8">
        <v>42114</v>
      </c>
      <c r="B1559" s="71">
        <v>0.875</v>
      </c>
      <c r="C1559">
        <v>16.3</v>
      </c>
      <c r="D1559">
        <v>0</v>
      </c>
      <c r="E1559">
        <v>17</v>
      </c>
      <c r="F1559">
        <v>15</v>
      </c>
    </row>
    <row r="1560" spans="1:6" x14ac:dyDescent="0.35">
      <c r="A1560" s="8">
        <v>42114</v>
      </c>
      <c r="B1560" s="71">
        <v>0.91666666666666663</v>
      </c>
      <c r="C1560">
        <v>14.5</v>
      </c>
      <c r="D1560">
        <v>0</v>
      </c>
      <c r="E1560">
        <v>0</v>
      </c>
      <c r="F1560">
        <v>0</v>
      </c>
    </row>
    <row r="1561" spans="1:6" x14ac:dyDescent="0.35">
      <c r="A1561" s="8">
        <v>42114</v>
      </c>
      <c r="B1561" s="71">
        <v>0.95833333333333337</v>
      </c>
      <c r="C1561">
        <v>13.3</v>
      </c>
      <c r="D1561">
        <v>0</v>
      </c>
      <c r="E1561">
        <v>0</v>
      </c>
      <c r="F1561">
        <v>0</v>
      </c>
    </row>
    <row r="1562" spans="1:6" x14ac:dyDescent="0.35">
      <c r="A1562" s="8">
        <v>42115</v>
      </c>
      <c r="B1562" s="71">
        <v>0</v>
      </c>
      <c r="C1562">
        <v>12.4</v>
      </c>
      <c r="D1562">
        <v>0</v>
      </c>
      <c r="E1562">
        <v>0</v>
      </c>
      <c r="F1562">
        <v>0</v>
      </c>
    </row>
    <row r="1563" spans="1:6" x14ac:dyDescent="0.35">
      <c r="A1563" s="8">
        <v>42115</v>
      </c>
      <c r="B1563" s="71">
        <v>4.1666666666666664E-2</v>
      </c>
      <c r="C1563">
        <v>11.5</v>
      </c>
      <c r="D1563">
        <v>0</v>
      </c>
      <c r="E1563">
        <v>0</v>
      </c>
      <c r="F1563">
        <v>0</v>
      </c>
    </row>
    <row r="1564" spans="1:6" x14ac:dyDescent="0.35">
      <c r="A1564" s="8">
        <v>42115</v>
      </c>
      <c r="B1564" s="71">
        <v>8.3333333333333329E-2</v>
      </c>
      <c r="C1564">
        <v>10.6</v>
      </c>
      <c r="D1564">
        <v>0</v>
      </c>
      <c r="E1564">
        <v>0</v>
      </c>
      <c r="F1564">
        <v>0</v>
      </c>
    </row>
    <row r="1565" spans="1:6" x14ac:dyDescent="0.35">
      <c r="A1565" s="8">
        <v>42115</v>
      </c>
      <c r="B1565" s="71">
        <v>0.125</v>
      </c>
      <c r="C1565">
        <v>10</v>
      </c>
      <c r="D1565">
        <v>0</v>
      </c>
      <c r="E1565">
        <v>0</v>
      </c>
      <c r="F1565">
        <v>0</v>
      </c>
    </row>
    <row r="1566" spans="1:6" x14ac:dyDescent="0.35">
      <c r="A1566" s="8">
        <v>42115</v>
      </c>
      <c r="B1566" s="71">
        <v>0.16666666666666666</v>
      </c>
      <c r="C1566">
        <v>9.5</v>
      </c>
      <c r="D1566">
        <v>0</v>
      </c>
      <c r="E1566">
        <v>0</v>
      </c>
      <c r="F1566">
        <v>0</v>
      </c>
    </row>
    <row r="1567" spans="1:6" x14ac:dyDescent="0.35">
      <c r="A1567" s="8">
        <v>42115</v>
      </c>
      <c r="B1567" s="71">
        <v>0.20833333333333334</v>
      </c>
      <c r="C1567">
        <v>9.1</v>
      </c>
      <c r="D1567">
        <v>0</v>
      </c>
      <c r="E1567">
        <v>0</v>
      </c>
      <c r="F1567">
        <v>0</v>
      </c>
    </row>
    <row r="1568" spans="1:6" x14ac:dyDescent="0.35">
      <c r="A1568" s="8">
        <v>42115</v>
      </c>
      <c r="B1568" s="71">
        <v>0.25</v>
      </c>
      <c r="C1568">
        <v>8.6999999999999993</v>
      </c>
      <c r="D1568">
        <v>0</v>
      </c>
      <c r="E1568">
        <v>0</v>
      </c>
      <c r="F1568">
        <v>0</v>
      </c>
    </row>
    <row r="1569" spans="1:6" x14ac:dyDescent="0.35">
      <c r="A1569" s="8">
        <v>42115</v>
      </c>
      <c r="B1569" s="71">
        <v>0.29166666666666669</v>
      </c>
      <c r="C1569">
        <v>8.3000000000000007</v>
      </c>
      <c r="D1569">
        <v>0</v>
      </c>
      <c r="E1569">
        <v>0</v>
      </c>
      <c r="F1569">
        <v>0</v>
      </c>
    </row>
    <row r="1570" spans="1:6" x14ac:dyDescent="0.35">
      <c r="A1570" s="8">
        <v>42115</v>
      </c>
      <c r="B1570" s="71">
        <v>0.33333333333333331</v>
      </c>
      <c r="C1570">
        <v>8.6999999999999993</v>
      </c>
      <c r="D1570">
        <v>0</v>
      </c>
      <c r="E1570">
        <v>17</v>
      </c>
      <c r="F1570">
        <v>15</v>
      </c>
    </row>
    <row r="1571" spans="1:6" x14ac:dyDescent="0.35">
      <c r="A1571" s="8">
        <v>42115</v>
      </c>
      <c r="B1571" s="71">
        <v>0.375</v>
      </c>
      <c r="C1571">
        <v>12.7</v>
      </c>
      <c r="D1571">
        <v>0</v>
      </c>
      <c r="E1571">
        <v>132</v>
      </c>
      <c r="F1571">
        <v>52</v>
      </c>
    </row>
    <row r="1572" spans="1:6" x14ac:dyDescent="0.35">
      <c r="A1572" s="8">
        <v>42115</v>
      </c>
      <c r="B1572" s="71">
        <v>0.41666666666666669</v>
      </c>
      <c r="C1572">
        <v>15.7</v>
      </c>
      <c r="D1572">
        <v>0</v>
      </c>
      <c r="E1572">
        <v>301</v>
      </c>
      <c r="F1572">
        <v>74</v>
      </c>
    </row>
    <row r="1573" spans="1:6" x14ac:dyDescent="0.35">
      <c r="A1573" s="8">
        <v>42115</v>
      </c>
      <c r="B1573" s="71">
        <v>0.45833333333333331</v>
      </c>
      <c r="C1573">
        <v>18.2</v>
      </c>
      <c r="D1573">
        <v>0</v>
      </c>
      <c r="E1573">
        <v>471</v>
      </c>
      <c r="F1573">
        <v>88</v>
      </c>
    </row>
    <row r="1574" spans="1:6" x14ac:dyDescent="0.35">
      <c r="A1574" s="8">
        <v>42115</v>
      </c>
      <c r="B1574" s="71">
        <v>0.5</v>
      </c>
      <c r="C1574">
        <v>20.5</v>
      </c>
      <c r="D1574">
        <v>0</v>
      </c>
      <c r="E1574">
        <v>617</v>
      </c>
      <c r="F1574">
        <v>97</v>
      </c>
    </row>
    <row r="1575" spans="1:6" x14ac:dyDescent="0.35">
      <c r="A1575" s="8">
        <v>42115</v>
      </c>
      <c r="B1575" s="71">
        <v>0.54166666666666663</v>
      </c>
      <c r="C1575">
        <v>22.2</v>
      </c>
      <c r="D1575">
        <v>0</v>
      </c>
      <c r="E1575">
        <v>723</v>
      </c>
      <c r="F1575">
        <v>102</v>
      </c>
    </row>
    <row r="1576" spans="1:6" x14ac:dyDescent="0.35">
      <c r="A1576" s="8">
        <v>42115</v>
      </c>
      <c r="B1576" s="71">
        <v>0.58333333333333337</v>
      </c>
      <c r="C1576">
        <v>23.3</v>
      </c>
      <c r="D1576">
        <v>0</v>
      </c>
      <c r="E1576">
        <v>779</v>
      </c>
      <c r="F1576">
        <v>105</v>
      </c>
    </row>
    <row r="1577" spans="1:6" x14ac:dyDescent="0.35">
      <c r="A1577" s="8">
        <v>42115</v>
      </c>
      <c r="B1577" s="71">
        <v>0.625</v>
      </c>
      <c r="C1577">
        <v>23.9</v>
      </c>
      <c r="D1577">
        <v>0</v>
      </c>
      <c r="E1577">
        <v>780</v>
      </c>
      <c r="F1577">
        <v>105</v>
      </c>
    </row>
    <row r="1578" spans="1:6" x14ac:dyDescent="0.35">
      <c r="A1578" s="8">
        <v>42115</v>
      </c>
      <c r="B1578" s="71">
        <v>0.66666666666666663</v>
      </c>
      <c r="C1578">
        <v>24.2</v>
      </c>
      <c r="D1578">
        <v>0</v>
      </c>
      <c r="E1578">
        <v>726</v>
      </c>
      <c r="F1578">
        <v>101</v>
      </c>
    </row>
    <row r="1579" spans="1:6" x14ac:dyDescent="0.35">
      <c r="A1579" s="8">
        <v>42115</v>
      </c>
      <c r="B1579" s="71">
        <v>0.70833333333333337</v>
      </c>
      <c r="C1579">
        <v>24.2</v>
      </c>
      <c r="D1579">
        <v>0</v>
      </c>
      <c r="E1579">
        <v>618</v>
      </c>
      <c r="F1579">
        <v>99</v>
      </c>
    </row>
    <row r="1580" spans="1:6" x14ac:dyDescent="0.35">
      <c r="A1580" s="8">
        <v>42115</v>
      </c>
      <c r="B1580" s="71">
        <v>0.75</v>
      </c>
      <c r="C1580">
        <v>23.9</v>
      </c>
      <c r="D1580">
        <v>0</v>
      </c>
      <c r="E1580">
        <v>477</v>
      </c>
      <c r="F1580">
        <v>88</v>
      </c>
    </row>
    <row r="1581" spans="1:6" x14ac:dyDescent="0.35">
      <c r="A1581" s="8">
        <v>42115</v>
      </c>
      <c r="B1581" s="71">
        <v>0.79166666666666663</v>
      </c>
      <c r="C1581">
        <v>23.3</v>
      </c>
      <c r="D1581">
        <v>0</v>
      </c>
      <c r="E1581">
        <v>305</v>
      </c>
      <c r="F1581">
        <v>77</v>
      </c>
    </row>
    <row r="1582" spans="1:6" x14ac:dyDescent="0.35">
      <c r="A1582" s="8">
        <v>42115</v>
      </c>
      <c r="B1582" s="71">
        <v>0.83333333333333337</v>
      </c>
      <c r="C1582">
        <v>21.5</v>
      </c>
      <c r="D1582">
        <v>0</v>
      </c>
      <c r="E1582">
        <v>140</v>
      </c>
      <c r="F1582">
        <v>53</v>
      </c>
    </row>
    <row r="1583" spans="1:6" x14ac:dyDescent="0.35">
      <c r="A1583" s="8">
        <v>42115</v>
      </c>
      <c r="B1583" s="71">
        <v>0.875</v>
      </c>
      <c r="C1583">
        <v>19.3</v>
      </c>
      <c r="D1583">
        <v>0</v>
      </c>
      <c r="E1583">
        <v>21</v>
      </c>
      <c r="F1583">
        <v>16</v>
      </c>
    </row>
    <row r="1584" spans="1:6" x14ac:dyDescent="0.35">
      <c r="A1584" s="8">
        <v>42115</v>
      </c>
      <c r="B1584" s="71">
        <v>0.91666666666666663</v>
      </c>
      <c r="C1584">
        <v>17.100000000000001</v>
      </c>
      <c r="D1584">
        <v>0</v>
      </c>
      <c r="E1584">
        <v>0</v>
      </c>
      <c r="F1584">
        <v>0</v>
      </c>
    </row>
    <row r="1585" spans="1:6" x14ac:dyDescent="0.35">
      <c r="A1585" s="8">
        <v>42115</v>
      </c>
      <c r="B1585" s="71">
        <v>0.95833333333333337</v>
      </c>
      <c r="C1585">
        <v>15.3</v>
      </c>
      <c r="D1585">
        <v>0</v>
      </c>
      <c r="E1585">
        <v>0</v>
      </c>
      <c r="F1585">
        <v>0</v>
      </c>
    </row>
    <row r="1586" spans="1:6" x14ac:dyDescent="0.35">
      <c r="A1586" s="8">
        <v>42116</v>
      </c>
      <c r="B1586" s="71">
        <v>0</v>
      </c>
      <c r="C1586">
        <v>13.8</v>
      </c>
      <c r="D1586">
        <v>0</v>
      </c>
      <c r="E1586">
        <v>0</v>
      </c>
      <c r="F1586">
        <v>0</v>
      </c>
    </row>
    <row r="1587" spans="1:6" x14ac:dyDescent="0.35">
      <c r="A1587" s="8">
        <v>42116</v>
      </c>
      <c r="B1587" s="71">
        <v>4.1666666666666664E-2</v>
      </c>
      <c r="C1587">
        <v>12.6</v>
      </c>
      <c r="D1587">
        <v>0</v>
      </c>
      <c r="E1587">
        <v>0</v>
      </c>
      <c r="F1587">
        <v>0</v>
      </c>
    </row>
    <row r="1588" spans="1:6" x14ac:dyDescent="0.35">
      <c r="A1588" s="8">
        <v>42116</v>
      </c>
      <c r="B1588" s="71">
        <v>8.3333333333333329E-2</v>
      </c>
      <c r="C1588">
        <v>11.7</v>
      </c>
      <c r="D1588">
        <v>0</v>
      </c>
      <c r="E1588">
        <v>0</v>
      </c>
      <c r="F1588">
        <v>0</v>
      </c>
    </row>
    <row r="1589" spans="1:6" x14ac:dyDescent="0.35">
      <c r="A1589" s="8">
        <v>42116</v>
      </c>
      <c r="B1589" s="71">
        <v>0.125</v>
      </c>
      <c r="C1589">
        <v>11.2</v>
      </c>
      <c r="D1589">
        <v>0</v>
      </c>
      <c r="E1589">
        <v>0</v>
      </c>
      <c r="F1589">
        <v>0</v>
      </c>
    </row>
    <row r="1590" spans="1:6" x14ac:dyDescent="0.35">
      <c r="A1590" s="8">
        <v>42116</v>
      </c>
      <c r="B1590" s="71">
        <v>0.16666666666666666</v>
      </c>
      <c r="C1590">
        <v>10.9</v>
      </c>
      <c r="D1590">
        <v>0</v>
      </c>
      <c r="E1590">
        <v>0</v>
      </c>
      <c r="F1590">
        <v>0</v>
      </c>
    </row>
    <row r="1591" spans="1:6" x14ac:dyDescent="0.35">
      <c r="A1591" s="8">
        <v>42116</v>
      </c>
      <c r="B1591" s="71">
        <v>0.20833333333333334</v>
      </c>
      <c r="C1591">
        <v>11</v>
      </c>
      <c r="D1591">
        <v>0</v>
      </c>
      <c r="E1591">
        <v>0</v>
      </c>
      <c r="F1591">
        <v>0</v>
      </c>
    </row>
    <row r="1592" spans="1:6" x14ac:dyDescent="0.35">
      <c r="A1592" s="8">
        <v>42116</v>
      </c>
      <c r="B1592" s="71">
        <v>0.25</v>
      </c>
      <c r="C1592">
        <v>11.3</v>
      </c>
      <c r="D1592">
        <v>0</v>
      </c>
      <c r="E1592">
        <v>0</v>
      </c>
      <c r="F1592">
        <v>0</v>
      </c>
    </row>
    <row r="1593" spans="1:6" x14ac:dyDescent="0.35">
      <c r="A1593" s="8">
        <v>42116</v>
      </c>
      <c r="B1593" s="71">
        <v>0.29166666666666669</v>
      </c>
      <c r="C1593">
        <v>11.5</v>
      </c>
      <c r="D1593">
        <v>0</v>
      </c>
      <c r="E1593">
        <v>0</v>
      </c>
      <c r="F1593">
        <v>0</v>
      </c>
    </row>
    <row r="1594" spans="1:6" x14ac:dyDescent="0.35">
      <c r="A1594" s="8">
        <v>42116</v>
      </c>
      <c r="B1594" s="71">
        <v>0.33333333333333331</v>
      </c>
      <c r="C1594">
        <v>11.9</v>
      </c>
      <c r="D1594">
        <v>0</v>
      </c>
      <c r="E1594">
        <v>5</v>
      </c>
      <c r="F1594">
        <v>21</v>
      </c>
    </row>
    <row r="1595" spans="1:6" x14ac:dyDescent="0.35">
      <c r="A1595" s="8">
        <v>42116</v>
      </c>
      <c r="B1595" s="71">
        <v>0.375</v>
      </c>
      <c r="C1595">
        <v>14.1</v>
      </c>
      <c r="D1595">
        <v>0</v>
      </c>
      <c r="E1595">
        <v>31</v>
      </c>
      <c r="F1595">
        <v>103</v>
      </c>
    </row>
    <row r="1596" spans="1:6" x14ac:dyDescent="0.35">
      <c r="A1596" s="8">
        <v>42116</v>
      </c>
      <c r="B1596" s="71">
        <v>0.41666666666666669</v>
      </c>
      <c r="C1596">
        <v>16</v>
      </c>
      <c r="D1596">
        <v>0</v>
      </c>
      <c r="E1596">
        <v>128</v>
      </c>
      <c r="F1596">
        <v>145</v>
      </c>
    </row>
    <row r="1597" spans="1:6" x14ac:dyDescent="0.35">
      <c r="A1597" s="8">
        <v>42116</v>
      </c>
      <c r="B1597" s="71">
        <v>0.45833333333333331</v>
      </c>
      <c r="C1597">
        <v>18.2</v>
      </c>
      <c r="D1597">
        <v>0</v>
      </c>
      <c r="E1597">
        <v>291</v>
      </c>
      <c r="F1597">
        <v>185</v>
      </c>
    </row>
    <row r="1598" spans="1:6" x14ac:dyDescent="0.35">
      <c r="A1598" s="8">
        <v>42116</v>
      </c>
      <c r="B1598" s="71">
        <v>0.5</v>
      </c>
      <c r="C1598">
        <v>20.3</v>
      </c>
      <c r="D1598">
        <v>0</v>
      </c>
      <c r="E1598">
        <v>556</v>
      </c>
      <c r="F1598">
        <v>134</v>
      </c>
    </row>
    <row r="1599" spans="1:6" x14ac:dyDescent="0.35">
      <c r="A1599" s="8">
        <v>42116</v>
      </c>
      <c r="B1599" s="71">
        <v>0.54166666666666663</v>
      </c>
      <c r="C1599">
        <v>22</v>
      </c>
      <c r="D1599">
        <v>0</v>
      </c>
      <c r="E1599">
        <v>695</v>
      </c>
      <c r="F1599">
        <v>113</v>
      </c>
    </row>
    <row r="1600" spans="1:6" x14ac:dyDescent="0.35">
      <c r="A1600" s="8">
        <v>42116</v>
      </c>
      <c r="B1600" s="71">
        <v>0.58333333333333337</v>
      </c>
      <c r="C1600">
        <v>23.2</v>
      </c>
      <c r="D1600">
        <v>0</v>
      </c>
      <c r="E1600">
        <v>755</v>
      </c>
      <c r="F1600">
        <v>114</v>
      </c>
    </row>
    <row r="1601" spans="1:6" x14ac:dyDescent="0.35">
      <c r="A1601" s="8">
        <v>42116</v>
      </c>
      <c r="B1601" s="71">
        <v>0.625</v>
      </c>
      <c r="C1601">
        <v>24.1</v>
      </c>
      <c r="D1601">
        <v>0</v>
      </c>
      <c r="E1601">
        <v>704</v>
      </c>
      <c r="F1601">
        <v>145</v>
      </c>
    </row>
    <row r="1602" spans="1:6" x14ac:dyDescent="0.35">
      <c r="A1602" s="8">
        <v>42116</v>
      </c>
      <c r="B1602" s="71">
        <v>0.66666666666666663</v>
      </c>
      <c r="C1602">
        <v>24.4</v>
      </c>
      <c r="D1602">
        <v>0</v>
      </c>
      <c r="E1602">
        <v>562</v>
      </c>
      <c r="F1602">
        <v>204</v>
      </c>
    </row>
    <row r="1603" spans="1:6" x14ac:dyDescent="0.35">
      <c r="A1603" s="8">
        <v>42116</v>
      </c>
      <c r="B1603" s="71">
        <v>0.70833333333333337</v>
      </c>
      <c r="C1603">
        <v>24</v>
      </c>
      <c r="D1603">
        <v>0</v>
      </c>
      <c r="E1603">
        <v>283</v>
      </c>
      <c r="F1603">
        <v>281</v>
      </c>
    </row>
    <row r="1604" spans="1:6" x14ac:dyDescent="0.35">
      <c r="A1604" s="8">
        <v>42116</v>
      </c>
      <c r="B1604" s="71">
        <v>0.75</v>
      </c>
      <c r="C1604">
        <v>23</v>
      </c>
      <c r="D1604">
        <v>0</v>
      </c>
      <c r="E1604">
        <v>106</v>
      </c>
      <c r="F1604">
        <v>259</v>
      </c>
    </row>
    <row r="1605" spans="1:6" x14ac:dyDescent="0.35">
      <c r="A1605" s="8">
        <v>42116</v>
      </c>
      <c r="B1605" s="71">
        <v>0.79166666666666663</v>
      </c>
      <c r="C1605">
        <v>21.5</v>
      </c>
      <c r="D1605">
        <v>0</v>
      </c>
      <c r="E1605">
        <v>34</v>
      </c>
      <c r="F1605">
        <v>161</v>
      </c>
    </row>
    <row r="1606" spans="1:6" x14ac:dyDescent="0.35">
      <c r="A1606" s="8">
        <v>42116</v>
      </c>
      <c r="B1606" s="71">
        <v>0.83333333333333337</v>
      </c>
      <c r="C1606">
        <v>19.5</v>
      </c>
      <c r="D1606">
        <v>0</v>
      </c>
      <c r="E1606">
        <v>3</v>
      </c>
      <c r="F1606">
        <v>71</v>
      </c>
    </row>
    <row r="1607" spans="1:6" x14ac:dyDescent="0.35">
      <c r="A1607" s="8">
        <v>42116</v>
      </c>
      <c r="B1607" s="71">
        <v>0.875</v>
      </c>
      <c r="C1607">
        <v>18.8</v>
      </c>
      <c r="D1607">
        <v>0</v>
      </c>
      <c r="E1607">
        <v>0</v>
      </c>
      <c r="F1607">
        <v>10</v>
      </c>
    </row>
    <row r="1608" spans="1:6" x14ac:dyDescent="0.35">
      <c r="A1608" s="8">
        <v>42116</v>
      </c>
      <c r="B1608" s="71">
        <v>0.91666666666666663</v>
      </c>
      <c r="C1608">
        <v>17.399999999999999</v>
      </c>
      <c r="D1608">
        <v>0.1</v>
      </c>
      <c r="E1608">
        <v>0</v>
      </c>
      <c r="F1608">
        <v>0</v>
      </c>
    </row>
    <row r="1609" spans="1:6" x14ac:dyDescent="0.35">
      <c r="A1609" s="8">
        <v>42116</v>
      </c>
      <c r="B1609" s="71">
        <v>0.95833333333333337</v>
      </c>
      <c r="C1609">
        <v>16.399999999999999</v>
      </c>
      <c r="D1609">
        <v>0</v>
      </c>
      <c r="E1609">
        <v>0</v>
      </c>
      <c r="F1609">
        <v>0</v>
      </c>
    </row>
    <row r="1610" spans="1:6" x14ac:dyDescent="0.35">
      <c r="A1610" s="8">
        <v>42117</v>
      </c>
      <c r="B1610" s="71">
        <v>0</v>
      </c>
      <c r="C1610">
        <v>15.8</v>
      </c>
      <c r="D1610">
        <v>0</v>
      </c>
      <c r="E1610">
        <v>0</v>
      </c>
      <c r="F1610">
        <v>0</v>
      </c>
    </row>
    <row r="1611" spans="1:6" x14ac:dyDescent="0.35">
      <c r="A1611" s="8">
        <v>42117</v>
      </c>
      <c r="B1611" s="71">
        <v>4.1666666666666664E-2</v>
      </c>
      <c r="C1611">
        <v>15.5</v>
      </c>
      <c r="D1611">
        <v>0</v>
      </c>
      <c r="E1611">
        <v>0</v>
      </c>
      <c r="F1611">
        <v>0</v>
      </c>
    </row>
    <row r="1612" spans="1:6" x14ac:dyDescent="0.35">
      <c r="A1612" s="8">
        <v>42117</v>
      </c>
      <c r="B1612" s="71">
        <v>8.3333333333333329E-2</v>
      </c>
      <c r="C1612">
        <v>14.8</v>
      </c>
      <c r="D1612">
        <v>0.1</v>
      </c>
      <c r="E1612">
        <v>0</v>
      </c>
      <c r="F1612">
        <v>0</v>
      </c>
    </row>
    <row r="1613" spans="1:6" x14ac:dyDescent="0.35">
      <c r="A1613" s="8">
        <v>42117</v>
      </c>
      <c r="B1613" s="71">
        <v>0.125</v>
      </c>
      <c r="C1613">
        <v>13.8</v>
      </c>
      <c r="D1613">
        <v>0.8</v>
      </c>
      <c r="E1613">
        <v>0</v>
      </c>
      <c r="F1613">
        <v>0</v>
      </c>
    </row>
    <row r="1614" spans="1:6" x14ac:dyDescent="0.35">
      <c r="A1614" s="8">
        <v>42117</v>
      </c>
      <c r="B1614" s="71">
        <v>0.16666666666666666</v>
      </c>
      <c r="C1614">
        <v>13.5</v>
      </c>
      <c r="D1614">
        <v>0</v>
      </c>
      <c r="E1614">
        <v>0</v>
      </c>
      <c r="F1614">
        <v>0</v>
      </c>
    </row>
    <row r="1615" spans="1:6" x14ac:dyDescent="0.35">
      <c r="A1615" s="8">
        <v>42117</v>
      </c>
      <c r="B1615" s="71">
        <v>0.20833333333333334</v>
      </c>
      <c r="C1615">
        <v>13.4</v>
      </c>
      <c r="D1615">
        <v>0</v>
      </c>
      <c r="E1615">
        <v>0</v>
      </c>
      <c r="F1615">
        <v>0</v>
      </c>
    </row>
    <row r="1616" spans="1:6" x14ac:dyDescent="0.35">
      <c r="A1616" s="8">
        <v>42117</v>
      </c>
      <c r="B1616" s="71">
        <v>0.25</v>
      </c>
      <c r="C1616">
        <v>13.4</v>
      </c>
      <c r="D1616">
        <v>0</v>
      </c>
      <c r="E1616">
        <v>0</v>
      </c>
      <c r="F1616">
        <v>0</v>
      </c>
    </row>
    <row r="1617" spans="1:6" x14ac:dyDescent="0.35">
      <c r="A1617" s="8">
        <v>42117</v>
      </c>
      <c r="B1617" s="71">
        <v>0.29166666666666669</v>
      </c>
      <c r="C1617">
        <v>13.4</v>
      </c>
      <c r="D1617">
        <v>0</v>
      </c>
      <c r="E1617">
        <v>0</v>
      </c>
      <c r="F1617">
        <v>0</v>
      </c>
    </row>
    <row r="1618" spans="1:6" x14ac:dyDescent="0.35">
      <c r="A1618" s="8">
        <v>42117</v>
      </c>
      <c r="B1618" s="71">
        <v>0.33333333333333331</v>
      </c>
      <c r="C1618">
        <v>13.5</v>
      </c>
      <c r="D1618">
        <v>0</v>
      </c>
      <c r="E1618">
        <v>1</v>
      </c>
      <c r="F1618">
        <v>11</v>
      </c>
    </row>
    <row r="1619" spans="1:6" x14ac:dyDescent="0.35">
      <c r="A1619" s="8">
        <v>42117</v>
      </c>
      <c r="B1619" s="71">
        <v>0.375</v>
      </c>
      <c r="C1619">
        <v>14.2</v>
      </c>
      <c r="D1619">
        <v>0</v>
      </c>
      <c r="E1619">
        <v>11</v>
      </c>
      <c r="F1619">
        <v>69</v>
      </c>
    </row>
    <row r="1620" spans="1:6" x14ac:dyDescent="0.35">
      <c r="A1620" s="8">
        <v>42117</v>
      </c>
      <c r="B1620" s="71">
        <v>0.41666666666666669</v>
      </c>
      <c r="C1620">
        <v>14.9</v>
      </c>
      <c r="D1620">
        <v>0</v>
      </c>
      <c r="E1620">
        <v>34</v>
      </c>
      <c r="F1620">
        <v>143</v>
      </c>
    </row>
    <row r="1621" spans="1:6" x14ac:dyDescent="0.35">
      <c r="A1621" s="8">
        <v>42117</v>
      </c>
      <c r="B1621" s="71">
        <v>0.45833333333333331</v>
      </c>
      <c r="C1621">
        <v>15.6</v>
      </c>
      <c r="D1621">
        <v>0</v>
      </c>
      <c r="E1621">
        <v>35</v>
      </c>
      <c r="F1621">
        <v>199</v>
      </c>
    </row>
    <row r="1622" spans="1:6" x14ac:dyDescent="0.35">
      <c r="A1622" s="8">
        <v>42117</v>
      </c>
      <c r="B1622" s="71">
        <v>0.5</v>
      </c>
      <c r="C1622">
        <v>15.9</v>
      </c>
      <c r="D1622">
        <v>0</v>
      </c>
      <c r="E1622">
        <v>20</v>
      </c>
      <c r="F1622">
        <v>201</v>
      </c>
    </row>
    <row r="1623" spans="1:6" x14ac:dyDescent="0.35">
      <c r="A1623" s="8">
        <v>42117</v>
      </c>
      <c r="B1623" s="71">
        <v>0.54166666666666663</v>
      </c>
      <c r="C1623">
        <v>16.5</v>
      </c>
      <c r="D1623">
        <v>0.1</v>
      </c>
      <c r="E1623">
        <v>96</v>
      </c>
      <c r="F1623">
        <v>226</v>
      </c>
    </row>
    <row r="1624" spans="1:6" x14ac:dyDescent="0.35">
      <c r="A1624" s="8">
        <v>42117</v>
      </c>
      <c r="B1624" s="71">
        <v>0.58333333333333337</v>
      </c>
      <c r="C1624">
        <v>16.8</v>
      </c>
      <c r="D1624">
        <v>0.2</v>
      </c>
      <c r="E1624">
        <v>102</v>
      </c>
      <c r="F1624">
        <v>245</v>
      </c>
    </row>
    <row r="1625" spans="1:6" x14ac:dyDescent="0.35">
      <c r="A1625" s="8">
        <v>42117</v>
      </c>
      <c r="B1625" s="71">
        <v>0.625</v>
      </c>
      <c r="C1625">
        <v>17</v>
      </c>
      <c r="D1625">
        <v>0.1</v>
      </c>
      <c r="E1625">
        <v>76</v>
      </c>
      <c r="F1625">
        <v>316</v>
      </c>
    </row>
    <row r="1626" spans="1:6" x14ac:dyDescent="0.35">
      <c r="A1626" s="8">
        <v>42117</v>
      </c>
      <c r="B1626" s="71">
        <v>0.66666666666666663</v>
      </c>
      <c r="C1626">
        <v>17.600000000000001</v>
      </c>
      <c r="D1626">
        <v>0</v>
      </c>
      <c r="E1626">
        <v>259</v>
      </c>
      <c r="F1626">
        <v>301</v>
      </c>
    </row>
    <row r="1627" spans="1:6" x14ac:dyDescent="0.35">
      <c r="A1627" s="8">
        <v>42117</v>
      </c>
      <c r="B1627" s="71">
        <v>0.70833333333333337</v>
      </c>
      <c r="C1627">
        <v>17.399999999999999</v>
      </c>
      <c r="D1627">
        <v>0</v>
      </c>
      <c r="E1627">
        <v>252</v>
      </c>
      <c r="F1627">
        <v>237</v>
      </c>
    </row>
    <row r="1628" spans="1:6" x14ac:dyDescent="0.35">
      <c r="A1628" s="8">
        <v>42117</v>
      </c>
      <c r="B1628" s="71">
        <v>0.75</v>
      </c>
      <c r="C1628">
        <v>17</v>
      </c>
      <c r="D1628">
        <v>0</v>
      </c>
      <c r="E1628">
        <v>317</v>
      </c>
      <c r="F1628">
        <v>131</v>
      </c>
    </row>
    <row r="1629" spans="1:6" x14ac:dyDescent="0.35">
      <c r="A1629" s="8">
        <v>42117</v>
      </c>
      <c r="B1629" s="71">
        <v>0.79166666666666663</v>
      </c>
      <c r="C1629">
        <v>16.3</v>
      </c>
      <c r="D1629">
        <v>0</v>
      </c>
      <c r="E1629">
        <v>207</v>
      </c>
      <c r="F1629">
        <v>91</v>
      </c>
    </row>
    <row r="1630" spans="1:6" x14ac:dyDescent="0.35">
      <c r="A1630" s="8">
        <v>42117</v>
      </c>
      <c r="B1630" s="71">
        <v>0.83333333333333337</v>
      </c>
      <c r="C1630">
        <v>15.4</v>
      </c>
      <c r="D1630">
        <v>0</v>
      </c>
      <c r="E1630">
        <v>101</v>
      </c>
      <c r="F1630">
        <v>66</v>
      </c>
    </row>
    <row r="1631" spans="1:6" x14ac:dyDescent="0.35">
      <c r="A1631" s="8">
        <v>42117</v>
      </c>
      <c r="B1631" s="71">
        <v>0.875</v>
      </c>
      <c r="C1631">
        <v>14.6</v>
      </c>
      <c r="D1631">
        <v>0</v>
      </c>
      <c r="E1631">
        <v>19</v>
      </c>
      <c r="F1631">
        <v>17</v>
      </c>
    </row>
    <row r="1632" spans="1:6" x14ac:dyDescent="0.35">
      <c r="A1632" s="8">
        <v>42117</v>
      </c>
      <c r="B1632" s="71">
        <v>0.91666666666666663</v>
      </c>
      <c r="C1632">
        <v>13.3</v>
      </c>
      <c r="D1632">
        <v>0</v>
      </c>
      <c r="E1632">
        <v>0</v>
      </c>
      <c r="F1632">
        <v>0</v>
      </c>
    </row>
    <row r="1633" spans="1:6" x14ac:dyDescent="0.35">
      <c r="A1633" s="8">
        <v>42117</v>
      </c>
      <c r="B1633" s="71">
        <v>0.95833333333333337</v>
      </c>
      <c r="C1633">
        <v>11.9</v>
      </c>
      <c r="D1633">
        <v>0</v>
      </c>
      <c r="E1633">
        <v>0</v>
      </c>
      <c r="F1633">
        <v>0</v>
      </c>
    </row>
    <row r="1634" spans="1:6" x14ac:dyDescent="0.35">
      <c r="A1634" s="8">
        <v>42118</v>
      </c>
      <c r="B1634" s="71">
        <v>0</v>
      </c>
      <c r="C1634">
        <v>10.9</v>
      </c>
      <c r="D1634">
        <v>0</v>
      </c>
      <c r="E1634">
        <v>0</v>
      </c>
      <c r="F1634">
        <v>0</v>
      </c>
    </row>
    <row r="1635" spans="1:6" x14ac:dyDescent="0.35">
      <c r="A1635" s="8">
        <v>42118</v>
      </c>
      <c r="B1635" s="71">
        <v>4.1666666666666664E-2</v>
      </c>
      <c r="C1635">
        <v>10.9</v>
      </c>
      <c r="D1635">
        <v>0</v>
      </c>
      <c r="E1635">
        <v>0</v>
      </c>
      <c r="F1635">
        <v>0</v>
      </c>
    </row>
    <row r="1636" spans="1:6" x14ac:dyDescent="0.35">
      <c r="A1636" s="8">
        <v>42118</v>
      </c>
      <c r="B1636" s="71">
        <v>8.3333333333333329E-2</v>
      </c>
      <c r="C1636">
        <v>11.3</v>
      </c>
      <c r="D1636">
        <v>0</v>
      </c>
      <c r="E1636">
        <v>0</v>
      </c>
      <c r="F1636">
        <v>0</v>
      </c>
    </row>
    <row r="1637" spans="1:6" x14ac:dyDescent="0.35">
      <c r="A1637" s="8">
        <v>42118</v>
      </c>
      <c r="B1637" s="71">
        <v>0.125</v>
      </c>
      <c r="C1637">
        <v>9.5</v>
      </c>
      <c r="D1637">
        <v>0</v>
      </c>
      <c r="E1637">
        <v>0</v>
      </c>
      <c r="F1637">
        <v>0</v>
      </c>
    </row>
    <row r="1638" spans="1:6" x14ac:dyDescent="0.35">
      <c r="A1638" s="8">
        <v>42118</v>
      </c>
      <c r="B1638" s="71">
        <v>0.16666666666666666</v>
      </c>
      <c r="C1638">
        <v>8.6</v>
      </c>
      <c r="D1638">
        <v>0</v>
      </c>
      <c r="E1638">
        <v>0</v>
      </c>
      <c r="F1638">
        <v>0</v>
      </c>
    </row>
    <row r="1639" spans="1:6" x14ac:dyDescent="0.35">
      <c r="A1639" s="8">
        <v>42118</v>
      </c>
      <c r="B1639" s="71">
        <v>0.20833333333333334</v>
      </c>
      <c r="C1639">
        <v>8.6</v>
      </c>
      <c r="D1639">
        <v>0</v>
      </c>
      <c r="E1639">
        <v>0</v>
      </c>
      <c r="F1639">
        <v>0</v>
      </c>
    </row>
    <row r="1640" spans="1:6" x14ac:dyDescent="0.35">
      <c r="A1640" s="8">
        <v>42118</v>
      </c>
      <c r="B1640" s="71">
        <v>0.25</v>
      </c>
      <c r="C1640">
        <v>8.1999999999999993</v>
      </c>
      <c r="D1640">
        <v>0</v>
      </c>
      <c r="E1640">
        <v>0</v>
      </c>
      <c r="F1640">
        <v>0</v>
      </c>
    </row>
    <row r="1641" spans="1:6" x14ac:dyDescent="0.35">
      <c r="A1641" s="8">
        <v>42118</v>
      </c>
      <c r="B1641" s="71">
        <v>0.29166666666666669</v>
      </c>
      <c r="C1641">
        <v>7.6</v>
      </c>
      <c r="D1641">
        <v>0</v>
      </c>
      <c r="E1641">
        <v>0</v>
      </c>
      <c r="F1641">
        <v>0</v>
      </c>
    </row>
    <row r="1642" spans="1:6" x14ac:dyDescent="0.35">
      <c r="A1642" s="8">
        <v>42118</v>
      </c>
      <c r="B1642" s="71">
        <v>0.33333333333333331</v>
      </c>
      <c r="C1642">
        <v>8.4</v>
      </c>
      <c r="D1642">
        <v>0</v>
      </c>
      <c r="E1642">
        <v>15</v>
      </c>
      <c r="F1642">
        <v>20</v>
      </c>
    </row>
    <row r="1643" spans="1:6" x14ac:dyDescent="0.35">
      <c r="A1643" s="8">
        <v>42118</v>
      </c>
      <c r="B1643" s="71">
        <v>0.375</v>
      </c>
      <c r="C1643">
        <v>10.9</v>
      </c>
      <c r="D1643">
        <v>0</v>
      </c>
      <c r="E1643">
        <v>30</v>
      </c>
      <c r="F1643">
        <v>91</v>
      </c>
    </row>
    <row r="1644" spans="1:6" x14ac:dyDescent="0.35">
      <c r="A1644" s="8">
        <v>42118</v>
      </c>
      <c r="B1644" s="71">
        <v>0.41666666666666669</v>
      </c>
      <c r="C1644">
        <v>12.9</v>
      </c>
      <c r="D1644">
        <v>0</v>
      </c>
      <c r="E1644">
        <v>81</v>
      </c>
      <c r="F1644">
        <v>166</v>
      </c>
    </row>
    <row r="1645" spans="1:6" x14ac:dyDescent="0.35">
      <c r="A1645" s="8">
        <v>42118</v>
      </c>
      <c r="B1645" s="71">
        <v>0.45833333333333331</v>
      </c>
      <c r="C1645">
        <v>15.2</v>
      </c>
      <c r="D1645">
        <v>0</v>
      </c>
      <c r="E1645">
        <v>216</v>
      </c>
      <c r="F1645">
        <v>216</v>
      </c>
    </row>
    <row r="1646" spans="1:6" x14ac:dyDescent="0.35">
      <c r="A1646" s="8">
        <v>42118</v>
      </c>
      <c r="B1646" s="71">
        <v>0.5</v>
      </c>
      <c r="C1646">
        <v>17.3</v>
      </c>
      <c r="D1646">
        <v>0</v>
      </c>
      <c r="E1646">
        <v>449</v>
      </c>
      <c r="F1646">
        <v>195</v>
      </c>
    </row>
    <row r="1647" spans="1:6" x14ac:dyDescent="0.35">
      <c r="A1647" s="8">
        <v>42118</v>
      </c>
      <c r="B1647" s="71">
        <v>0.54166666666666663</v>
      </c>
      <c r="C1647">
        <v>19.2</v>
      </c>
      <c r="D1647">
        <v>0</v>
      </c>
      <c r="E1647">
        <v>582</v>
      </c>
      <c r="F1647">
        <v>191</v>
      </c>
    </row>
    <row r="1648" spans="1:6" x14ac:dyDescent="0.35">
      <c r="A1648" s="8">
        <v>42118</v>
      </c>
      <c r="B1648" s="71">
        <v>0.58333333333333337</v>
      </c>
      <c r="C1648">
        <v>20.5</v>
      </c>
      <c r="D1648">
        <v>0</v>
      </c>
      <c r="E1648">
        <v>586</v>
      </c>
      <c r="F1648">
        <v>226</v>
      </c>
    </row>
    <row r="1649" spans="1:6" x14ac:dyDescent="0.35">
      <c r="A1649" s="8">
        <v>42118</v>
      </c>
      <c r="B1649" s="71">
        <v>0.625</v>
      </c>
      <c r="C1649">
        <v>21.6</v>
      </c>
      <c r="D1649">
        <v>0</v>
      </c>
      <c r="E1649">
        <v>624</v>
      </c>
      <c r="F1649">
        <v>195</v>
      </c>
    </row>
    <row r="1650" spans="1:6" x14ac:dyDescent="0.35">
      <c r="A1650" s="8">
        <v>42118</v>
      </c>
      <c r="B1650" s="71">
        <v>0.66666666666666663</v>
      </c>
      <c r="C1650">
        <v>22.2</v>
      </c>
      <c r="D1650">
        <v>0</v>
      </c>
      <c r="E1650">
        <v>431</v>
      </c>
      <c r="F1650">
        <v>276</v>
      </c>
    </row>
    <row r="1651" spans="1:6" x14ac:dyDescent="0.35">
      <c r="A1651" s="8">
        <v>42118</v>
      </c>
      <c r="B1651" s="71">
        <v>0.70833333333333337</v>
      </c>
      <c r="C1651">
        <v>22.2</v>
      </c>
      <c r="D1651">
        <v>0</v>
      </c>
      <c r="E1651">
        <v>191</v>
      </c>
      <c r="F1651">
        <v>299</v>
      </c>
    </row>
    <row r="1652" spans="1:6" x14ac:dyDescent="0.35">
      <c r="A1652" s="8">
        <v>42118</v>
      </c>
      <c r="B1652" s="71">
        <v>0.75</v>
      </c>
      <c r="C1652">
        <v>22</v>
      </c>
      <c r="D1652">
        <v>0</v>
      </c>
      <c r="E1652">
        <v>57</v>
      </c>
      <c r="F1652">
        <v>243</v>
      </c>
    </row>
    <row r="1653" spans="1:6" x14ac:dyDescent="0.35">
      <c r="A1653" s="8">
        <v>42118</v>
      </c>
      <c r="B1653" s="71">
        <v>0.79166666666666663</v>
      </c>
      <c r="C1653">
        <v>21.2</v>
      </c>
      <c r="D1653">
        <v>0</v>
      </c>
      <c r="E1653">
        <v>10</v>
      </c>
      <c r="F1653">
        <v>149</v>
      </c>
    </row>
    <row r="1654" spans="1:6" x14ac:dyDescent="0.35">
      <c r="A1654" s="8">
        <v>42118</v>
      </c>
      <c r="B1654" s="71">
        <v>0.83333333333333337</v>
      </c>
      <c r="C1654">
        <v>19.8</v>
      </c>
      <c r="D1654">
        <v>0</v>
      </c>
      <c r="E1654">
        <v>2</v>
      </c>
      <c r="F1654">
        <v>62</v>
      </c>
    </row>
    <row r="1655" spans="1:6" x14ac:dyDescent="0.35">
      <c r="A1655" s="8">
        <v>42118</v>
      </c>
      <c r="B1655" s="71">
        <v>0.875</v>
      </c>
      <c r="C1655">
        <v>18.7</v>
      </c>
      <c r="D1655">
        <v>0</v>
      </c>
      <c r="E1655">
        <v>0</v>
      </c>
      <c r="F1655">
        <v>13</v>
      </c>
    </row>
    <row r="1656" spans="1:6" x14ac:dyDescent="0.35">
      <c r="A1656" s="8">
        <v>42118</v>
      </c>
      <c r="B1656" s="71">
        <v>0.91666666666666663</v>
      </c>
      <c r="C1656">
        <v>17.8</v>
      </c>
      <c r="D1656">
        <v>0</v>
      </c>
      <c r="E1656">
        <v>0</v>
      </c>
      <c r="F1656">
        <v>0</v>
      </c>
    </row>
    <row r="1657" spans="1:6" x14ac:dyDescent="0.35">
      <c r="A1657" s="8">
        <v>42118</v>
      </c>
      <c r="B1657" s="71">
        <v>0.95833333333333337</v>
      </c>
      <c r="C1657">
        <v>17.100000000000001</v>
      </c>
      <c r="D1657">
        <v>0</v>
      </c>
      <c r="E1657">
        <v>0</v>
      </c>
      <c r="F1657">
        <v>0</v>
      </c>
    </row>
    <row r="1658" spans="1:6" x14ac:dyDescent="0.35">
      <c r="A1658" s="8">
        <v>42119</v>
      </c>
      <c r="B1658" s="71">
        <v>0</v>
      </c>
      <c r="C1658">
        <v>16.5</v>
      </c>
      <c r="D1658">
        <v>0</v>
      </c>
      <c r="E1658">
        <v>0</v>
      </c>
      <c r="F1658">
        <v>0</v>
      </c>
    </row>
    <row r="1659" spans="1:6" x14ac:dyDescent="0.35">
      <c r="A1659" s="8">
        <v>42119</v>
      </c>
      <c r="B1659" s="71">
        <v>4.1666666666666664E-2</v>
      </c>
      <c r="C1659">
        <v>16.2</v>
      </c>
      <c r="D1659">
        <v>0</v>
      </c>
      <c r="E1659">
        <v>0</v>
      </c>
      <c r="F1659">
        <v>0</v>
      </c>
    </row>
    <row r="1660" spans="1:6" x14ac:dyDescent="0.35">
      <c r="A1660" s="8">
        <v>42119</v>
      </c>
      <c r="B1660" s="71">
        <v>8.3333333333333329E-2</v>
      </c>
      <c r="C1660">
        <v>16</v>
      </c>
      <c r="D1660">
        <v>0</v>
      </c>
      <c r="E1660">
        <v>0</v>
      </c>
      <c r="F1660">
        <v>0</v>
      </c>
    </row>
    <row r="1661" spans="1:6" x14ac:dyDescent="0.35">
      <c r="A1661" s="8">
        <v>42119</v>
      </c>
      <c r="B1661" s="71">
        <v>0.125</v>
      </c>
      <c r="C1661">
        <v>15.5</v>
      </c>
      <c r="D1661">
        <v>0</v>
      </c>
      <c r="E1661">
        <v>0</v>
      </c>
      <c r="F1661">
        <v>0</v>
      </c>
    </row>
    <row r="1662" spans="1:6" x14ac:dyDescent="0.35">
      <c r="A1662" s="8">
        <v>42119</v>
      </c>
      <c r="B1662" s="71">
        <v>0.16666666666666666</v>
      </c>
      <c r="C1662">
        <v>14.9</v>
      </c>
      <c r="D1662">
        <v>0</v>
      </c>
      <c r="E1662">
        <v>0</v>
      </c>
      <c r="F1662">
        <v>0</v>
      </c>
    </row>
    <row r="1663" spans="1:6" x14ac:dyDescent="0.35">
      <c r="A1663" s="8">
        <v>42119</v>
      </c>
      <c r="B1663" s="71">
        <v>0.20833333333333334</v>
      </c>
      <c r="C1663">
        <v>14.4</v>
      </c>
      <c r="D1663">
        <v>0.2</v>
      </c>
      <c r="E1663">
        <v>0</v>
      </c>
      <c r="F1663">
        <v>0</v>
      </c>
    </row>
    <row r="1664" spans="1:6" x14ac:dyDescent="0.35">
      <c r="A1664" s="8">
        <v>42119</v>
      </c>
      <c r="B1664" s="71">
        <v>0.25</v>
      </c>
      <c r="C1664">
        <v>13.9</v>
      </c>
      <c r="D1664">
        <v>0.4</v>
      </c>
      <c r="E1664">
        <v>0</v>
      </c>
      <c r="F1664">
        <v>0</v>
      </c>
    </row>
    <row r="1665" spans="1:6" x14ac:dyDescent="0.35">
      <c r="A1665" s="8">
        <v>42119</v>
      </c>
      <c r="B1665" s="71">
        <v>0.29166666666666669</v>
      </c>
      <c r="C1665">
        <v>13.3</v>
      </c>
      <c r="D1665">
        <v>0.3</v>
      </c>
      <c r="E1665">
        <v>0</v>
      </c>
      <c r="F1665">
        <v>0</v>
      </c>
    </row>
    <row r="1666" spans="1:6" x14ac:dyDescent="0.35">
      <c r="A1666" s="8">
        <v>42119</v>
      </c>
      <c r="B1666" s="71">
        <v>0.33333333333333331</v>
      </c>
      <c r="C1666">
        <v>13</v>
      </c>
      <c r="D1666">
        <v>0.2</v>
      </c>
      <c r="E1666">
        <v>5</v>
      </c>
      <c r="F1666">
        <v>15</v>
      </c>
    </row>
    <row r="1667" spans="1:6" x14ac:dyDescent="0.35">
      <c r="A1667" s="8">
        <v>42119</v>
      </c>
      <c r="B1667" s="71">
        <v>0.375</v>
      </c>
      <c r="C1667">
        <v>14.4</v>
      </c>
      <c r="D1667">
        <v>0</v>
      </c>
      <c r="E1667">
        <v>87</v>
      </c>
      <c r="F1667">
        <v>72</v>
      </c>
    </row>
    <row r="1668" spans="1:6" x14ac:dyDescent="0.35">
      <c r="A1668" s="8">
        <v>42119</v>
      </c>
      <c r="B1668" s="71">
        <v>0.41666666666666669</v>
      </c>
      <c r="C1668">
        <v>16</v>
      </c>
      <c r="D1668">
        <v>0</v>
      </c>
      <c r="E1668">
        <v>236</v>
      </c>
      <c r="F1668">
        <v>99</v>
      </c>
    </row>
    <row r="1669" spans="1:6" x14ac:dyDescent="0.35">
      <c r="A1669" s="8">
        <v>42119</v>
      </c>
      <c r="B1669" s="71">
        <v>0.45833333333333331</v>
      </c>
      <c r="C1669">
        <v>17.7</v>
      </c>
      <c r="D1669">
        <v>0</v>
      </c>
      <c r="E1669">
        <v>389</v>
      </c>
      <c r="F1669">
        <v>110</v>
      </c>
    </row>
    <row r="1670" spans="1:6" x14ac:dyDescent="0.35">
      <c r="A1670" s="8">
        <v>42119</v>
      </c>
      <c r="B1670" s="71">
        <v>0.5</v>
      </c>
      <c r="C1670">
        <v>19.100000000000001</v>
      </c>
      <c r="D1670">
        <v>0</v>
      </c>
      <c r="E1670">
        <v>540</v>
      </c>
      <c r="F1670">
        <v>120</v>
      </c>
    </row>
    <row r="1671" spans="1:6" x14ac:dyDescent="0.35">
      <c r="A1671" s="8">
        <v>42119</v>
      </c>
      <c r="B1671" s="71">
        <v>0.54166666666666663</v>
      </c>
      <c r="C1671">
        <v>20.5</v>
      </c>
      <c r="D1671">
        <v>0</v>
      </c>
      <c r="E1671">
        <v>698</v>
      </c>
      <c r="F1671">
        <v>100</v>
      </c>
    </row>
    <row r="1672" spans="1:6" x14ac:dyDescent="0.35">
      <c r="A1672" s="8">
        <v>42119</v>
      </c>
      <c r="B1672" s="71">
        <v>0.58333333333333337</v>
      </c>
      <c r="C1672">
        <v>21.4</v>
      </c>
      <c r="D1672">
        <v>0</v>
      </c>
      <c r="E1672">
        <v>695</v>
      </c>
      <c r="F1672">
        <v>120</v>
      </c>
    </row>
    <row r="1673" spans="1:6" x14ac:dyDescent="0.35">
      <c r="A1673" s="8">
        <v>42119</v>
      </c>
      <c r="B1673" s="71">
        <v>0.625</v>
      </c>
      <c r="C1673">
        <v>21.8</v>
      </c>
      <c r="D1673">
        <v>0</v>
      </c>
      <c r="E1673">
        <v>584</v>
      </c>
      <c r="F1673">
        <v>155</v>
      </c>
    </row>
    <row r="1674" spans="1:6" x14ac:dyDescent="0.35">
      <c r="A1674" s="8">
        <v>42119</v>
      </c>
      <c r="B1674" s="71">
        <v>0.66666666666666663</v>
      </c>
      <c r="C1674">
        <v>22.2</v>
      </c>
      <c r="D1674">
        <v>0</v>
      </c>
      <c r="E1674">
        <v>655</v>
      </c>
      <c r="F1674">
        <v>123</v>
      </c>
    </row>
    <row r="1675" spans="1:6" x14ac:dyDescent="0.35">
      <c r="A1675" s="8">
        <v>42119</v>
      </c>
      <c r="B1675" s="71">
        <v>0.70833333333333337</v>
      </c>
      <c r="C1675">
        <v>22.2</v>
      </c>
      <c r="D1675">
        <v>0</v>
      </c>
      <c r="E1675">
        <v>487</v>
      </c>
      <c r="F1675">
        <v>144</v>
      </c>
    </row>
    <row r="1676" spans="1:6" x14ac:dyDescent="0.35">
      <c r="A1676" s="8">
        <v>42119</v>
      </c>
      <c r="B1676" s="71">
        <v>0.75</v>
      </c>
      <c r="C1676">
        <v>21.7</v>
      </c>
      <c r="D1676">
        <v>0</v>
      </c>
      <c r="E1676">
        <v>346</v>
      </c>
      <c r="F1676">
        <v>95</v>
      </c>
    </row>
    <row r="1677" spans="1:6" x14ac:dyDescent="0.35">
      <c r="A1677" s="8">
        <v>42119</v>
      </c>
      <c r="B1677" s="71">
        <v>0.79166666666666663</v>
      </c>
      <c r="C1677">
        <v>20</v>
      </c>
      <c r="D1677">
        <v>0.5</v>
      </c>
      <c r="E1677">
        <v>229</v>
      </c>
      <c r="F1677">
        <v>84</v>
      </c>
    </row>
    <row r="1678" spans="1:6" x14ac:dyDescent="0.35">
      <c r="A1678" s="8">
        <v>42119</v>
      </c>
      <c r="B1678" s="71">
        <v>0.83333333333333337</v>
      </c>
      <c r="C1678">
        <v>19.5</v>
      </c>
      <c r="D1678">
        <v>0</v>
      </c>
      <c r="E1678">
        <v>99</v>
      </c>
      <c r="F1678">
        <v>43</v>
      </c>
    </row>
    <row r="1679" spans="1:6" x14ac:dyDescent="0.35">
      <c r="A1679" s="8">
        <v>42119</v>
      </c>
      <c r="B1679" s="71">
        <v>0.875</v>
      </c>
      <c r="C1679">
        <v>18.100000000000001</v>
      </c>
      <c r="D1679">
        <v>0</v>
      </c>
      <c r="E1679">
        <v>20</v>
      </c>
      <c r="F1679">
        <v>17</v>
      </c>
    </row>
    <row r="1680" spans="1:6" x14ac:dyDescent="0.35">
      <c r="A1680" s="8">
        <v>42119</v>
      </c>
      <c r="B1680" s="71">
        <v>0.91666666666666663</v>
      </c>
      <c r="C1680">
        <v>16.8</v>
      </c>
      <c r="D1680">
        <v>0</v>
      </c>
      <c r="E1680">
        <v>0</v>
      </c>
      <c r="F1680">
        <v>0</v>
      </c>
    </row>
    <row r="1681" spans="1:6" x14ac:dyDescent="0.35">
      <c r="A1681" s="8">
        <v>42119</v>
      </c>
      <c r="B1681" s="71">
        <v>0.95833333333333337</v>
      </c>
      <c r="C1681">
        <v>15.7</v>
      </c>
      <c r="D1681">
        <v>0</v>
      </c>
      <c r="E1681">
        <v>0</v>
      </c>
      <c r="F1681">
        <v>0</v>
      </c>
    </row>
    <row r="1682" spans="1:6" x14ac:dyDescent="0.35">
      <c r="A1682" s="8">
        <v>42120</v>
      </c>
      <c r="B1682" s="71">
        <v>0</v>
      </c>
      <c r="C1682">
        <v>15</v>
      </c>
      <c r="D1682">
        <v>0</v>
      </c>
      <c r="E1682">
        <v>0</v>
      </c>
      <c r="F1682">
        <v>0</v>
      </c>
    </row>
    <row r="1683" spans="1:6" x14ac:dyDescent="0.35">
      <c r="A1683" s="8">
        <v>42120</v>
      </c>
      <c r="B1683" s="71">
        <v>4.1666666666666664E-2</v>
      </c>
      <c r="C1683">
        <v>14.5</v>
      </c>
      <c r="D1683">
        <v>0</v>
      </c>
      <c r="E1683">
        <v>0</v>
      </c>
      <c r="F1683">
        <v>0</v>
      </c>
    </row>
    <row r="1684" spans="1:6" x14ac:dyDescent="0.35">
      <c r="A1684" s="8">
        <v>42120</v>
      </c>
      <c r="B1684" s="71">
        <v>8.3333333333333329E-2</v>
      </c>
      <c r="C1684">
        <v>14.1</v>
      </c>
      <c r="D1684">
        <v>0</v>
      </c>
      <c r="E1684">
        <v>0</v>
      </c>
      <c r="F1684">
        <v>0</v>
      </c>
    </row>
    <row r="1685" spans="1:6" x14ac:dyDescent="0.35">
      <c r="A1685" s="8">
        <v>42120</v>
      </c>
      <c r="B1685" s="71">
        <v>0.125</v>
      </c>
      <c r="C1685">
        <v>13.9</v>
      </c>
      <c r="D1685">
        <v>0</v>
      </c>
      <c r="E1685">
        <v>0</v>
      </c>
      <c r="F1685">
        <v>0</v>
      </c>
    </row>
    <row r="1686" spans="1:6" x14ac:dyDescent="0.35">
      <c r="A1686" s="8">
        <v>42120</v>
      </c>
      <c r="B1686" s="71">
        <v>0.16666666666666666</v>
      </c>
      <c r="C1686">
        <v>14.1</v>
      </c>
      <c r="D1686">
        <v>0</v>
      </c>
      <c r="E1686">
        <v>0</v>
      </c>
      <c r="F1686">
        <v>0</v>
      </c>
    </row>
    <row r="1687" spans="1:6" x14ac:dyDescent="0.35">
      <c r="A1687" s="8">
        <v>42120</v>
      </c>
      <c r="B1687" s="71">
        <v>0.20833333333333334</v>
      </c>
      <c r="C1687">
        <v>14.1</v>
      </c>
      <c r="D1687">
        <v>0</v>
      </c>
      <c r="E1687">
        <v>0</v>
      </c>
      <c r="F1687">
        <v>0</v>
      </c>
    </row>
    <row r="1688" spans="1:6" x14ac:dyDescent="0.35">
      <c r="A1688" s="8">
        <v>42120</v>
      </c>
      <c r="B1688" s="71">
        <v>0.25</v>
      </c>
      <c r="C1688">
        <v>14.2</v>
      </c>
      <c r="D1688">
        <v>0.1</v>
      </c>
      <c r="E1688">
        <v>0</v>
      </c>
      <c r="F1688">
        <v>0</v>
      </c>
    </row>
    <row r="1689" spans="1:6" x14ac:dyDescent="0.35">
      <c r="A1689" s="8">
        <v>42120</v>
      </c>
      <c r="B1689" s="71">
        <v>0.29166666666666669</v>
      </c>
      <c r="C1689">
        <v>14</v>
      </c>
      <c r="D1689">
        <v>0.2</v>
      </c>
      <c r="E1689">
        <v>0</v>
      </c>
      <c r="F1689">
        <v>0</v>
      </c>
    </row>
    <row r="1690" spans="1:6" x14ac:dyDescent="0.35">
      <c r="A1690" s="8">
        <v>42120</v>
      </c>
      <c r="B1690" s="71">
        <v>0.33333333333333331</v>
      </c>
      <c r="C1690">
        <v>13.9</v>
      </c>
      <c r="D1690">
        <v>0.3</v>
      </c>
      <c r="E1690">
        <v>3</v>
      </c>
      <c r="F1690">
        <v>15</v>
      </c>
    </row>
    <row r="1691" spans="1:6" x14ac:dyDescent="0.35">
      <c r="A1691" s="8">
        <v>42120</v>
      </c>
      <c r="B1691" s="71">
        <v>0.375</v>
      </c>
      <c r="C1691">
        <v>14.7</v>
      </c>
      <c r="D1691">
        <v>0.3</v>
      </c>
      <c r="E1691">
        <v>15</v>
      </c>
      <c r="F1691">
        <v>48</v>
      </c>
    </row>
    <row r="1692" spans="1:6" x14ac:dyDescent="0.35">
      <c r="A1692" s="8">
        <v>42120</v>
      </c>
      <c r="B1692" s="71">
        <v>0.41666666666666669</v>
      </c>
      <c r="C1692">
        <v>15.1</v>
      </c>
      <c r="D1692">
        <v>0.4</v>
      </c>
      <c r="E1692">
        <v>0</v>
      </c>
      <c r="F1692">
        <v>88</v>
      </c>
    </row>
    <row r="1693" spans="1:6" x14ac:dyDescent="0.35">
      <c r="A1693" s="8">
        <v>42120</v>
      </c>
      <c r="B1693" s="71">
        <v>0.45833333333333331</v>
      </c>
      <c r="C1693">
        <v>15.9</v>
      </c>
      <c r="D1693">
        <v>0.6</v>
      </c>
      <c r="E1693">
        <v>0</v>
      </c>
      <c r="F1693">
        <v>165</v>
      </c>
    </row>
    <row r="1694" spans="1:6" x14ac:dyDescent="0.35">
      <c r="A1694" s="8">
        <v>42120</v>
      </c>
      <c r="B1694" s="71">
        <v>0.5</v>
      </c>
      <c r="C1694">
        <v>16.600000000000001</v>
      </c>
      <c r="D1694">
        <v>0.3</v>
      </c>
      <c r="E1694">
        <v>17</v>
      </c>
      <c r="F1694">
        <v>227</v>
      </c>
    </row>
    <row r="1695" spans="1:6" x14ac:dyDescent="0.35">
      <c r="A1695" s="8">
        <v>42120</v>
      </c>
      <c r="B1695" s="71">
        <v>0.54166666666666663</v>
      </c>
      <c r="C1695">
        <v>17.8</v>
      </c>
      <c r="D1695">
        <v>0.2</v>
      </c>
      <c r="E1695">
        <v>105</v>
      </c>
      <c r="F1695">
        <v>270</v>
      </c>
    </row>
    <row r="1696" spans="1:6" x14ac:dyDescent="0.35">
      <c r="A1696" s="8">
        <v>42120</v>
      </c>
      <c r="B1696" s="71">
        <v>0.58333333333333337</v>
      </c>
      <c r="C1696">
        <v>18.8</v>
      </c>
      <c r="D1696">
        <v>0.2</v>
      </c>
      <c r="E1696">
        <v>164</v>
      </c>
      <c r="F1696">
        <v>327</v>
      </c>
    </row>
    <row r="1697" spans="1:6" x14ac:dyDescent="0.35">
      <c r="A1697" s="8">
        <v>42120</v>
      </c>
      <c r="B1697" s="71">
        <v>0.625</v>
      </c>
      <c r="C1697">
        <v>19.7</v>
      </c>
      <c r="D1697">
        <v>0.3</v>
      </c>
      <c r="E1697">
        <v>264</v>
      </c>
      <c r="F1697">
        <v>286</v>
      </c>
    </row>
    <row r="1698" spans="1:6" x14ac:dyDescent="0.35">
      <c r="A1698" s="8">
        <v>42120</v>
      </c>
      <c r="B1698" s="71">
        <v>0.66666666666666663</v>
      </c>
      <c r="C1698">
        <v>20.2</v>
      </c>
      <c r="D1698">
        <v>0.3</v>
      </c>
      <c r="E1698">
        <v>334</v>
      </c>
      <c r="F1698">
        <v>251</v>
      </c>
    </row>
    <row r="1699" spans="1:6" x14ac:dyDescent="0.35">
      <c r="A1699" s="8">
        <v>42120</v>
      </c>
      <c r="B1699" s="71">
        <v>0.70833333333333337</v>
      </c>
      <c r="C1699">
        <v>18.7</v>
      </c>
      <c r="D1699">
        <v>4.4000000000000004</v>
      </c>
      <c r="E1699">
        <v>192</v>
      </c>
      <c r="F1699">
        <v>223</v>
      </c>
    </row>
    <row r="1700" spans="1:6" x14ac:dyDescent="0.35">
      <c r="A1700" s="8">
        <v>42120</v>
      </c>
      <c r="B1700" s="71">
        <v>0.75</v>
      </c>
      <c r="C1700">
        <v>17.5</v>
      </c>
      <c r="D1700">
        <v>2.5</v>
      </c>
      <c r="E1700">
        <v>47</v>
      </c>
      <c r="F1700">
        <v>185</v>
      </c>
    </row>
    <row r="1701" spans="1:6" x14ac:dyDescent="0.35">
      <c r="A1701" s="8">
        <v>42120</v>
      </c>
      <c r="B1701" s="71">
        <v>0.79166666666666663</v>
      </c>
      <c r="C1701">
        <v>17.3</v>
      </c>
      <c r="D1701">
        <v>0</v>
      </c>
      <c r="E1701">
        <v>65</v>
      </c>
      <c r="F1701">
        <v>119</v>
      </c>
    </row>
    <row r="1702" spans="1:6" x14ac:dyDescent="0.35">
      <c r="A1702" s="8">
        <v>42120</v>
      </c>
      <c r="B1702" s="71">
        <v>0.83333333333333337</v>
      </c>
      <c r="C1702">
        <v>16.600000000000001</v>
      </c>
      <c r="D1702">
        <v>0</v>
      </c>
      <c r="E1702">
        <v>8</v>
      </c>
      <c r="F1702">
        <v>69</v>
      </c>
    </row>
    <row r="1703" spans="1:6" x14ac:dyDescent="0.35">
      <c r="A1703" s="8">
        <v>42120</v>
      </c>
      <c r="B1703" s="71">
        <v>0.875</v>
      </c>
      <c r="C1703">
        <v>15.3</v>
      </c>
      <c r="D1703">
        <v>0</v>
      </c>
      <c r="E1703">
        <v>1</v>
      </c>
      <c r="F1703">
        <v>17</v>
      </c>
    </row>
    <row r="1704" spans="1:6" x14ac:dyDescent="0.35">
      <c r="A1704" s="8">
        <v>42120</v>
      </c>
      <c r="B1704" s="71">
        <v>0.91666666666666663</v>
      </c>
      <c r="C1704">
        <v>14.6</v>
      </c>
      <c r="D1704">
        <v>0</v>
      </c>
      <c r="E1704">
        <v>0</v>
      </c>
      <c r="F1704">
        <v>0</v>
      </c>
    </row>
    <row r="1705" spans="1:6" x14ac:dyDescent="0.35">
      <c r="A1705" s="8">
        <v>42120</v>
      </c>
      <c r="B1705" s="71">
        <v>0.95833333333333337</v>
      </c>
      <c r="C1705">
        <v>14.2</v>
      </c>
      <c r="D1705">
        <v>0.2</v>
      </c>
      <c r="E1705">
        <v>0</v>
      </c>
      <c r="F1705">
        <v>0</v>
      </c>
    </row>
    <row r="1706" spans="1:6" x14ac:dyDescent="0.35">
      <c r="A1706" s="8">
        <v>42121</v>
      </c>
      <c r="B1706" s="71">
        <v>0</v>
      </c>
      <c r="C1706">
        <v>13.9</v>
      </c>
      <c r="D1706">
        <v>0.2</v>
      </c>
      <c r="E1706">
        <v>0</v>
      </c>
      <c r="F1706">
        <v>0</v>
      </c>
    </row>
    <row r="1707" spans="1:6" x14ac:dyDescent="0.35">
      <c r="A1707" s="8">
        <v>42121</v>
      </c>
      <c r="B1707" s="71">
        <v>4.1666666666666664E-2</v>
      </c>
      <c r="C1707">
        <v>13.7</v>
      </c>
      <c r="D1707">
        <v>0.2</v>
      </c>
      <c r="E1707">
        <v>0</v>
      </c>
      <c r="F1707">
        <v>0</v>
      </c>
    </row>
    <row r="1708" spans="1:6" x14ac:dyDescent="0.35">
      <c r="A1708" s="8">
        <v>42121</v>
      </c>
      <c r="B1708" s="71">
        <v>8.3333333333333329E-2</v>
      </c>
      <c r="C1708">
        <v>13.3</v>
      </c>
      <c r="D1708">
        <v>0.2</v>
      </c>
      <c r="E1708">
        <v>0</v>
      </c>
      <c r="F1708">
        <v>0</v>
      </c>
    </row>
    <row r="1709" spans="1:6" x14ac:dyDescent="0.35">
      <c r="A1709" s="8">
        <v>42121</v>
      </c>
      <c r="B1709" s="71">
        <v>0.125</v>
      </c>
      <c r="C1709">
        <v>13</v>
      </c>
      <c r="D1709">
        <v>0.3</v>
      </c>
      <c r="E1709">
        <v>0</v>
      </c>
      <c r="F1709">
        <v>0</v>
      </c>
    </row>
    <row r="1710" spans="1:6" x14ac:dyDescent="0.35">
      <c r="A1710" s="8">
        <v>42121</v>
      </c>
      <c r="B1710" s="71">
        <v>0.16666666666666666</v>
      </c>
      <c r="C1710">
        <v>12.7</v>
      </c>
      <c r="D1710">
        <v>0.3</v>
      </c>
      <c r="E1710">
        <v>0</v>
      </c>
      <c r="F1710">
        <v>0</v>
      </c>
    </row>
    <row r="1711" spans="1:6" x14ac:dyDescent="0.35">
      <c r="A1711" s="8">
        <v>42121</v>
      </c>
      <c r="B1711" s="71">
        <v>0.20833333333333334</v>
      </c>
      <c r="C1711">
        <v>12.5</v>
      </c>
      <c r="D1711">
        <v>0.3</v>
      </c>
      <c r="E1711">
        <v>0</v>
      </c>
      <c r="F1711">
        <v>0</v>
      </c>
    </row>
    <row r="1712" spans="1:6" x14ac:dyDescent="0.35">
      <c r="A1712" s="8">
        <v>42121</v>
      </c>
      <c r="B1712" s="71">
        <v>0.25</v>
      </c>
      <c r="C1712">
        <v>12.4</v>
      </c>
      <c r="D1712">
        <v>0.3</v>
      </c>
      <c r="E1712">
        <v>0</v>
      </c>
      <c r="F1712">
        <v>0</v>
      </c>
    </row>
    <row r="1713" spans="1:6" x14ac:dyDescent="0.35">
      <c r="A1713" s="8">
        <v>42121</v>
      </c>
      <c r="B1713" s="71">
        <v>0.29166666666666669</v>
      </c>
      <c r="C1713">
        <v>12.2</v>
      </c>
      <c r="D1713">
        <v>0.2</v>
      </c>
      <c r="E1713">
        <v>0</v>
      </c>
      <c r="F1713">
        <v>0</v>
      </c>
    </row>
    <row r="1714" spans="1:6" x14ac:dyDescent="0.35">
      <c r="A1714" s="8">
        <v>42121</v>
      </c>
      <c r="B1714" s="71">
        <v>0.33333333333333331</v>
      </c>
      <c r="C1714">
        <v>12.2</v>
      </c>
      <c r="D1714">
        <v>0.2</v>
      </c>
      <c r="E1714">
        <v>0</v>
      </c>
      <c r="F1714">
        <v>14</v>
      </c>
    </row>
    <row r="1715" spans="1:6" x14ac:dyDescent="0.35">
      <c r="A1715" s="8">
        <v>42121</v>
      </c>
      <c r="B1715" s="71">
        <v>0.375</v>
      </c>
      <c r="C1715">
        <v>13.3</v>
      </c>
      <c r="D1715">
        <v>0</v>
      </c>
      <c r="E1715">
        <v>13</v>
      </c>
      <c r="F1715">
        <v>87</v>
      </c>
    </row>
    <row r="1716" spans="1:6" x14ac:dyDescent="0.35">
      <c r="A1716" s="8">
        <v>42121</v>
      </c>
      <c r="B1716" s="71">
        <v>0.41666666666666669</v>
      </c>
      <c r="C1716">
        <v>14.1</v>
      </c>
      <c r="D1716">
        <v>0</v>
      </c>
      <c r="E1716">
        <v>74</v>
      </c>
      <c r="F1716">
        <v>142</v>
      </c>
    </row>
    <row r="1717" spans="1:6" x14ac:dyDescent="0.35">
      <c r="A1717" s="8">
        <v>42121</v>
      </c>
      <c r="B1717" s="71">
        <v>0.45833333333333331</v>
      </c>
      <c r="C1717">
        <v>14.9</v>
      </c>
      <c r="D1717">
        <v>0</v>
      </c>
      <c r="E1717">
        <v>105</v>
      </c>
      <c r="F1717">
        <v>215</v>
      </c>
    </row>
    <row r="1718" spans="1:6" x14ac:dyDescent="0.35">
      <c r="A1718" s="8">
        <v>42121</v>
      </c>
      <c r="B1718" s="71">
        <v>0.5</v>
      </c>
      <c r="C1718">
        <v>15.5</v>
      </c>
      <c r="D1718">
        <v>0</v>
      </c>
      <c r="E1718">
        <v>135</v>
      </c>
      <c r="F1718">
        <v>284</v>
      </c>
    </row>
    <row r="1719" spans="1:6" x14ac:dyDescent="0.35">
      <c r="A1719" s="8">
        <v>42121</v>
      </c>
      <c r="B1719" s="71">
        <v>0.54166666666666663</v>
      </c>
      <c r="C1719">
        <v>16.3</v>
      </c>
      <c r="D1719">
        <v>0</v>
      </c>
      <c r="E1719">
        <v>222</v>
      </c>
      <c r="F1719">
        <v>329</v>
      </c>
    </row>
    <row r="1720" spans="1:6" x14ac:dyDescent="0.35">
      <c r="A1720" s="8">
        <v>42121</v>
      </c>
      <c r="B1720" s="71">
        <v>0.58333333333333337</v>
      </c>
      <c r="C1720">
        <v>16.600000000000001</v>
      </c>
      <c r="D1720">
        <v>0.1</v>
      </c>
      <c r="E1720">
        <v>160</v>
      </c>
      <c r="F1720">
        <v>350</v>
      </c>
    </row>
    <row r="1721" spans="1:6" x14ac:dyDescent="0.35">
      <c r="A1721" s="8">
        <v>42121</v>
      </c>
      <c r="B1721" s="71">
        <v>0.625</v>
      </c>
      <c r="C1721">
        <v>16.399999999999999</v>
      </c>
      <c r="D1721">
        <v>0.3</v>
      </c>
      <c r="E1721">
        <v>192</v>
      </c>
      <c r="F1721">
        <v>323</v>
      </c>
    </row>
    <row r="1722" spans="1:6" x14ac:dyDescent="0.35">
      <c r="A1722" s="8">
        <v>42121</v>
      </c>
      <c r="B1722" s="71">
        <v>0.66666666666666663</v>
      </c>
      <c r="C1722">
        <v>15.9</v>
      </c>
      <c r="D1722">
        <v>0.3</v>
      </c>
      <c r="E1722">
        <v>175</v>
      </c>
      <c r="F1722">
        <v>290</v>
      </c>
    </row>
    <row r="1723" spans="1:6" x14ac:dyDescent="0.35">
      <c r="A1723" s="8">
        <v>42121</v>
      </c>
      <c r="B1723" s="71">
        <v>0.70833333333333337</v>
      </c>
      <c r="C1723">
        <v>15.8</v>
      </c>
      <c r="D1723">
        <v>0.4</v>
      </c>
      <c r="E1723">
        <v>183</v>
      </c>
      <c r="F1723">
        <v>213</v>
      </c>
    </row>
    <row r="1724" spans="1:6" x14ac:dyDescent="0.35">
      <c r="A1724" s="8">
        <v>42121</v>
      </c>
      <c r="B1724" s="71">
        <v>0.75</v>
      </c>
      <c r="C1724">
        <v>15.1</v>
      </c>
      <c r="D1724">
        <v>0.3</v>
      </c>
      <c r="E1724">
        <v>155</v>
      </c>
      <c r="F1724">
        <v>140</v>
      </c>
    </row>
    <row r="1725" spans="1:6" x14ac:dyDescent="0.35">
      <c r="A1725" s="8">
        <v>42121</v>
      </c>
      <c r="B1725" s="71">
        <v>0.79166666666666663</v>
      </c>
      <c r="C1725">
        <v>15</v>
      </c>
      <c r="D1725">
        <v>0</v>
      </c>
      <c r="E1725">
        <v>186</v>
      </c>
      <c r="F1725">
        <v>116</v>
      </c>
    </row>
    <row r="1726" spans="1:6" x14ac:dyDescent="0.35">
      <c r="A1726" s="8">
        <v>42121</v>
      </c>
      <c r="B1726" s="71">
        <v>0.83333333333333337</v>
      </c>
      <c r="C1726">
        <v>14.2</v>
      </c>
      <c r="D1726">
        <v>0</v>
      </c>
      <c r="E1726">
        <v>74</v>
      </c>
      <c r="F1726">
        <v>66</v>
      </c>
    </row>
    <row r="1727" spans="1:6" x14ac:dyDescent="0.35">
      <c r="A1727" s="8">
        <v>42121</v>
      </c>
      <c r="B1727" s="71">
        <v>0.875</v>
      </c>
      <c r="C1727">
        <v>13.1</v>
      </c>
      <c r="D1727">
        <v>0</v>
      </c>
      <c r="E1727">
        <v>18</v>
      </c>
      <c r="F1727">
        <v>18</v>
      </c>
    </row>
    <row r="1728" spans="1:6" x14ac:dyDescent="0.35">
      <c r="A1728" s="8">
        <v>42121</v>
      </c>
      <c r="B1728" s="71">
        <v>0.91666666666666663</v>
      </c>
      <c r="C1728">
        <v>12.5</v>
      </c>
      <c r="D1728">
        <v>0</v>
      </c>
      <c r="E1728">
        <v>0</v>
      </c>
      <c r="F1728">
        <v>0</v>
      </c>
    </row>
    <row r="1729" spans="1:6" x14ac:dyDescent="0.35">
      <c r="A1729" s="8">
        <v>42121</v>
      </c>
      <c r="B1729" s="71">
        <v>0.95833333333333337</v>
      </c>
      <c r="C1729">
        <v>12</v>
      </c>
      <c r="D1729">
        <v>0</v>
      </c>
      <c r="E1729">
        <v>0</v>
      </c>
      <c r="F1729">
        <v>0</v>
      </c>
    </row>
    <row r="1730" spans="1:6" x14ac:dyDescent="0.35">
      <c r="A1730" s="8">
        <v>42122</v>
      </c>
      <c r="B1730" s="71">
        <v>0</v>
      </c>
      <c r="C1730">
        <v>11.7</v>
      </c>
      <c r="D1730">
        <v>0</v>
      </c>
      <c r="E1730">
        <v>0</v>
      </c>
      <c r="F1730">
        <v>0</v>
      </c>
    </row>
    <row r="1731" spans="1:6" x14ac:dyDescent="0.35">
      <c r="A1731" s="8">
        <v>42122</v>
      </c>
      <c r="B1731" s="71">
        <v>4.1666666666666664E-2</v>
      </c>
      <c r="C1731">
        <v>11.2</v>
      </c>
      <c r="D1731">
        <v>0</v>
      </c>
      <c r="E1731">
        <v>0</v>
      </c>
      <c r="F1731">
        <v>0</v>
      </c>
    </row>
    <row r="1732" spans="1:6" x14ac:dyDescent="0.35">
      <c r="A1732" s="8">
        <v>42122</v>
      </c>
      <c r="B1732" s="71">
        <v>8.3333333333333329E-2</v>
      </c>
      <c r="C1732">
        <v>10.8</v>
      </c>
      <c r="D1732">
        <v>0</v>
      </c>
      <c r="E1732">
        <v>0</v>
      </c>
      <c r="F1732">
        <v>0</v>
      </c>
    </row>
    <row r="1733" spans="1:6" x14ac:dyDescent="0.35">
      <c r="A1733" s="8">
        <v>42122</v>
      </c>
      <c r="B1733" s="71">
        <v>0.125</v>
      </c>
      <c r="C1733">
        <v>10.6</v>
      </c>
      <c r="D1733">
        <v>0</v>
      </c>
      <c r="E1733">
        <v>0</v>
      </c>
      <c r="F1733">
        <v>0</v>
      </c>
    </row>
    <row r="1734" spans="1:6" x14ac:dyDescent="0.35">
      <c r="A1734" s="8">
        <v>42122</v>
      </c>
      <c r="B1734" s="71">
        <v>0.16666666666666666</v>
      </c>
      <c r="C1734">
        <v>9.9</v>
      </c>
      <c r="D1734">
        <v>0</v>
      </c>
      <c r="E1734">
        <v>0</v>
      </c>
      <c r="F1734">
        <v>0</v>
      </c>
    </row>
    <row r="1735" spans="1:6" x14ac:dyDescent="0.35">
      <c r="A1735" s="8">
        <v>42122</v>
      </c>
      <c r="B1735" s="71">
        <v>0.20833333333333334</v>
      </c>
      <c r="C1735">
        <v>9.8000000000000007</v>
      </c>
      <c r="D1735">
        <v>0</v>
      </c>
      <c r="E1735">
        <v>0</v>
      </c>
      <c r="F1735">
        <v>0</v>
      </c>
    </row>
    <row r="1736" spans="1:6" x14ac:dyDescent="0.35">
      <c r="A1736" s="8">
        <v>42122</v>
      </c>
      <c r="B1736" s="71">
        <v>0.25</v>
      </c>
      <c r="C1736">
        <v>9.1999999999999993</v>
      </c>
      <c r="D1736">
        <v>0</v>
      </c>
      <c r="E1736">
        <v>0</v>
      </c>
      <c r="F1736">
        <v>0</v>
      </c>
    </row>
    <row r="1737" spans="1:6" x14ac:dyDescent="0.35">
      <c r="A1737" s="8">
        <v>42122</v>
      </c>
      <c r="B1737" s="71">
        <v>0.29166666666666669</v>
      </c>
      <c r="C1737">
        <v>8.4</v>
      </c>
      <c r="D1737">
        <v>0</v>
      </c>
      <c r="E1737">
        <v>0</v>
      </c>
      <c r="F1737">
        <v>0</v>
      </c>
    </row>
    <row r="1738" spans="1:6" x14ac:dyDescent="0.35">
      <c r="A1738" s="8">
        <v>42122</v>
      </c>
      <c r="B1738" s="71">
        <v>0.33333333333333331</v>
      </c>
      <c r="C1738">
        <v>8.6</v>
      </c>
      <c r="D1738">
        <v>0</v>
      </c>
      <c r="E1738">
        <v>18</v>
      </c>
      <c r="F1738">
        <v>18</v>
      </c>
    </row>
    <row r="1739" spans="1:6" x14ac:dyDescent="0.35">
      <c r="A1739" s="8">
        <v>42122</v>
      </c>
      <c r="B1739" s="71">
        <v>0.375</v>
      </c>
      <c r="C1739">
        <v>10.6</v>
      </c>
      <c r="D1739">
        <v>0</v>
      </c>
      <c r="E1739">
        <v>98</v>
      </c>
      <c r="F1739">
        <v>62</v>
      </c>
    </row>
    <row r="1740" spans="1:6" x14ac:dyDescent="0.35">
      <c r="A1740" s="8">
        <v>42122</v>
      </c>
      <c r="B1740" s="71">
        <v>0.41666666666666669</v>
      </c>
      <c r="C1740">
        <v>11.7</v>
      </c>
      <c r="D1740">
        <v>0</v>
      </c>
      <c r="E1740">
        <v>201</v>
      </c>
      <c r="F1740">
        <v>123</v>
      </c>
    </row>
    <row r="1741" spans="1:6" x14ac:dyDescent="0.35">
      <c r="A1741" s="8">
        <v>42122</v>
      </c>
      <c r="B1741" s="71">
        <v>0.45833333333333331</v>
      </c>
      <c r="C1741">
        <v>12.7</v>
      </c>
      <c r="D1741">
        <v>0</v>
      </c>
      <c r="E1741">
        <v>334</v>
      </c>
      <c r="F1741">
        <v>138</v>
      </c>
    </row>
    <row r="1742" spans="1:6" x14ac:dyDescent="0.35">
      <c r="A1742" s="8">
        <v>42122</v>
      </c>
      <c r="B1742" s="71">
        <v>0.5</v>
      </c>
      <c r="C1742">
        <v>13.9</v>
      </c>
      <c r="D1742">
        <v>0</v>
      </c>
      <c r="E1742">
        <v>483</v>
      </c>
      <c r="F1742">
        <v>142</v>
      </c>
    </row>
    <row r="1743" spans="1:6" x14ac:dyDescent="0.35">
      <c r="A1743" s="8">
        <v>42122</v>
      </c>
      <c r="B1743" s="71">
        <v>0.54166666666666663</v>
      </c>
      <c r="C1743">
        <v>14.6</v>
      </c>
      <c r="D1743">
        <v>0</v>
      </c>
      <c r="E1743">
        <v>387</v>
      </c>
      <c r="F1743">
        <v>215</v>
      </c>
    </row>
    <row r="1744" spans="1:6" x14ac:dyDescent="0.35">
      <c r="A1744" s="8">
        <v>42122</v>
      </c>
      <c r="B1744" s="71">
        <v>0.58333333333333337</v>
      </c>
      <c r="C1744">
        <v>15</v>
      </c>
      <c r="D1744">
        <v>0</v>
      </c>
      <c r="E1744">
        <v>148</v>
      </c>
      <c r="F1744">
        <v>355</v>
      </c>
    </row>
    <row r="1745" spans="1:6" x14ac:dyDescent="0.35">
      <c r="A1745" s="8">
        <v>42122</v>
      </c>
      <c r="B1745" s="71">
        <v>0.625</v>
      </c>
      <c r="C1745">
        <v>15.2</v>
      </c>
      <c r="D1745">
        <v>0</v>
      </c>
      <c r="E1745">
        <v>142</v>
      </c>
      <c r="F1745">
        <v>334</v>
      </c>
    </row>
    <row r="1746" spans="1:6" x14ac:dyDescent="0.35">
      <c r="A1746" s="8">
        <v>42122</v>
      </c>
      <c r="B1746" s="71">
        <v>0.66666666666666663</v>
      </c>
      <c r="C1746">
        <v>15.3</v>
      </c>
      <c r="D1746">
        <v>0</v>
      </c>
      <c r="E1746">
        <v>122</v>
      </c>
      <c r="F1746">
        <v>292</v>
      </c>
    </row>
    <row r="1747" spans="1:6" x14ac:dyDescent="0.35">
      <c r="A1747" s="8">
        <v>42122</v>
      </c>
      <c r="B1747" s="71">
        <v>0.70833333333333337</v>
      </c>
      <c r="C1747">
        <v>15.2</v>
      </c>
      <c r="D1747">
        <v>0</v>
      </c>
      <c r="E1747">
        <v>122</v>
      </c>
      <c r="F1747">
        <v>250</v>
      </c>
    </row>
    <row r="1748" spans="1:6" x14ac:dyDescent="0.35">
      <c r="A1748" s="8">
        <v>42122</v>
      </c>
      <c r="B1748" s="71">
        <v>0.75</v>
      </c>
      <c r="C1748">
        <v>15.2</v>
      </c>
      <c r="D1748">
        <v>0</v>
      </c>
      <c r="E1748">
        <v>161</v>
      </c>
      <c r="F1748">
        <v>208</v>
      </c>
    </row>
    <row r="1749" spans="1:6" x14ac:dyDescent="0.35">
      <c r="A1749" s="8">
        <v>42122</v>
      </c>
      <c r="B1749" s="71">
        <v>0.79166666666666663</v>
      </c>
      <c r="C1749">
        <v>14.7</v>
      </c>
      <c r="D1749">
        <v>0</v>
      </c>
      <c r="E1749">
        <v>51</v>
      </c>
      <c r="F1749">
        <v>148</v>
      </c>
    </row>
    <row r="1750" spans="1:6" x14ac:dyDescent="0.35">
      <c r="A1750" s="8">
        <v>42122</v>
      </c>
      <c r="B1750" s="71">
        <v>0.83333333333333337</v>
      </c>
      <c r="C1750">
        <v>14.2</v>
      </c>
      <c r="D1750">
        <v>0</v>
      </c>
      <c r="E1750">
        <v>23</v>
      </c>
      <c r="F1750">
        <v>103</v>
      </c>
    </row>
    <row r="1751" spans="1:6" x14ac:dyDescent="0.35">
      <c r="A1751" s="8">
        <v>42122</v>
      </c>
      <c r="B1751" s="71">
        <v>0.875</v>
      </c>
      <c r="C1751">
        <v>13.4</v>
      </c>
      <c r="D1751">
        <v>0</v>
      </c>
      <c r="E1751">
        <v>1</v>
      </c>
      <c r="F1751">
        <v>30</v>
      </c>
    </row>
    <row r="1752" spans="1:6" x14ac:dyDescent="0.35">
      <c r="A1752" s="8">
        <v>42122</v>
      </c>
      <c r="B1752" s="71">
        <v>0.91666666666666663</v>
      </c>
      <c r="C1752">
        <v>11.7</v>
      </c>
      <c r="D1752">
        <v>0</v>
      </c>
      <c r="E1752">
        <v>0</v>
      </c>
      <c r="F1752">
        <v>0</v>
      </c>
    </row>
    <row r="1753" spans="1:6" x14ac:dyDescent="0.35">
      <c r="A1753" s="8">
        <v>42122</v>
      </c>
      <c r="B1753" s="71">
        <v>0.95833333333333337</v>
      </c>
      <c r="C1753">
        <v>10.5</v>
      </c>
      <c r="D1753">
        <v>0</v>
      </c>
      <c r="E1753">
        <v>0</v>
      </c>
      <c r="F1753">
        <v>0</v>
      </c>
    </row>
    <row r="1754" spans="1:6" x14ac:dyDescent="0.35">
      <c r="A1754" s="8">
        <v>42123</v>
      </c>
      <c r="B1754" s="71">
        <v>0</v>
      </c>
      <c r="C1754">
        <v>9.6</v>
      </c>
      <c r="D1754">
        <v>0</v>
      </c>
      <c r="E1754">
        <v>0</v>
      </c>
      <c r="F1754">
        <v>0</v>
      </c>
    </row>
    <row r="1755" spans="1:6" x14ac:dyDescent="0.35">
      <c r="A1755" s="8">
        <v>42123</v>
      </c>
      <c r="B1755" s="71">
        <v>4.1666666666666664E-2</v>
      </c>
      <c r="C1755">
        <v>8.9</v>
      </c>
      <c r="D1755">
        <v>0</v>
      </c>
      <c r="E1755">
        <v>0</v>
      </c>
      <c r="F1755">
        <v>0</v>
      </c>
    </row>
    <row r="1756" spans="1:6" x14ac:dyDescent="0.35">
      <c r="A1756" s="8">
        <v>42123</v>
      </c>
      <c r="B1756" s="71">
        <v>8.3333333333333329E-2</v>
      </c>
      <c r="C1756">
        <v>8.1</v>
      </c>
      <c r="D1756">
        <v>0</v>
      </c>
      <c r="E1756">
        <v>0</v>
      </c>
      <c r="F1756">
        <v>0</v>
      </c>
    </row>
    <row r="1757" spans="1:6" x14ac:dyDescent="0.35">
      <c r="A1757" s="8">
        <v>42123</v>
      </c>
      <c r="B1757" s="71">
        <v>0.125</v>
      </c>
      <c r="C1757">
        <v>7.7</v>
      </c>
      <c r="D1757">
        <v>0</v>
      </c>
      <c r="E1757">
        <v>0</v>
      </c>
      <c r="F1757">
        <v>0</v>
      </c>
    </row>
    <row r="1758" spans="1:6" x14ac:dyDescent="0.35">
      <c r="A1758" s="8">
        <v>42123</v>
      </c>
      <c r="B1758" s="71">
        <v>0.16666666666666666</v>
      </c>
      <c r="C1758">
        <v>7.6</v>
      </c>
      <c r="D1758">
        <v>0</v>
      </c>
      <c r="E1758">
        <v>0</v>
      </c>
      <c r="F1758">
        <v>0</v>
      </c>
    </row>
    <row r="1759" spans="1:6" x14ac:dyDescent="0.35">
      <c r="A1759" s="8">
        <v>42123</v>
      </c>
      <c r="B1759" s="71">
        <v>0.20833333333333334</v>
      </c>
      <c r="C1759">
        <v>7.4</v>
      </c>
      <c r="D1759">
        <v>0</v>
      </c>
      <c r="E1759">
        <v>0</v>
      </c>
      <c r="F1759">
        <v>0</v>
      </c>
    </row>
    <row r="1760" spans="1:6" x14ac:dyDescent="0.35">
      <c r="A1760" s="8">
        <v>42123</v>
      </c>
      <c r="B1760" s="71">
        <v>0.25</v>
      </c>
      <c r="C1760">
        <v>6.8</v>
      </c>
      <c r="D1760">
        <v>0</v>
      </c>
      <c r="E1760">
        <v>0</v>
      </c>
      <c r="F1760">
        <v>0</v>
      </c>
    </row>
    <row r="1761" spans="1:6" x14ac:dyDescent="0.35">
      <c r="A1761" s="8">
        <v>42123</v>
      </c>
      <c r="B1761" s="71">
        <v>0.29166666666666669</v>
      </c>
      <c r="C1761">
        <v>6.7</v>
      </c>
      <c r="D1761">
        <v>0</v>
      </c>
      <c r="E1761">
        <v>0</v>
      </c>
      <c r="F1761">
        <v>0</v>
      </c>
    </row>
    <row r="1762" spans="1:6" x14ac:dyDescent="0.35">
      <c r="A1762" s="8">
        <v>42123</v>
      </c>
      <c r="B1762" s="71">
        <v>0.33333333333333331</v>
      </c>
      <c r="C1762">
        <v>7.9</v>
      </c>
      <c r="D1762">
        <v>0</v>
      </c>
      <c r="E1762">
        <v>11</v>
      </c>
      <c r="F1762">
        <v>33</v>
      </c>
    </row>
    <row r="1763" spans="1:6" x14ac:dyDescent="0.35">
      <c r="A1763" s="8">
        <v>42123</v>
      </c>
      <c r="B1763" s="71">
        <v>0.375</v>
      </c>
      <c r="C1763">
        <v>9.6999999999999993</v>
      </c>
      <c r="D1763">
        <v>0</v>
      </c>
      <c r="E1763">
        <v>77</v>
      </c>
      <c r="F1763">
        <v>101</v>
      </c>
    </row>
    <row r="1764" spans="1:6" x14ac:dyDescent="0.35">
      <c r="A1764" s="8">
        <v>42123</v>
      </c>
      <c r="B1764" s="71">
        <v>0.41666666666666669</v>
      </c>
      <c r="C1764">
        <v>12</v>
      </c>
      <c r="D1764">
        <v>0</v>
      </c>
      <c r="E1764">
        <v>256</v>
      </c>
      <c r="F1764">
        <v>120</v>
      </c>
    </row>
    <row r="1765" spans="1:6" x14ac:dyDescent="0.35">
      <c r="A1765" s="8">
        <v>42123</v>
      </c>
      <c r="B1765" s="71">
        <v>0.45833333333333331</v>
      </c>
      <c r="C1765">
        <v>13.9</v>
      </c>
      <c r="D1765">
        <v>0</v>
      </c>
      <c r="E1765">
        <v>421</v>
      </c>
      <c r="F1765">
        <v>140</v>
      </c>
    </row>
    <row r="1766" spans="1:6" x14ac:dyDescent="0.35">
      <c r="A1766" s="8">
        <v>42123</v>
      </c>
      <c r="B1766" s="71">
        <v>0.5</v>
      </c>
      <c r="C1766">
        <v>15.5</v>
      </c>
      <c r="D1766">
        <v>0</v>
      </c>
      <c r="E1766">
        <v>644</v>
      </c>
      <c r="F1766">
        <v>96</v>
      </c>
    </row>
    <row r="1767" spans="1:6" x14ac:dyDescent="0.35">
      <c r="A1767" s="8">
        <v>42123</v>
      </c>
      <c r="B1767" s="71">
        <v>0.54166666666666663</v>
      </c>
      <c r="C1767">
        <v>16.3</v>
      </c>
      <c r="D1767">
        <v>0</v>
      </c>
      <c r="E1767">
        <v>599</v>
      </c>
      <c r="F1767">
        <v>150</v>
      </c>
    </row>
    <row r="1768" spans="1:6" x14ac:dyDescent="0.35">
      <c r="A1768" s="8">
        <v>42123</v>
      </c>
      <c r="B1768" s="71">
        <v>0.58333333333333337</v>
      </c>
      <c r="C1768">
        <v>17.100000000000001</v>
      </c>
      <c r="D1768">
        <v>0</v>
      </c>
      <c r="E1768">
        <v>520</v>
      </c>
      <c r="F1768">
        <v>269</v>
      </c>
    </row>
    <row r="1769" spans="1:6" x14ac:dyDescent="0.35">
      <c r="A1769" s="8">
        <v>42123</v>
      </c>
      <c r="B1769" s="71">
        <v>0.625</v>
      </c>
      <c r="C1769">
        <v>17.5</v>
      </c>
      <c r="D1769">
        <v>0</v>
      </c>
      <c r="E1769">
        <v>551</v>
      </c>
      <c r="F1769">
        <v>210</v>
      </c>
    </row>
    <row r="1770" spans="1:6" x14ac:dyDescent="0.35">
      <c r="A1770" s="8">
        <v>42123</v>
      </c>
      <c r="B1770" s="71">
        <v>0.66666666666666663</v>
      </c>
      <c r="C1770">
        <v>17.600000000000001</v>
      </c>
      <c r="D1770">
        <v>0</v>
      </c>
      <c r="E1770">
        <v>491</v>
      </c>
      <c r="F1770">
        <v>210</v>
      </c>
    </row>
    <row r="1771" spans="1:6" x14ac:dyDescent="0.35">
      <c r="A1771" s="8">
        <v>42123</v>
      </c>
      <c r="B1771" s="71">
        <v>0.70833333333333337</v>
      </c>
      <c r="C1771">
        <v>17.3</v>
      </c>
      <c r="D1771">
        <v>0</v>
      </c>
      <c r="E1771">
        <v>386</v>
      </c>
      <c r="F1771">
        <v>208</v>
      </c>
    </row>
    <row r="1772" spans="1:6" x14ac:dyDescent="0.35">
      <c r="A1772" s="8">
        <v>42123</v>
      </c>
      <c r="B1772" s="71">
        <v>0.75</v>
      </c>
      <c r="C1772">
        <v>16.5</v>
      </c>
      <c r="D1772">
        <v>0</v>
      </c>
      <c r="E1772">
        <v>308</v>
      </c>
      <c r="F1772">
        <v>171</v>
      </c>
    </row>
    <row r="1773" spans="1:6" x14ac:dyDescent="0.35">
      <c r="A1773" s="8">
        <v>42123</v>
      </c>
      <c r="B1773" s="71">
        <v>0.79166666666666663</v>
      </c>
      <c r="C1773">
        <v>15.4</v>
      </c>
      <c r="D1773">
        <v>0</v>
      </c>
      <c r="E1773">
        <v>243</v>
      </c>
      <c r="F1773">
        <v>114</v>
      </c>
    </row>
    <row r="1774" spans="1:6" x14ac:dyDescent="0.35">
      <c r="A1774" s="8">
        <v>42123</v>
      </c>
      <c r="B1774" s="71">
        <v>0.83333333333333337</v>
      </c>
      <c r="C1774">
        <v>14.2</v>
      </c>
      <c r="D1774">
        <v>0</v>
      </c>
      <c r="E1774">
        <v>118</v>
      </c>
      <c r="F1774">
        <v>71</v>
      </c>
    </row>
    <row r="1775" spans="1:6" x14ac:dyDescent="0.35">
      <c r="A1775" s="8">
        <v>42123</v>
      </c>
      <c r="B1775" s="71">
        <v>0.875</v>
      </c>
      <c r="C1775">
        <v>12.9</v>
      </c>
      <c r="D1775">
        <v>0</v>
      </c>
      <c r="E1775">
        <v>28</v>
      </c>
      <c r="F1775">
        <v>22</v>
      </c>
    </row>
    <row r="1776" spans="1:6" x14ac:dyDescent="0.35">
      <c r="A1776" s="8">
        <v>42123</v>
      </c>
      <c r="B1776" s="71">
        <v>0.91666666666666663</v>
      </c>
      <c r="C1776">
        <v>11.6</v>
      </c>
      <c r="D1776">
        <v>0</v>
      </c>
      <c r="E1776">
        <v>0</v>
      </c>
      <c r="F1776">
        <v>0</v>
      </c>
    </row>
    <row r="1777" spans="1:6" x14ac:dyDescent="0.35">
      <c r="A1777" s="8">
        <v>42123</v>
      </c>
      <c r="B1777" s="71">
        <v>0.95833333333333337</v>
      </c>
      <c r="C1777">
        <v>10.6</v>
      </c>
      <c r="D1777">
        <v>0</v>
      </c>
      <c r="E1777">
        <v>0</v>
      </c>
      <c r="F1777">
        <v>0</v>
      </c>
    </row>
    <row r="1778" spans="1:6" x14ac:dyDescent="0.35">
      <c r="A1778" s="8">
        <v>42124</v>
      </c>
      <c r="B1778" s="71">
        <v>0</v>
      </c>
      <c r="C1778">
        <v>9.5</v>
      </c>
      <c r="D1778">
        <v>0</v>
      </c>
      <c r="E1778">
        <v>0</v>
      </c>
      <c r="F1778">
        <v>0</v>
      </c>
    </row>
    <row r="1779" spans="1:6" x14ac:dyDescent="0.35">
      <c r="A1779" s="8">
        <v>42124</v>
      </c>
      <c r="B1779" s="71">
        <v>4.1666666666666664E-2</v>
      </c>
      <c r="C1779">
        <v>8.9</v>
      </c>
      <c r="D1779">
        <v>0</v>
      </c>
      <c r="E1779">
        <v>0</v>
      </c>
      <c r="F1779">
        <v>0</v>
      </c>
    </row>
    <row r="1780" spans="1:6" x14ac:dyDescent="0.35">
      <c r="A1780" s="8">
        <v>42124</v>
      </c>
      <c r="B1780" s="71">
        <v>8.3333333333333329E-2</v>
      </c>
      <c r="C1780">
        <v>10.1</v>
      </c>
      <c r="D1780">
        <v>0</v>
      </c>
      <c r="E1780">
        <v>0</v>
      </c>
      <c r="F1780">
        <v>0</v>
      </c>
    </row>
    <row r="1781" spans="1:6" x14ac:dyDescent="0.35">
      <c r="A1781" s="8">
        <v>42124</v>
      </c>
      <c r="B1781" s="71">
        <v>0.125</v>
      </c>
      <c r="C1781">
        <v>8.5</v>
      </c>
      <c r="D1781">
        <v>0</v>
      </c>
      <c r="E1781">
        <v>0</v>
      </c>
      <c r="F1781">
        <v>0</v>
      </c>
    </row>
    <row r="1782" spans="1:6" x14ac:dyDescent="0.35">
      <c r="A1782" s="8">
        <v>42124</v>
      </c>
      <c r="B1782" s="71">
        <v>0.16666666666666666</v>
      </c>
      <c r="C1782">
        <v>6.3</v>
      </c>
      <c r="D1782">
        <v>0</v>
      </c>
      <c r="E1782">
        <v>0</v>
      </c>
      <c r="F1782">
        <v>0</v>
      </c>
    </row>
    <row r="1783" spans="1:6" x14ac:dyDescent="0.35">
      <c r="A1783" s="8">
        <v>42124</v>
      </c>
      <c r="B1783" s="71">
        <v>0.20833333333333334</v>
      </c>
      <c r="C1783">
        <v>5.8</v>
      </c>
      <c r="D1783">
        <v>0</v>
      </c>
      <c r="E1783">
        <v>0</v>
      </c>
      <c r="F1783">
        <v>0</v>
      </c>
    </row>
    <row r="1784" spans="1:6" x14ac:dyDescent="0.35">
      <c r="A1784" s="8">
        <v>42124</v>
      </c>
      <c r="B1784" s="71">
        <v>0.25</v>
      </c>
      <c r="C1784">
        <v>5.5</v>
      </c>
      <c r="D1784">
        <v>0</v>
      </c>
      <c r="E1784">
        <v>0</v>
      </c>
      <c r="F1784">
        <v>0</v>
      </c>
    </row>
    <row r="1785" spans="1:6" x14ac:dyDescent="0.35">
      <c r="A1785" s="8">
        <v>42124</v>
      </c>
      <c r="B1785" s="71">
        <v>0.29166666666666669</v>
      </c>
      <c r="C1785">
        <v>5.4</v>
      </c>
      <c r="D1785">
        <v>0</v>
      </c>
      <c r="E1785">
        <v>0</v>
      </c>
      <c r="F1785">
        <v>0</v>
      </c>
    </row>
    <row r="1786" spans="1:6" x14ac:dyDescent="0.35">
      <c r="A1786" s="8">
        <v>42124</v>
      </c>
      <c r="B1786" s="71">
        <v>0.33333333333333331</v>
      </c>
      <c r="C1786">
        <v>6.6</v>
      </c>
      <c r="D1786">
        <v>0</v>
      </c>
      <c r="E1786">
        <v>26</v>
      </c>
      <c r="F1786">
        <v>26</v>
      </c>
    </row>
    <row r="1787" spans="1:6" x14ac:dyDescent="0.35">
      <c r="A1787" s="8">
        <v>42124</v>
      </c>
      <c r="B1787" s="71">
        <v>0.375</v>
      </c>
      <c r="C1787">
        <v>10.3</v>
      </c>
      <c r="D1787">
        <v>0</v>
      </c>
      <c r="E1787">
        <v>73</v>
      </c>
      <c r="F1787">
        <v>105</v>
      </c>
    </row>
    <row r="1788" spans="1:6" x14ac:dyDescent="0.35">
      <c r="A1788" s="8">
        <v>42124</v>
      </c>
      <c r="B1788" s="71">
        <v>0.41666666666666669</v>
      </c>
      <c r="C1788">
        <v>12.8</v>
      </c>
      <c r="D1788">
        <v>0</v>
      </c>
      <c r="E1788">
        <v>254</v>
      </c>
      <c r="F1788">
        <v>124</v>
      </c>
    </row>
    <row r="1789" spans="1:6" x14ac:dyDescent="0.35">
      <c r="A1789" s="8">
        <v>42124</v>
      </c>
      <c r="B1789" s="71">
        <v>0.45833333333333331</v>
      </c>
      <c r="C1789">
        <v>15.1</v>
      </c>
      <c r="D1789">
        <v>0</v>
      </c>
      <c r="E1789">
        <v>483</v>
      </c>
      <c r="F1789">
        <v>96</v>
      </c>
    </row>
    <row r="1790" spans="1:6" x14ac:dyDescent="0.35">
      <c r="A1790" s="8">
        <v>42124</v>
      </c>
      <c r="B1790" s="71">
        <v>0.5</v>
      </c>
      <c r="C1790">
        <v>16.8</v>
      </c>
      <c r="D1790">
        <v>0</v>
      </c>
      <c r="E1790">
        <v>394</v>
      </c>
      <c r="F1790">
        <v>214</v>
      </c>
    </row>
    <row r="1791" spans="1:6" x14ac:dyDescent="0.35">
      <c r="A1791" s="8">
        <v>42124</v>
      </c>
      <c r="B1791" s="71">
        <v>0.54166666666666663</v>
      </c>
      <c r="C1791">
        <v>18.600000000000001</v>
      </c>
      <c r="D1791">
        <v>0</v>
      </c>
      <c r="E1791">
        <v>441</v>
      </c>
      <c r="F1791">
        <v>285</v>
      </c>
    </row>
    <row r="1792" spans="1:6" x14ac:dyDescent="0.35">
      <c r="A1792" s="8">
        <v>42124</v>
      </c>
      <c r="B1792" s="71">
        <v>0.58333333333333337</v>
      </c>
      <c r="C1792">
        <v>18.8</v>
      </c>
      <c r="D1792">
        <v>0</v>
      </c>
      <c r="E1792">
        <v>301</v>
      </c>
      <c r="F1792">
        <v>283</v>
      </c>
    </row>
    <row r="1793" spans="1:6" x14ac:dyDescent="0.35">
      <c r="A1793" s="8">
        <v>42124</v>
      </c>
      <c r="B1793" s="71">
        <v>0.625</v>
      </c>
      <c r="C1793">
        <v>17.5</v>
      </c>
      <c r="D1793">
        <v>0</v>
      </c>
      <c r="E1793">
        <v>50</v>
      </c>
      <c r="F1793">
        <v>227</v>
      </c>
    </row>
    <row r="1794" spans="1:6" x14ac:dyDescent="0.35">
      <c r="A1794" s="8">
        <v>42124</v>
      </c>
      <c r="B1794" s="71">
        <v>0.66666666666666663</v>
      </c>
      <c r="C1794">
        <v>16.2</v>
      </c>
      <c r="D1794">
        <v>0</v>
      </c>
      <c r="E1794">
        <v>0</v>
      </c>
      <c r="F1794">
        <v>121</v>
      </c>
    </row>
    <row r="1795" spans="1:6" x14ac:dyDescent="0.35">
      <c r="A1795" s="8">
        <v>42124</v>
      </c>
      <c r="B1795" s="71">
        <v>0.70833333333333337</v>
      </c>
      <c r="C1795">
        <v>15.9</v>
      </c>
      <c r="D1795">
        <v>0</v>
      </c>
      <c r="E1795">
        <v>0</v>
      </c>
      <c r="F1795">
        <v>154</v>
      </c>
    </row>
    <row r="1796" spans="1:6" x14ac:dyDescent="0.35">
      <c r="A1796" s="8">
        <v>42124</v>
      </c>
      <c r="B1796" s="71">
        <v>0.75</v>
      </c>
      <c r="C1796">
        <v>16</v>
      </c>
      <c r="D1796">
        <v>0</v>
      </c>
      <c r="E1796">
        <v>19</v>
      </c>
      <c r="F1796">
        <v>117</v>
      </c>
    </row>
    <row r="1797" spans="1:6" x14ac:dyDescent="0.35">
      <c r="A1797" s="8">
        <v>42124</v>
      </c>
      <c r="B1797" s="71">
        <v>0.79166666666666663</v>
      </c>
      <c r="C1797">
        <v>16.100000000000001</v>
      </c>
      <c r="D1797">
        <v>0</v>
      </c>
      <c r="E1797">
        <v>40</v>
      </c>
      <c r="F1797">
        <v>70</v>
      </c>
    </row>
    <row r="1798" spans="1:6" x14ac:dyDescent="0.35">
      <c r="A1798" s="8">
        <v>42124</v>
      </c>
      <c r="B1798" s="71">
        <v>0.83333333333333337</v>
      </c>
      <c r="C1798">
        <v>15.8</v>
      </c>
      <c r="D1798">
        <v>0.1</v>
      </c>
      <c r="E1798">
        <v>17</v>
      </c>
      <c r="F1798">
        <v>54</v>
      </c>
    </row>
    <row r="1799" spans="1:6" x14ac:dyDescent="0.35">
      <c r="A1799" s="8">
        <v>42124</v>
      </c>
      <c r="B1799" s="71">
        <v>0.875</v>
      </c>
      <c r="C1799">
        <v>15.8</v>
      </c>
      <c r="D1799">
        <v>0</v>
      </c>
      <c r="E1799">
        <v>0</v>
      </c>
      <c r="F1799">
        <v>6</v>
      </c>
    </row>
    <row r="1800" spans="1:6" x14ac:dyDescent="0.35">
      <c r="A1800" s="8">
        <v>42124</v>
      </c>
      <c r="B1800" s="71">
        <v>0.91666666666666663</v>
      </c>
      <c r="C1800">
        <v>15.1</v>
      </c>
      <c r="D1800">
        <v>0.2</v>
      </c>
      <c r="E1800">
        <v>0</v>
      </c>
      <c r="F1800">
        <v>0</v>
      </c>
    </row>
    <row r="1801" spans="1:6" x14ac:dyDescent="0.35">
      <c r="A1801" s="8">
        <v>42124</v>
      </c>
      <c r="B1801" s="71">
        <v>0.95833333333333337</v>
      </c>
      <c r="C1801">
        <v>13.9</v>
      </c>
      <c r="D1801">
        <v>0.8</v>
      </c>
      <c r="E1801">
        <v>0</v>
      </c>
      <c r="F1801">
        <v>0</v>
      </c>
    </row>
    <row r="1802" spans="1:6" x14ac:dyDescent="0.35">
      <c r="A1802" s="8">
        <v>42125</v>
      </c>
      <c r="B1802" s="71">
        <v>0</v>
      </c>
      <c r="C1802">
        <v>13.6</v>
      </c>
      <c r="D1802">
        <v>1.1000000000000001</v>
      </c>
      <c r="E1802">
        <v>0</v>
      </c>
      <c r="F1802">
        <v>0</v>
      </c>
    </row>
    <row r="1803" spans="1:6" x14ac:dyDescent="0.35">
      <c r="A1803" s="8">
        <v>42125</v>
      </c>
      <c r="B1803" s="71">
        <v>4.1666666666666664E-2</v>
      </c>
      <c r="C1803">
        <v>13.6</v>
      </c>
      <c r="D1803">
        <v>1</v>
      </c>
      <c r="E1803">
        <v>0</v>
      </c>
      <c r="F1803">
        <v>0</v>
      </c>
    </row>
    <row r="1804" spans="1:6" x14ac:dyDescent="0.35">
      <c r="A1804" s="8">
        <v>42125</v>
      </c>
      <c r="B1804" s="71">
        <v>8.3333333333333329E-2</v>
      </c>
      <c r="C1804">
        <v>13.5</v>
      </c>
      <c r="D1804">
        <v>1.2</v>
      </c>
      <c r="E1804">
        <v>0</v>
      </c>
      <c r="F1804">
        <v>0</v>
      </c>
    </row>
    <row r="1805" spans="1:6" x14ac:dyDescent="0.35">
      <c r="A1805" s="8">
        <v>42125</v>
      </c>
      <c r="B1805" s="71">
        <v>0.125</v>
      </c>
      <c r="C1805">
        <v>13.4</v>
      </c>
      <c r="D1805">
        <v>0</v>
      </c>
      <c r="E1805">
        <v>0</v>
      </c>
      <c r="F1805">
        <v>0</v>
      </c>
    </row>
    <row r="1806" spans="1:6" x14ac:dyDescent="0.35">
      <c r="A1806" s="8">
        <v>42125</v>
      </c>
      <c r="B1806" s="71">
        <v>0.16666666666666666</v>
      </c>
      <c r="C1806">
        <v>13.6</v>
      </c>
      <c r="D1806">
        <v>0</v>
      </c>
      <c r="E1806">
        <v>0</v>
      </c>
      <c r="F1806">
        <v>0</v>
      </c>
    </row>
    <row r="1807" spans="1:6" x14ac:dyDescent="0.35">
      <c r="A1807" s="8">
        <v>42125</v>
      </c>
      <c r="B1807" s="71">
        <v>0.20833333333333334</v>
      </c>
      <c r="C1807">
        <v>13.8</v>
      </c>
      <c r="D1807">
        <v>0.2</v>
      </c>
      <c r="E1807">
        <v>0</v>
      </c>
      <c r="F1807">
        <v>0</v>
      </c>
    </row>
    <row r="1808" spans="1:6" x14ac:dyDescent="0.35">
      <c r="A1808" s="8">
        <v>42125</v>
      </c>
      <c r="B1808" s="71">
        <v>0.25</v>
      </c>
      <c r="C1808">
        <v>14</v>
      </c>
      <c r="D1808">
        <v>0.7</v>
      </c>
      <c r="E1808">
        <v>0</v>
      </c>
      <c r="F1808">
        <v>0</v>
      </c>
    </row>
    <row r="1809" spans="1:6" x14ac:dyDescent="0.35">
      <c r="A1809" s="8">
        <v>42125</v>
      </c>
      <c r="B1809" s="71">
        <v>0.29166666666666669</v>
      </c>
      <c r="C1809">
        <v>13.9</v>
      </c>
      <c r="D1809">
        <v>1</v>
      </c>
      <c r="E1809">
        <v>0</v>
      </c>
      <c r="F1809">
        <v>0</v>
      </c>
    </row>
    <row r="1810" spans="1:6" x14ac:dyDescent="0.35">
      <c r="A1810" s="8">
        <v>42125</v>
      </c>
      <c r="B1810" s="71">
        <v>0.33333333333333331</v>
      </c>
      <c r="C1810">
        <v>14</v>
      </c>
      <c r="D1810">
        <v>1.4</v>
      </c>
      <c r="E1810">
        <v>0</v>
      </c>
      <c r="F1810">
        <v>5</v>
      </c>
    </row>
    <row r="1811" spans="1:6" x14ac:dyDescent="0.35">
      <c r="A1811" s="8">
        <v>42125</v>
      </c>
      <c r="B1811" s="71">
        <v>0.375</v>
      </c>
      <c r="C1811">
        <v>14.1</v>
      </c>
      <c r="D1811">
        <v>1.6</v>
      </c>
      <c r="E1811">
        <v>0</v>
      </c>
      <c r="F1811">
        <v>17</v>
      </c>
    </row>
    <row r="1812" spans="1:6" x14ac:dyDescent="0.35">
      <c r="A1812" s="8">
        <v>42125</v>
      </c>
      <c r="B1812" s="71">
        <v>0.41666666666666669</v>
      </c>
      <c r="C1812">
        <v>14.3</v>
      </c>
      <c r="D1812">
        <v>1</v>
      </c>
      <c r="E1812">
        <v>0</v>
      </c>
      <c r="F1812">
        <v>27</v>
      </c>
    </row>
    <row r="1813" spans="1:6" x14ac:dyDescent="0.35">
      <c r="A1813" s="8">
        <v>42125</v>
      </c>
      <c r="B1813" s="71">
        <v>0.45833333333333331</v>
      </c>
      <c r="C1813">
        <v>14.6</v>
      </c>
      <c r="D1813">
        <v>0.9</v>
      </c>
      <c r="E1813">
        <v>0</v>
      </c>
      <c r="F1813">
        <v>53</v>
      </c>
    </row>
    <row r="1814" spans="1:6" x14ac:dyDescent="0.35">
      <c r="A1814" s="8">
        <v>42125</v>
      </c>
      <c r="B1814" s="71">
        <v>0.5</v>
      </c>
      <c r="C1814">
        <v>14.9</v>
      </c>
      <c r="D1814">
        <v>0.4</v>
      </c>
      <c r="E1814">
        <v>2</v>
      </c>
      <c r="F1814">
        <v>72</v>
      </c>
    </row>
    <row r="1815" spans="1:6" x14ac:dyDescent="0.35">
      <c r="A1815" s="8">
        <v>42125</v>
      </c>
      <c r="B1815" s="71">
        <v>0.54166666666666663</v>
      </c>
      <c r="C1815">
        <v>15.2</v>
      </c>
      <c r="D1815">
        <v>1.5</v>
      </c>
      <c r="E1815">
        <v>0</v>
      </c>
      <c r="F1815">
        <v>80</v>
      </c>
    </row>
    <row r="1816" spans="1:6" x14ac:dyDescent="0.35">
      <c r="A1816" s="8">
        <v>42125</v>
      </c>
      <c r="B1816" s="71">
        <v>0.58333333333333337</v>
      </c>
      <c r="C1816">
        <v>15.8</v>
      </c>
      <c r="D1816">
        <v>0</v>
      </c>
      <c r="E1816">
        <v>8</v>
      </c>
      <c r="F1816">
        <v>160</v>
      </c>
    </row>
    <row r="1817" spans="1:6" x14ac:dyDescent="0.35">
      <c r="A1817" s="8">
        <v>42125</v>
      </c>
      <c r="B1817" s="71">
        <v>0.625</v>
      </c>
      <c r="C1817">
        <v>16</v>
      </c>
      <c r="D1817">
        <v>0</v>
      </c>
      <c r="E1817">
        <v>1</v>
      </c>
      <c r="F1817">
        <v>121</v>
      </c>
    </row>
    <row r="1818" spans="1:6" x14ac:dyDescent="0.35">
      <c r="A1818" s="8">
        <v>42125</v>
      </c>
      <c r="B1818" s="71">
        <v>0.66666666666666663</v>
      </c>
      <c r="C1818">
        <v>16.5</v>
      </c>
      <c r="D1818">
        <v>0</v>
      </c>
      <c r="E1818">
        <v>3</v>
      </c>
      <c r="F1818">
        <v>149</v>
      </c>
    </row>
    <row r="1819" spans="1:6" x14ac:dyDescent="0.35">
      <c r="A1819" s="8">
        <v>42125</v>
      </c>
      <c r="B1819" s="71">
        <v>0.70833333333333337</v>
      </c>
      <c r="C1819">
        <v>16.399999999999999</v>
      </c>
      <c r="D1819">
        <v>0</v>
      </c>
      <c r="E1819">
        <v>0</v>
      </c>
      <c r="F1819">
        <v>119</v>
      </c>
    </row>
    <row r="1820" spans="1:6" x14ac:dyDescent="0.35">
      <c r="A1820" s="8">
        <v>42125</v>
      </c>
      <c r="B1820" s="71">
        <v>0.75</v>
      </c>
      <c r="C1820">
        <v>16.5</v>
      </c>
      <c r="D1820">
        <v>0</v>
      </c>
      <c r="E1820">
        <v>12</v>
      </c>
      <c r="F1820">
        <v>153</v>
      </c>
    </row>
    <row r="1821" spans="1:6" x14ac:dyDescent="0.35">
      <c r="A1821" s="8">
        <v>42125</v>
      </c>
      <c r="B1821" s="71">
        <v>0.79166666666666663</v>
      </c>
      <c r="C1821">
        <v>16.3</v>
      </c>
      <c r="D1821">
        <v>0</v>
      </c>
      <c r="E1821">
        <v>11</v>
      </c>
      <c r="F1821">
        <v>117</v>
      </c>
    </row>
    <row r="1822" spans="1:6" x14ac:dyDescent="0.35">
      <c r="A1822" s="8">
        <v>42125</v>
      </c>
      <c r="B1822" s="71">
        <v>0.83333333333333337</v>
      </c>
      <c r="C1822">
        <v>16.100000000000001</v>
      </c>
      <c r="D1822">
        <v>0</v>
      </c>
      <c r="E1822">
        <v>24</v>
      </c>
      <c r="F1822">
        <v>60</v>
      </c>
    </row>
    <row r="1823" spans="1:6" x14ac:dyDescent="0.35">
      <c r="A1823" s="8">
        <v>42125</v>
      </c>
      <c r="B1823" s="71">
        <v>0.875</v>
      </c>
      <c r="C1823">
        <v>15.1</v>
      </c>
      <c r="D1823">
        <v>0</v>
      </c>
      <c r="E1823">
        <v>4</v>
      </c>
      <c r="F1823">
        <v>23</v>
      </c>
    </row>
    <row r="1824" spans="1:6" x14ac:dyDescent="0.35">
      <c r="A1824" s="8">
        <v>42125</v>
      </c>
      <c r="B1824" s="71">
        <v>0.91666666666666663</v>
      </c>
      <c r="C1824">
        <v>14.6</v>
      </c>
      <c r="D1824">
        <v>0</v>
      </c>
      <c r="E1824">
        <v>0</v>
      </c>
      <c r="F1824">
        <v>0</v>
      </c>
    </row>
    <row r="1825" spans="1:6" x14ac:dyDescent="0.35">
      <c r="A1825" s="8">
        <v>42125</v>
      </c>
      <c r="B1825" s="71">
        <v>0.95833333333333337</v>
      </c>
      <c r="C1825">
        <v>14.2</v>
      </c>
      <c r="D1825">
        <v>0</v>
      </c>
      <c r="E1825">
        <v>0</v>
      </c>
      <c r="F1825">
        <v>0</v>
      </c>
    </row>
    <row r="1826" spans="1:6" x14ac:dyDescent="0.35">
      <c r="A1826" s="8">
        <v>42126</v>
      </c>
      <c r="B1826" s="71">
        <v>0</v>
      </c>
      <c r="C1826">
        <v>14</v>
      </c>
      <c r="D1826">
        <v>0</v>
      </c>
      <c r="E1826">
        <v>0</v>
      </c>
      <c r="F1826">
        <v>0</v>
      </c>
    </row>
    <row r="1827" spans="1:6" x14ac:dyDescent="0.35">
      <c r="A1827" s="8">
        <v>42126</v>
      </c>
      <c r="B1827" s="71">
        <v>4.1666666666666664E-2</v>
      </c>
      <c r="C1827">
        <v>13.7</v>
      </c>
      <c r="D1827">
        <v>0</v>
      </c>
      <c r="E1827">
        <v>0</v>
      </c>
      <c r="F1827">
        <v>0</v>
      </c>
    </row>
    <row r="1828" spans="1:6" x14ac:dyDescent="0.35">
      <c r="A1828" s="8">
        <v>42126</v>
      </c>
      <c r="B1828" s="71">
        <v>8.3333333333333329E-2</v>
      </c>
      <c r="C1828">
        <v>13.6</v>
      </c>
      <c r="D1828">
        <v>0</v>
      </c>
      <c r="E1828">
        <v>0</v>
      </c>
      <c r="F1828">
        <v>0</v>
      </c>
    </row>
    <row r="1829" spans="1:6" x14ac:dyDescent="0.35">
      <c r="A1829" s="8">
        <v>42126</v>
      </c>
      <c r="B1829" s="71">
        <v>0.125</v>
      </c>
      <c r="C1829">
        <v>13.4</v>
      </c>
      <c r="D1829">
        <v>0</v>
      </c>
      <c r="E1829">
        <v>0</v>
      </c>
      <c r="F1829">
        <v>0</v>
      </c>
    </row>
    <row r="1830" spans="1:6" x14ac:dyDescent="0.35">
      <c r="A1830" s="8">
        <v>42126</v>
      </c>
      <c r="B1830" s="71">
        <v>0.16666666666666666</v>
      </c>
      <c r="C1830">
        <v>13.3</v>
      </c>
      <c r="D1830">
        <v>0</v>
      </c>
      <c r="E1830">
        <v>0</v>
      </c>
      <c r="F1830">
        <v>0</v>
      </c>
    </row>
    <row r="1831" spans="1:6" x14ac:dyDescent="0.35">
      <c r="A1831" s="8">
        <v>42126</v>
      </c>
      <c r="B1831" s="71">
        <v>0.20833333333333334</v>
      </c>
      <c r="C1831">
        <v>13.2</v>
      </c>
      <c r="D1831">
        <v>0</v>
      </c>
      <c r="E1831">
        <v>0</v>
      </c>
      <c r="F1831">
        <v>0</v>
      </c>
    </row>
    <row r="1832" spans="1:6" x14ac:dyDescent="0.35">
      <c r="A1832" s="8">
        <v>42126</v>
      </c>
      <c r="B1832" s="71">
        <v>0.25</v>
      </c>
      <c r="C1832">
        <v>12.7</v>
      </c>
      <c r="D1832">
        <v>0</v>
      </c>
      <c r="E1832">
        <v>0</v>
      </c>
      <c r="F1832">
        <v>0</v>
      </c>
    </row>
    <row r="1833" spans="1:6" x14ac:dyDescent="0.35">
      <c r="A1833" s="8">
        <v>42126</v>
      </c>
      <c r="B1833" s="71">
        <v>0.29166666666666669</v>
      </c>
      <c r="C1833">
        <v>12.4</v>
      </c>
      <c r="D1833">
        <v>0</v>
      </c>
      <c r="E1833">
        <v>0</v>
      </c>
      <c r="F1833">
        <v>0</v>
      </c>
    </row>
    <row r="1834" spans="1:6" x14ac:dyDescent="0.35">
      <c r="A1834" s="8">
        <v>42126</v>
      </c>
      <c r="B1834" s="71">
        <v>0.33333333333333331</v>
      </c>
      <c r="C1834">
        <v>12.9</v>
      </c>
      <c r="D1834">
        <v>0</v>
      </c>
      <c r="E1834">
        <v>5</v>
      </c>
      <c r="F1834">
        <v>26</v>
      </c>
    </row>
    <row r="1835" spans="1:6" x14ac:dyDescent="0.35">
      <c r="A1835" s="8">
        <v>42126</v>
      </c>
      <c r="B1835" s="71">
        <v>0.375</v>
      </c>
      <c r="C1835">
        <v>14.1</v>
      </c>
      <c r="D1835">
        <v>0</v>
      </c>
      <c r="E1835">
        <v>43</v>
      </c>
      <c r="F1835">
        <v>98</v>
      </c>
    </row>
    <row r="1836" spans="1:6" x14ac:dyDescent="0.35">
      <c r="A1836" s="8">
        <v>42126</v>
      </c>
      <c r="B1836" s="71">
        <v>0.41666666666666669</v>
      </c>
      <c r="C1836">
        <v>14.7</v>
      </c>
      <c r="D1836">
        <v>0</v>
      </c>
      <c r="E1836">
        <v>19</v>
      </c>
      <c r="F1836">
        <v>108</v>
      </c>
    </row>
    <row r="1837" spans="1:6" x14ac:dyDescent="0.35">
      <c r="A1837" s="8">
        <v>42126</v>
      </c>
      <c r="B1837" s="71">
        <v>0.45833333333333331</v>
      </c>
      <c r="C1837">
        <v>15</v>
      </c>
      <c r="D1837">
        <v>0.8</v>
      </c>
      <c r="E1837">
        <v>5</v>
      </c>
      <c r="F1837">
        <v>91</v>
      </c>
    </row>
    <row r="1838" spans="1:6" x14ac:dyDescent="0.35">
      <c r="A1838" s="8">
        <v>42126</v>
      </c>
      <c r="B1838" s="71">
        <v>0.5</v>
      </c>
      <c r="C1838">
        <v>15.9</v>
      </c>
      <c r="D1838">
        <v>0.6</v>
      </c>
      <c r="E1838">
        <v>3</v>
      </c>
      <c r="F1838">
        <v>145</v>
      </c>
    </row>
    <row r="1839" spans="1:6" x14ac:dyDescent="0.35">
      <c r="A1839" s="8">
        <v>42126</v>
      </c>
      <c r="B1839" s="71">
        <v>0.54166666666666663</v>
      </c>
      <c r="C1839">
        <v>16.5</v>
      </c>
      <c r="D1839">
        <v>0.5</v>
      </c>
      <c r="E1839">
        <v>36</v>
      </c>
      <c r="F1839">
        <v>133</v>
      </c>
    </row>
    <row r="1840" spans="1:6" x14ac:dyDescent="0.35">
      <c r="A1840" s="8">
        <v>42126</v>
      </c>
      <c r="B1840" s="71">
        <v>0.58333333333333337</v>
      </c>
      <c r="C1840">
        <v>17.3</v>
      </c>
      <c r="D1840">
        <v>0.4</v>
      </c>
      <c r="E1840">
        <v>1</v>
      </c>
      <c r="F1840">
        <v>126</v>
      </c>
    </row>
    <row r="1841" spans="1:6" x14ac:dyDescent="0.35">
      <c r="A1841" s="8">
        <v>42126</v>
      </c>
      <c r="B1841" s="71">
        <v>0.625</v>
      </c>
      <c r="C1841">
        <v>18.399999999999999</v>
      </c>
      <c r="D1841">
        <v>0.9</v>
      </c>
      <c r="E1841">
        <v>0</v>
      </c>
      <c r="F1841">
        <v>192</v>
      </c>
    </row>
    <row r="1842" spans="1:6" x14ac:dyDescent="0.35">
      <c r="A1842" s="8">
        <v>42126</v>
      </c>
      <c r="B1842" s="71">
        <v>0.66666666666666663</v>
      </c>
      <c r="C1842">
        <v>18.399999999999999</v>
      </c>
      <c r="D1842">
        <v>0.9</v>
      </c>
      <c r="E1842">
        <v>0</v>
      </c>
      <c r="F1842">
        <v>106</v>
      </c>
    </row>
    <row r="1843" spans="1:6" x14ac:dyDescent="0.35">
      <c r="A1843" s="8">
        <v>42126</v>
      </c>
      <c r="B1843" s="71">
        <v>0.70833333333333337</v>
      </c>
      <c r="C1843">
        <v>18.100000000000001</v>
      </c>
      <c r="D1843">
        <v>0.7</v>
      </c>
      <c r="E1843">
        <v>0</v>
      </c>
      <c r="F1843">
        <v>98</v>
      </c>
    </row>
    <row r="1844" spans="1:6" x14ac:dyDescent="0.35">
      <c r="A1844" s="8">
        <v>42126</v>
      </c>
      <c r="B1844" s="71">
        <v>0.75</v>
      </c>
      <c r="C1844">
        <v>17.7</v>
      </c>
      <c r="D1844">
        <v>0.8</v>
      </c>
      <c r="E1844">
        <v>0</v>
      </c>
      <c r="F1844">
        <v>68</v>
      </c>
    </row>
    <row r="1845" spans="1:6" x14ac:dyDescent="0.35">
      <c r="A1845" s="8">
        <v>42126</v>
      </c>
      <c r="B1845" s="71">
        <v>0.79166666666666663</v>
      </c>
      <c r="C1845">
        <v>17.600000000000001</v>
      </c>
      <c r="D1845">
        <v>0.7</v>
      </c>
      <c r="E1845">
        <v>3</v>
      </c>
      <c r="F1845">
        <v>63</v>
      </c>
    </row>
    <row r="1846" spans="1:6" x14ac:dyDescent="0.35">
      <c r="A1846" s="8">
        <v>42126</v>
      </c>
      <c r="B1846" s="71">
        <v>0.83333333333333337</v>
      </c>
      <c r="C1846">
        <v>17.3</v>
      </c>
      <c r="D1846">
        <v>0.7</v>
      </c>
      <c r="E1846">
        <v>0</v>
      </c>
      <c r="F1846">
        <v>38</v>
      </c>
    </row>
    <row r="1847" spans="1:6" x14ac:dyDescent="0.35">
      <c r="A1847" s="8">
        <v>42126</v>
      </c>
      <c r="B1847" s="71">
        <v>0.875</v>
      </c>
      <c r="C1847">
        <v>15.9</v>
      </c>
      <c r="D1847">
        <v>1.3</v>
      </c>
      <c r="E1847">
        <v>0</v>
      </c>
      <c r="F1847">
        <v>7</v>
      </c>
    </row>
    <row r="1848" spans="1:6" x14ac:dyDescent="0.35">
      <c r="A1848" s="8">
        <v>42126</v>
      </c>
      <c r="B1848" s="71">
        <v>0.91666666666666663</v>
      </c>
      <c r="C1848">
        <v>15.6</v>
      </c>
      <c r="D1848">
        <v>0.6</v>
      </c>
      <c r="E1848">
        <v>0</v>
      </c>
      <c r="F1848">
        <v>0</v>
      </c>
    </row>
    <row r="1849" spans="1:6" x14ac:dyDescent="0.35">
      <c r="A1849" s="8">
        <v>42126</v>
      </c>
      <c r="B1849" s="71">
        <v>0.95833333333333337</v>
      </c>
      <c r="C1849">
        <v>15.4</v>
      </c>
      <c r="D1849">
        <v>0.3</v>
      </c>
      <c r="E1849">
        <v>0</v>
      </c>
      <c r="F1849">
        <v>0</v>
      </c>
    </row>
    <row r="1850" spans="1:6" x14ac:dyDescent="0.35">
      <c r="A1850" s="8">
        <v>42127</v>
      </c>
      <c r="B1850" s="71">
        <v>0</v>
      </c>
      <c r="C1850">
        <v>15.4</v>
      </c>
      <c r="D1850">
        <v>0.2</v>
      </c>
      <c r="E1850">
        <v>0</v>
      </c>
      <c r="F1850">
        <v>0</v>
      </c>
    </row>
    <row r="1851" spans="1:6" x14ac:dyDescent="0.35">
      <c r="A1851" s="8">
        <v>42127</v>
      </c>
      <c r="B1851" s="71">
        <v>4.1666666666666664E-2</v>
      </c>
      <c r="C1851">
        <v>15.3</v>
      </c>
      <c r="D1851">
        <v>0.2</v>
      </c>
      <c r="E1851">
        <v>0</v>
      </c>
      <c r="F1851">
        <v>0</v>
      </c>
    </row>
    <row r="1852" spans="1:6" x14ac:dyDescent="0.35">
      <c r="A1852" s="8">
        <v>42127</v>
      </c>
      <c r="B1852" s="71">
        <v>8.3333333333333329E-2</v>
      </c>
      <c r="C1852">
        <v>15.4</v>
      </c>
      <c r="D1852">
        <v>0.2</v>
      </c>
      <c r="E1852">
        <v>0</v>
      </c>
      <c r="F1852">
        <v>0</v>
      </c>
    </row>
    <row r="1853" spans="1:6" x14ac:dyDescent="0.35">
      <c r="A1853" s="8">
        <v>42127</v>
      </c>
      <c r="B1853" s="71">
        <v>0.125</v>
      </c>
      <c r="C1853">
        <v>15.6</v>
      </c>
      <c r="D1853">
        <v>0</v>
      </c>
      <c r="E1853">
        <v>0</v>
      </c>
      <c r="F1853">
        <v>0</v>
      </c>
    </row>
    <row r="1854" spans="1:6" x14ac:dyDescent="0.35">
      <c r="A1854" s="8">
        <v>42127</v>
      </c>
      <c r="B1854" s="71">
        <v>0.16666666666666666</v>
      </c>
      <c r="C1854">
        <v>15.6</v>
      </c>
      <c r="D1854">
        <v>0</v>
      </c>
      <c r="E1854">
        <v>0</v>
      </c>
      <c r="F1854">
        <v>0</v>
      </c>
    </row>
    <row r="1855" spans="1:6" x14ac:dyDescent="0.35">
      <c r="A1855" s="8">
        <v>42127</v>
      </c>
      <c r="B1855" s="71">
        <v>0.20833333333333334</v>
      </c>
      <c r="C1855">
        <v>15.7</v>
      </c>
      <c r="D1855">
        <v>0</v>
      </c>
      <c r="E1855">
        <v>0</v>
      </c>
      <c r="F1855">
        <v>0</v>
      </c>
    </row>
    <row r="1856" spans="1:6" x14ac:dyDescent="0.35">
      <c r="A1856" s="8">
        <v>42127</v>
      </c>
      <c r="B1856" s="71">
        <v>0.25</v>
      </c>
      <c r="C1856">
        <v>15.7</v>
      </c>
      <c r="D1856">
        <v>0</v>
      </c>
      <c r="E1856">
        <v>0</v>
      </c>
      <c r="F1856">
        <v>0</v>
      </c>
    </row>
    <row r="1857" spans="1:6" x14ac:dyDescent="0.35">
      <c r="A1857" s="8">
        <v>42127</v>
      </c>
      <c r="B1857" s="71">
        <v>0.29166666666666669</v>
      </c>
      <c r="C1857">
        <v>15.5</v>
      </c>
      <c r="D1857">
        <v>0.1</v>
      </c>
      <c r="E1857">
        <v>0</v>
      </c>
      <c r="F1857">
        <v>0</v>
      </c>
    </row>
    <row r="1858" spans="1:6" x14ac:dyDescent="0.35">
      <c r="A1858" s="8">
        <v>42127</v>
      </c>
      <c r="B1858" s="71">
        <v>0.33333333333333331</v>
      </c>
      <c r="C1858">
        <v>15.6</v>
      </c>
      <c r="D1858">
        <v>0</v>
      </c>
      <c r="E1858">
        <v>0</v>
      </c>
      <c r="F1858">
        <v>13</v>
      </c>
    </row>
    <row r="1859" spans="1:6" x14ac:dyDescent="0.35">
      <c r="A1859" s="8">
        <v>42127</v>
      </c>
      <c r="B1859" s="71">
        <v>0.375</v>
      </c>
      <c r="C1859">
        <v>16.5</v>
      </c>
      <c r="D1859">
        <v>0</v>
      </c>
      <c r="E1859">
        <v>9</v>
      </c>
      <c r="F1859">
        <v>61</v>
      </c>
    </row>
    <row r="1860" spans="1:6" x14ac:dyDescent="0.35">
      <c r="A1860" s="8">
        <v>42127</v>
      </c>
      <c r="B1860" s="71">
        <v>0.41666666666666669</v>
      </c>
      <c r="C1860">
        <v>18</v>
      </c>
      <c r="D1860">
        <v>0</v>
      </c>
      <c r="E1860">
        <v>11</v>
      </c>
      <c r="F1860">
        <v>143</v>
      </c>
    </row>
    <row r="1861" spans="1:6" x14ac:dyDescent="0.35">
      <c r="A1861" s="8">
        <v>42127</v>
      </c>
      <c r="B1861" s="71">
        <v>0.45833333333333331</v>
      </c>
      <c r="C1861">
        <v>19.100000000000001</v>
      </c>
      <c r="D1861">
        <v>0</v>
      </c>
      <c r="E1861">
        <v>88</v>
      </c>
      <c r="F1861">
        <v>167</v>
      </c>
    </row>
    <row r="1862" spans="1:6" x14ac:dyDescent="0.35">
      <c r="A1862" s="8">
        <v>42127</v>
      </c>
      <c r="B1862" s="71">
        <v>0.5</v>
      </c>
      <c r="C1862">
        <v>20.399999999999999</v>
      </c>
      <c r="D1862">
        <v>0</v>
      </c>
      <c r="E1862">
        <v>187</v>
      </c>
      <c r="F1862">
        <v>225</v>
      </c>
    </row>
    <row r="1863" spans="1:6" x14ac:dyDescent="0.35">
      <c r="A1863" s="8">
        <v>42127</v>
      </c>
      <c r="B1863" s="71">
        <v>0.54166666666666663</v>
      </c>
      <c r="C1863">
        <v>21.6</v>
      </c>
      <c r="D1863">
        <v>0</v>
      </c>
      <c r="E1863">
        <v>336</v>
      </c>
      <c r="F1863">
        <v>190</v>
      </c>
    </row>
    <row r="1864" spans="1:6" x14ac:dyDescent="0.35">
      <c r="A1864" s="8">
        <v>42127</v>
      </c>
      <c r="B1864" s="71">
        <v>0.58333333333333337</v>
      </c>
      <c r="C1864">
        <v>22.9</v>
      </c>
      <c r="D1864">
        <v>0</v>
      </c>
      <c r="E1864">
        <v>397</v>
      </c>
      <c r="F1864">
        <v>245</v>
      </c>
    </row>
    <row r="1865" spans="1:6" x14ac:dyDescent="0.35">
      <c r="A1865" s="8">
        <v>42127</v>
      </c>
      <c r="B1865" s="71">
        <v>0.625</v>
      </c>
      <c r="C1865">
        <v>23.2</v>
      </c>
      <c r="D1865">
        <v>0</v>
      </c>
      <c r="E1865">
        <v>386</v>
      </c>
      <c r="F1865">
        <v>254</v>
      </c>
    </row>
    <row r="1866" spans="1:6" x14ac:dyDescent="0.35">
      <c r="A1866" s="8">
        <v>42127</v>
      </c>
      <c r="B1866" s="71">
        <v>0.66666666666666663</v>
      </c>
      <c r="C1866">
        <v>22.7</v>
      </c>
      <c r="D1866">
        <v>0</v>
      </c>
      <c r="E1866">
        <v>210</v>
      </c>
      <c r="F1866">
        <v>282</v>
      </c>
    </row>
    <row r="1867" spans="1:6" x14ac:dyDescent="0.35">
      <c r="A1867" s="8">
        <v>42127</v>
      </c>
      <c r="B1867" s="71">
        <v>0.70833333333333337</v>
      </c>
      <c r="C1867">
        <v>21.8</v>
      </c>
      <c r="D1867">
        <v>0</v>
      </c>
      <c r="E1867">
        <v>99</v>
      </c>
      <c r="F1867">
        <v>248</v>
      </c>
    </row>
    <row r="1868" spans="1:6" x14ac:dyDescent="0.35">
      <c r="A1868" s="8">
        <v>42127</v>
      </c>
      <c r="B1868" s="71">
        <v>0.75</v>
      </c>
      <c r="C1868">
        <v>20.5</v>
      </c>
      <c r="D1868">
        <v>0</v>
      </c>
      <c r="E1868">
        <v>43</v>
      </c>
      <c r="F1868">
        <v>151</v>
      </c>
    </row>
    <row r="1869" spans="1:6" x14ac:dyDescent="0.35">
      <c r="A1869" s="8">
        <v>42127</v>
      </c>
      <c r="B1869" s="71">
        <v>0.79166666666666663</v>
      </c>
      <c r="C1869">
        <v>19.899999999999999</v>
      </c>
      <c r="D1869">
        <v>0</v>
      </c>
      <c r="E1869">
        <v>50</v>
      </c>
      <c r="F1869">
        <v>167</v>
      </c>
    </row>
    <row r="1870" spans="1:6" x14ac:dyDescent="0.35">
      <c r="A1870" s="8">
        <v>42127</v>
      </c>
      <c r="B1870" s="71">
        <v>0.83333333333333337</v>
      </c>
      <c r="C1870">
        <v>19</v>
      </c>
      <c r="D1870">
        <v>0</v>
      </c>
      <c r="E1870">
        <v>9</v>
      </c>
      <c r="F1870">
        <v>91</v>
      </c>
    </row>
    <row r="1871" spans="1:6" x14ac:dyDescent="0.35">
      <c r="A1871" s="8">
        <v>42127</v>
      </c>
      <c r="B1871" s="71">
        <v>0.875</v>
      </c>
      <c r="C1871">
        <v>17.399999999999999</v>
      </c>
      <c r="D1871">
        <v>0</v>
      </c>
      <c r="E1871">
        <v>0</v>
      </c>
      <c r="F1871">
        <v>15</v>
      </c>
    </row>
    <row r="1872" spans="1:6" x14ac:dyDescent="0.35">
      <c r="A1872" s="8">
        <v>42127</v>
      </c>
      <c r="B1872" s="71">
        <v>0.91666666666666663</v>
      </c>
      <c r="C1872">
        <v>16.7</v>
      </c>
      <c r="D1872">
        <v>0.4</v>
      </c>
      <c r="E1872">
        <v>0</v>
      </c>
      <c r="F1872">
        <v>0</v>
      </c>
    </row>
    <row r="1873" spans="1:6" x14ac:dyDescent="0.35">
      <c r="A1873" s="8">
        <v>42127</v>
      </c>
      <c r="B1873" s="71">
        <v>0.95833333333333337</v>
      </c>
      <c r="C1873">
        <v>16.3</v>
      </c>
      <c r="D1873">
        <v>0.4</v>
      </c>
      <c r="E1873">
        <v>0</v>
      </c>
      <c r="F1873">
        <v>0</v>
      </c>
    </row>
    <row r="1874" spans="1:6" x14ac:dyDescent="0.35">
      <c r="A1874" s="8">
        <v>42128</v>
      </c>
      <c r="B1874" s="71">
        <v>0</v>
      </c>
      <c r="C1874">
        <v>16.100000000000001</v>
      </c>
      <c r="D1874">
        <v>0.6</v>
      </c>
      <c r="E1874">
        <v>0</v>
      </c>
      <c r="F1874">
        <v>0</v>
      </c>
    </row>
    <row r="1875" spans="1:6" x14ac:dyDescent="0.35">
      <c r="A1875" s="8">
        <v>42128</v>
      </c>
      <c r="B1875" s="71">
        <v>4.1666666666666664E-2</v>
      </c>
      <c r="C1875">
        <v>15.5</v>
      </c>
      <c r="D1875">
        <v>0.5</v>
      </c>
      <c r="E1875">
        <v>0</v>
      </c>
      <c r="F1875">
        <v>0</v>
      </c>
    </row>
    <row r="1876" spans="1:6" x14ac:dyDescent="0.35">
      <c r="A1876" s="8">
        <v>42128</v>
      </c>
      <c r="B1876" s="71">
        <v>8.3333333333333329E-2</v>
      </c>
      <c r="C1876">
        <v>15</v>
      </c>
      <c r="D1876">
        <v>0.4</v>
      </c>
      <c r="E1876">
        <v>0</v>
      </c>
      <c r="F1876">
        <v>0</v>
      </c>
    </row>
    <row r="1877" spans="1:6" x14ac:dyDescent="0.35">
      <c r="A1877" s="8">
        <v>42128</v>
      </c>
      <c r="B1877" s="71">
        <v>0.125</v>
      </c>
      <c r="C1877">
        <v>14.9</v>
      </c>
      <c r="D1877">
        <v>0</v>
      </c>
      <c r="E1877">
        <v>0</v>
      </c>
      <c r="F1877">
        <v>0</v>
      </c>
    </row>
    <row r="1878" spans="1:6" x14ac:dyDescent="0.35">
      <c r="A1878" s="8">
        <v>42128</v>
      </c>
      <c r="B1878" s="71">
        <v>0.16666666666666666</v>
      </c>
      <c r="C1878">
        <v>14.6</v>
      </c>
      <c r="D1878">
        <v>0</v>
      </c>
      <c r="E1878">
        <v>0</v>
      </c>
      <c r="F1878">
        <v>0</v>
      </c>
    </row>
    <row r="1879" spans="1:6" x14ac:dyDescent="0.35">
      <c r="A1879" s="8">
        <v>42128</v>
      </c>
      <c r="B1879" s="71">
        <v>0.20833333333333334</v>
      </c>
      <c r="C1879">
        <v>14.2</v>
      </c>
      <c r="D1879">
        <v>0</v>
      </c>
      <c r="E1879">
        <v>0</v>
      </c>
      <c r="F1879">
        <v>0</v>
      </c>
    </row>
    <row r="1880" spans="1:6" x14ac:dyDescent="0.35">
      <c r="A1880" s="8">
        <v>42128</v>
      </c>
      <c r="B1880" s="71">
        <v>0.25</v>
      </c>
      <c r="C1880">
        <v>13.9</v>
      </c>
      <c r="D1880">
        <v>0</v>
      </c>
      <c r="E1880">
        <v>0</v>
      </c>
      <c r="F1880">
        <v>0</v>
      </c>
    </row>
    <row r="1881" spans="1:6" x14ac:dyDescent="0.35">
      <c r="A1881" s="8">
        <v>42128</v>
      </c>
      <c r="B1881" s="71">
        <v>0.29166666666666669</v>
      </c>
      <c r="C1881">
        <v>13.7</v>
      </c>
      <c r="D1881">
        <v>0</v>
      </c>
      <c r="E1881">
        <v>0</v>
      </c>
      <c r="F1881">
        <v>0</v>
      </c>
    </row>
    <row r="1882" spans="1:6" x14ac:dyDescent="0.35">
      <c r="A1882" s="8">
        <v>42128</v>
      </c>
      <c r="B1882" s="71">
        <v>0.33333333333333331</v>
      </c>
      <c r="C1882">
        <v>14.4</v>
      </c>
      <c r="D1882">
        <v>0</v>
      </c>
      <c r="E1882">
        <v>8</v>
      </c>
      <c r="F1882">
        <v>35</v>
      </c>
    </row>
    <row r="1883" spans="1:6" x14ac:dyDescent="0.35">
      <c r="A1883" s="8">
        <v>42128</v>
      </c>
      <c r="B1883" s="71">
        <v>0.375</v>
      </c>
      <c r="C1883">
        <v>16.8</v>
      </c>
      <c r="D1883">
        <v>0</v>
      </c>
      <c r="E1883">
        <v>40</v>
      </c>
      <c r="F1883">
        <v>108</v>
      </c>
    </row>
    <row r="1884" spans="1:6" x14ac:dyDescent="0.35">
      <c r="A1884" s="8">
        <v>42128</v>
      </c>
      <c r="B1884" s="71">
        <v>0.41666666666666669</v>
      </c>
      <c r="C1884">
        <v>19.100000000000001</v>
      </c>
      <c r="D1884">
        <v>0</v>
      </c>
      <c r="E1884">
        <v>199</v>
      </c>
      <c r="F1884">
        <v>137</v>
      </c>
    </row>
    <row r="1885" spans="1:6" x14ac:dyDescent="0.35">
      <c r="A1885" s="8">
        <v>42128</v>
      </c>
      <c r="B1885" s="71">
        <v>0.45833333333333331</v>
      </c>
      <c r="C1885">
        <v>20.100000000000001</v>
      </c>
      <c r="D1885">
        <v>0</v>
      </c>
      <c r="E1885">
        <v>119</v>
      </c>
      <c r="F1885">
        <v>155</v>
      </c>
    </row>
    <row r="1886" spans="1:6" x14ac:dyDescent="0.35">
      <c r="A1886" s="8">
        <v>42128</v>
      </c>
      <c r="B1886" s="71">
        <v>0.5</v>
      </c>
      <c r="C1886">
        <v>20.3</v>
      </c>
      <c r="D1886">
        <v>0</v>
      </c>
      <c r="E1886">
        <v>7</v>
      </c>
      <c r="F1886">
        <v>170</v>
      </c>
    </row>
    <row r="1887" spans="1:6" x14ac:dyDescent="0.35">
      <c r="A1887" s="8">
        <v>42128</v>
      </c>
      <c r="B1887" s="71">
        <v>0.54166666666666663</v>
      </c>
      <c r="C1887">
        <v>20.8</v>
      </c>
      <c r="D1887">
        <v>0</v>
      </c>
      <c r="E1887">
        <v>0</v>
      </c>
      <c r="F1887">
        <v>176</v>
      </c>
    </row>
    <row r="1888" spans="1:6" x14ac:dyDescent="0.35">
      <c r="A1888" s="8">
        <v>42128</v>
      </c>
      <c r="B1888" s="71">
        <v>0.58333333333333337</v>
      </c>
      <c r="C1888">
        <v>22.1</v>
      </c>
      <c r="D1888">
        <v>0</v>
      </c>
      <c r="E1888">
        <v>4</v>
      </c>
      <c r="F1888">
        <v>257</v>
      </c>
    </row>
    <row r="1889" spans="1:6" x14ac:dyDescent="0.35">
      <c r="A1889" s="8">
        <v>42128</v>
      </c>
      <c r="B1889" s="71">
        <v>0.625</v>
      </c>
      <c r="C1889">
        <v>24.1</v>
      </c>
      <c r="D1889">
        <v>0</v>
      </c>
      <c r="E1889">
        <v>194</v>
      </c>
      <c r="F1889">
        <v>300</v>
      </c>
    </row>
    <row r="1890" spans="1:6" x14ac:dyDescent="0.35">
      <c r="A1890" s="8">
        <v>42128</v>
      </c>
      <c r="B1890" s="71">
        <v>0.66666666666666663</v>
      </c>
      <c r="C1890">
        <v>23.7</v>
      </c>
      <c r="D1890">
        <v>0.2</v>
      </c>
      <c r="E1890">
        <v>60</v>
      </c>
      <c r="F1890">
        <v>228</v>
      </c>
    </row>
    <row r="1891" spans="1:6" x14ac:dyDescent="0.35">
      <c r="A1891" s="8">
        <v>42128</v>
      </c>
      <c r="B1891" s="71">
        <v>0.70833333333333337</v>
      </c>
      <c r="C1891">
        <v>24.9</v>
      </c>
      <c r="D1891">
        <v>0</v>
      </c>
      <c r="E1891">
        <v>104</v>
      </c>
      <c r="F1891">
        <v>255</v>
      </c>
    </row>
    <row r="1892" spans="1:6" x14ac:dyDescent="0.35">
      <c r="A1892" s="8">
        <v>42128</v>
      </c>
      <c r="B1892" s="71">
        <v>0.75</v>
      </c>
      <c r="C1892">
        <v>25.8</v>
      </c>
      <c r="D1892">
        <v>0</v>
      </c>
      <c r="E1892">
        <v>178</v>
      </c>
      <c r="F1892">
        <v>233</v>
      </c>
    </row>
    <row r="1893" spans="1:6" x14ac:dyDescent="0.35">
      <c r="A1893" s="8">
        <v>42128</v>
      </c>
      <c r="B1893" s="71">
        <v>0.79166666666666663</v>
      </c>
      <c r="C1893">
        <v>25.6</v>
      </c>
      <c r="D1893">
        <v>0</v>
      </c>
      <c r="E1893">
        <v>182</v>
      </c>
      <c r="F1893">
        <v>142</v>
      </c>
    </row>
    <row r="1894" spans="1:6" x14ac:dyDescent="0.35">
      <c r="A1894" s="8">
        <v>42128</v>
      </c>
      <c r="B1894" s="71">
        <v>0.83333333333333337</v>
      </c>
      <c r="C1894">
        <v>24.8</v>
      </c>
      <c r="D1894">
        <v>0</v>
      </c>
      <c r="E1894">
        <v>55</v>
      </c>
      <c r="F1894">
        <v>107</v>
      </c>
    </row>
    <row r="1895" spans="1:6" x14ac:dyDescent="0.35">
      <c r="A1895" s="8">
        <v>42128</v>
      </c>
      <c r="B1895" s="71">
        <v>0.875</v>
      </c>
      <c r="C1895">
        <v>22.6</v>
      </c>
      <c r="D1895">
        <v>0.1</v>
      </c>
      <c r="E1895">
        <v>21</v>
      </c>
      <c r="F1895">
        <v>26</v>
      </c>
    </row>
    <row r="1896" spans="1:6" x14ac:dyDescent="0.35">
      <c r="A1896" s="8">
        <v>42128</v>
      </c>
      <c r="B1896" s="71">
        <v>0.91666666666666663</v>
      </c>
      <c r="C1896">
        <v>21</v>
      </c>
      <c r="D1896">
        <v>0.4</v>
      </c>
      <c r="E1896">
        <v>0</v>
      </c>
      <c r="F1896">
        <v>0</v>
      </c>
    </row>
    <row r="1897" spans="1:6" x14ac:dyDescent="0.35">
      <c r="A1897" s="8">
        <v>42128</v>
      </c>
      <c r="B1897" s="71">
        <v>0.95833333333333337</v>
      </c>
      <c r="C1897">
        <v>19.8</v>
      </c>
      <c r="D1897">
        <v>0</v>
      </c>
      <c r="E1897">
        <v>0</v>
      </c>
      <c r="F1897">
        <v>0</v>
      </c>
    </row>
    <row r="1898" spans="1:6" x14ac:dyDescent="0.35">
      <c r="A1898" s="8">
        <v>42129</v>
      </c>
      <c r="B1898" s="71">
        <v>0</v>
      </c>
      <c r="C1898">
        <v>18.8</v>
      </c>
      <c r="D1898">
        <v>0.2</v>
      </c>
      <c r="E1898">
        <v>0</v>
      </c>
      <c r="F1898">
        <v>0</v>
      </c>
    </row>
    <row r="1899" spans="1:6" x14ac:dyDescent="0.35">
      <c r="A1899" s="8">
        <v>42129</v>
      </c>
      <c r="B1899" s="71">
        <v>4.1666666666666664E-2</v>
      </c>
      <c r="C1899">
        <v>18.100000000000001</v>
      </c>
      <c r="D1899">
        <v>0.2</v>
      </c>
      <c r="E1899">
        <v>0</v>
      </c>
      <c r="F1899">
        <v>0</v>
      </c>
    </row>
    <row r="1900" spans="1:6" x14ac:dyDescent="0.35">
      <c r="A1900" s="8">
        <v>42129</v>
      </c>
      <c r="B1900" s="71">
        <v>8.3333333333333329E-2</v>
      </c>
      <c r="C1900">
        <v>18</v>
      </c>
      <c r="D1900">
        <v>0</v>
      </c>
      <c r="E1900">
        <v>0</v>
      </c>
      <c r="F1900">
        <v>0</v>
      </c>
    </row>
    <row r="1901" spans="1:6" x14ac:dyDescent="0.35">
      <c r="A1901" s="8">
        <v>42129</v>
      </c>
      <c r="B1901" s="71">
        <v>0.125</v>
      </c>
      <c r="C1901">
        <v>18.2</v>
      </c>
      <c r="D1901">
        <v>0</v>
      </c>
      <c r="E1901">
        <v>0</v>
      </c>
      <c r="F1901">
        <v>0</v>
      </c>
    </row>
    <row r="1902" spans="1:6" x14ac:dyDescent="0.35">
      <c r="A1902" s="8">
        <v>42129</v>
      </c>
      <c r="B1902" s="71">
        <v>0.16666666666666666</v>
      </c>
      <c r="C1902">
        <v>18.2</v>
      </c>
      <c r="D1902">
        <v>0</v>
      </c>
      <c r="E1902">
        <v>0</v>
      </c>
      <c r="F1902">
        <v>0</v>
      </c>
    </row>
    <row r="1903" spans="1:6" x14ac:dyDescent="0.35">
      <c r="A1903" s="8">
        <v>42129</v>
      </c>
      <c r="B1903" s="71">
        <v>0.20833333333333334</v>
      </c>
      <c r="C1903">
        <v>18.100000000000001</v>
      </c>
      <c r="D1903">
        <v>0</v>
      </c>
      <c r="E1903">
        <v>0</v>
      </c>
      <c r="F1903">
        <v>0</v>
      </c>
    </row>
    <row r="1904" spans="1:6" x14ac:dyDescent="0.35">
      <c r="A1904" s="8">
        <v>42129</v>
      </c>
      <c r="B1904" s="71">
        <v>0.25</v>
      </c>
      <c r="C1904">
        <v>16.7</v>
      </c>
      <c r="D1904">
        <v>0</v>
      </c>
      <c r="E1904">
        <v>0</v>
      </c>
      <c r="F1904">
        <v>0</v>
      </c>
    </row>
    <row r="1905" spans="1:6" x14ac:dyDescent="0.35">
      <c r="A1905" s="8">
        <v>42129</v>
      </c>
      <c r="B1905" s="71">
        <v>0.29166666666666669</v>
      </c>
      <c r="C1905">
        <v>15.2</v>
      </c>
      <c r="D1905">
        <v>0</v>
      </c>
      <c r="E1905">
        <v>0</v>
      </c>
      <c r="F1905">
        <v>0</v>
      </c>
    </row>
    <row r="1906" spans="1:6" x14ac:dyDescent="0.35">
      <c r="A1906" s="8">
        <v>42129</v>
      </c>
      <c r="B1906" s="71">
        <v>0.33333333333333331</v>
      </c>
      <c r="C1906">
        <v>14.9</v>
      </c>
      <c r="D1906">
        <v>0</v>
      </c>
      <c r="E1906">
        <v>14</v>
      </c>
      <c r="F1906">
        <v>24</v>
      </c>
    </row>
    <row r="1907" spans="1:6" x14ac:dyDescent="0.35">
      <c r="A1907" s="8">
        <v>42129</v>
      </c>
      <c r="B1907" s="71">
        <v>0.375</v>
      </c>
      <c r="C1907">
        <v>14.6</v>
      </c>
      <c r="D1907">
        <v>0</v>
      </c>
      <c r="E1907">
        <v>49</v>
      </c>
      <c r="F1907">
        <v>63</v>
      </c>
    </row>
    <row r="1908" spans="1:6" x14ac:dyDescent="0.35">
      <c r="A1908" s="8">
        <v>42129</v>
      </c>
      <c r="B1908" s="71">
        <v>0.41666666666666669</v>
      </c>
      <c r="C1908">
        <v>15.4</v>
      </c>
      <c r="D1908">
        <v>0</v>
      </c>
      <c r="E1908">
        <v>186</v>
      </c>
      <c r="F1908">
        <v>130</v>
      </c>
    </row>
    <row r="1909" spans="1:6" x14ac:dyDescent="0.35">
      <c r="A1909" s="8">
        <v>42129</v>
      </c>
      <c r="B1909" s="71">
        <v>0.45833333333333331</v>
      </c>
      <c r="C1909">
        <v>16</v>
      </c>
      <c r="D1909">
        <v>0.2</v>
      </c>
      <c r="E1909">
        <v>290</v>
      </c>
      <c r="F1909">
        <v>166</v>
      </c>
    </row>
    <row r="1910" spans="1:6" x14ac:dyDescent="0.35">
      <c r="A1910" s="8">
        <v>42129</v>
      </c>
      <c r="B1910" s="71">
        <v>0.5</v>
      </c>
      <c r="C1910">
        <v>16.2</v>
      </c>
      <c r="D1910">
        <v>0.1</v>
      </c>
      <c r="E1910">
        <v>219</v>
      </c>
      <c r="F1910">
        <v>233</v>
      </c>
    </row>
    <row r="1911" spans="1:6" x14ac:dyDescent="0.35">
      <c r="A1911" s="8">
        <v>42129</v>
      </c>
      <c r="B1911" s="71">
        <v>0.54166666666666663</v>
      </c>
      <c r="C1911">
        <v>16.3</v>
      </c>
      <c r="D1911">
        <v>0</v>
      </c>
      <c r="E1911">
        <v>219</v>
      </c>
      <c r="F1911">
        <v>235</v>
      </c>
    </row>
    <row r="1912" spans="1:6" x14ac:dyDescent="0.35">
      <c r="A1912" s="8">
        <v>42129</v>
      </c>
      <c r="B1912" s="71">
        <v>0.58333333333333337</v>
      </c>
      <c r="C1912">
        <v>16.600000000000001</v>
      </c>
      <c r="D1912">
        <v>0</v>
      </c>
      <c r="E1912">
        <v>247</v>
      </c>
      <c r="F1912">
        <v>247</v>
      </c>
    </row>
    <row r="1913" spans="1:6" x14ac:dyDescent="0.35">
      <c r="A1913" s="8">
        <v>42129</v>
      </c>
      <c r="B1913" s="71">
        <v>0.625</v>
      </c>
      <c r="C1913">
        <v>16.399999999999999</v>
      </c>
      <c r="D1913">
        <v>0</v>
      </c>
      <c r="E1913">
        <v>89</v>
      </c>
      <c r="F1913">
        <v>268</v>
      </c>
    </row>
    <row r="1914" spans="1:6" x14ac:dyDescent="0.35">
      <c r="A1914" s="8">
        <v>42129</v>
      </c>
      <c r="B1914" s="71">
        <v>0.66666666666666663</v>
      </c>
      <c r="C1914">
        <v>16.5</v>
      </c>
      <c r="D1914">
        <v>0</v>
      </c>
      <c r="E1914">
        <v>130</v>
      </c>
      <c r="F1914">
        <v>266</v>
      </c>
    </row>
    <row r="1915" spans="1:6" x14ac:dyDescent="0.35">
      <c r="A1915" s="8">
        <v>42129</v>
      </c>
      <c r="B1915" s="71">
        <v>0.70833333333333337</v>
      </c>
      <c r="C1915">
        <v>16</v>
      </c>
      <c r="D1915">
        <v>0</v>
      </c>
      <c r="E1915">
        <v>67</v>
      </c>
      <c r="F1915">
        <v>213</v>
      </c>
    </row>
    <row r="1916" spans="1:6" x14ac:dyDescent="0.35">
      <c r="A1916" s="8">
        <v>42129</v>
      </c>
      <c r="B1916" s="71">
        <v>0.75</v>
      </c>
      <c r="C1916">
        <v>15.7</v>
      </c>
      <c r="D1916">
        <v>0</v>
      </c>
      <c r="E1916">
        <v>34</v>
      </c>
      <c r="F1916">
        <v>177</v>
      </c>
    </row>
    <row r="1917" spans="1:6" x14ac:dyDescent="0.35">
      <c r="A1917" s="8">
        <v>42129</v>
      </c>
      <c r="B1917" s="71">
        <v>0.79166666666666663</v>
      </c>
      <c r="C1917">
        <v>15.5</v>
      </c>
      <c r="D1917">
        <v>0</v>
      </c>
      <c r="E1917">
        <v>3</v>
      </c>
      <c r="F1917">
        <v>137</v>
      </c>
    </row>
    <row r="1918" spans="1:6" x14ac:dyDescent="0.35">
      <c r="A1918" s="8">
        <v>42129</v>
      </c>
      <c r="B1918" s="71">
        <v>0.83333333333333337</v>
      </c>
      <c r="C1918">
        <v>15.2</v>
      </c>
      <c r="D1918">
        <v>0</v>
      </c>
      <c r="E1918">
        <v>57</v>
      </c>
      <c r="F1918">
        <v>58</v>
      </c>
    </row>
    <row r="1919" spans="1:6" x14ac:dyDescent="0.35">
      <c r="A1919" s="8">
        <v>42129</v>
      </c>
      <c r="B1919" s="71">
        <v>0.875</v>
      </c>
      <c r="C1919">
        <v>14.2</v>
      </c>
      <c r="D1919">
        <v>0</v>
      </c>
      <c r="E1919">
        <v>25</v>
      </c>
      <c r="F1919">
        <v>24</v>
      </c>
    </row>
    <row r="1920" spans="1:6" x14ac:dyDescent="0.35">
      <c r="A1920" s="8">
        <v>42129</v>
      </c>
      <c r="B1920" s="71">
        <v>0.91666666666666663</v>
      </c>
      <c r="C1920">
        <v>13.1</v>
      </c>
      <c r="D1920">
        <v>0</v>
      </c>
      <c r="E1920">
        <v>0</v>
      </c>
      <c r="F1920">
        <v>0</v>
      </c>
    </row>
    <row r="1921" spans="1:6" x14ac:dyDescent="0.35">
      <c r="A1921" s="8">
        <v>42129</v>
      </c>
      <c r="B1921" s="71">
        <v>0.95833333333333337</v>
      </c>
      <c r="C1921">
        <v>12.3</v>
      </c>
      <c r="D1921">
        <v>0</v>
      </c>
      <c r="E1921">
        <v>0</v>
      </c>
      <c r="F1921">
        <v>0</v>
      </c>
    </row>
    <row r="1922" spans="1:6" x14ac:dyDescent="0.35">
      <c r="A1922" s="8">
        <v>42130</v>
      </c>
      <c r="B1922" s="71">
        <v>0</v>
      </c>
      <c r="C1922">
        <v>12</v>
      </c>
      <c r="D1922">
        <v>0</v>
      </c>
      <c r="E1922">
        <v>0</v>
      </c>
      <c r="F1922">
        <v>0</v>
      </c>
    </row>
    <row r="1923" spans="1:6" x14ac:dyDescent="0.35">
      <c r="A1923" s="8">
        <v>42130</v>
      </c>
      <c r="B1923" s="71">
        <v>4.1666666666666664E-2</v>
      </c>
      <c r="C1923">
        <v>11.9</v>
      </c>
      <c r="D1923">
        <v>0</v>
      </c>
      <c r="E1923">
        <v>0</v>
      </c>
      <c r="F1923">
        <v>0</v>
      </c>
    </row>
    <row r="1924" spans="1:6" x14ac:dyDescent="0.35">
      <c r="A1924" s="8">
        <v>42130</v>
      </c>
      <c r="B1924" s="71">
        <v>8.3333333333333329E-2</v>
      </c>
      <c r="C1924">
        <v>12.1</v>
      </c>
      <c r="D1924">
        <v>0</v>
      </c>
      <c r="E1924">
        <v>0</v>
      </c>
      <c r="F1924">
        <v>0</v>
      </c>
    </row>
    <row r="1925" spans="1:6" x14ac:dyDescent="0.35">
      <c r="A1925" s="8">
        <v>42130</v>
      </c>
      <c r="B1925" s="71">
        <v>0.125</v>
      </c>
      <c r="C1925">
        <v>12.2</v>
      </c>
      <c r="D1925">
        <v>0</v>
      </c>
      <c r="E1925">
        <v>0</v>
      </c>
      <c r="F1925">
        <v>0</v>
      </c>
    </row>
    <row r="1926" spans="1:6" x14ac:dyDescent="0.35">
      <c r="A1926" s="8">
        <v>42130</v>
      </c>
      <c r="B1926" s="71">
        <v>0.16666666666666666</v>
      </c>
      <c r="C1926">
        <v>12.3</v>
      </c>
      <c r="D1926">
        <v>0</v>
      </c>
      <c r="E1926">
        <v>0</v>
      </c>
      <c r="F1926">
        <v>0</v>
      </c>
    </row>
    <row r="1927" spans="1:6" x14ac:dyDescent="0.35">
      <c r="A1927" s="8">
        <v>42130</v>
      </c>
      <c r="B1927" s="71">
        <v>0.20833333333333334</v>
      </c>
      <c r="C1927">
        <v>12.2</v>
      </c>
      <c r="D1927">
        <v>0</v>
      </c>
      <c r="E1927">
        <v>0</v>
      </c>
      <c r="F1927">
        <v>0</v>
      </c>
    </row>
    <row r="1928" spans="1:6" x14ac:dyDescent="0.35">
      <c r="A1928" s="8">
        <v>42130</v>
      </c>
      <c r="B1928" s="71">
        <v>0.25</v>
      </c>
      <c r="C1928">
        <v>12.3</v>
      </c>
      <c r="D1928">
        <v>0</v>
      </c>
      <c r="E1928">
        <v>0</v>
      </c>
      <c r="F1928">
        <v>0</v>
      </c>
    </row>
    <row r="1929" spans="1:6" x14ac:dyDescent="0.35">
      <c r="A1929" s="8">
        <v>42130</v>
      </c>
      <c r="B1929" s="71">
        <v>0.29166666666666669</v>
      </c>
      <c r="C1929">
        <v>12.3</v>
      </c>
      <c r="D1929">
        <v>0</v>
      </c>
      <c r="E1929">
        <v>0</v>
      </c>
      <c r="F1929">
        <v>0</v>
      </c>
    </row>
    <row r="1930" spans="1:6" x14ac:dyDescent="0.35">
      <c r="A1930" s="8">
        <v>42130</v>
      </c>
      <c r="B1930" s="71">
        <v>0.33333333333333331</v>
      </c>
      <c r="C1930">
        <v>12.5</v>
      </c>
      <c r="D1930">
        <v>0</v>
      </c>
      <c r="E1930">
        <v>1</v>
      </c>
      <c r="F1930">
        <v>19</v>
      </c>
    </row>
    <row r="1931" spans="1:6" x14ac:dyDescent="0.35">
      <c r="A1931" s="8">
        <v>42130</v>
      </c>
      <c r="B1931" s="71">
        <v>0.375</v>
      </c>
      <c r="C1931">
        <v>12.8</v>
      </c>
      <c r="D1931">
        <v>0</v>
      </c>
      <c r="E1931">
        <v>2</v>
      </c>
      <c r="F1931">
        <v>59</v>
      </c>
    </row>
    <row r="1932" spans="1:6" x14ac:dyDescent="0.35">
      <c r="A1932" s="8">
        <v>42130</v>
      </c>
      <c r="B1932" s="71">
        <v>0.41666666666666669</v>
      </c>
      <c r="C1932">
        <v>13.8</v>
      </c>
      <c r="D1932">
        <v>0</v>
      </c>
      <c r="E1932">
        <v>39</v>
      </c>
      <c r="F1932">
        <v>122</v>
      </c>
    </row>
    <row r="1933" spans="1:6" x14ac:dyDescent="0.35">
      <c r="A1933" s="8">
        <v>42130</v>
      </c>
      <c r="B1933" s="71">
        <v>0.45833333333333331</v>
      </c>
      <c r="C1933">
        <v>15</v>
      </c>
      <c r="D1933">
        <v>0</v>
      </c>
      <c r="E1933">
        <v>231</v>
      </c>
      <c r="F1933">
        <v>160</v>
      </c>
    </row>
    <row r="1934" spans="1:6" x14ac:dyDescent="0.35">
      <c r="A1934" s="8">
        <v>42130</v>
      </c>
      <c r="B1934" s="71">
        <v>0.5</v>
      </c>
      <c r="C1934">
        <v>15.6</v>
      </c>
      <c r="D1934">
        <v>0</v>
      </c>
      <c r="E1934">
        <v>368</v>
      </c>
      <c r="F1934">
        <v>187</v>
      </c>
    </row>
    <row r="1935" spans="1:6" x14ac:dyDescent="0.35">
      <c r="A1935" s="8">
        <v>42130</v>
      </c>
      <c r="B1935" s="71">
        <v>0.54166666666666663</v>
      </c>
      <c r="C1935">
        <v>16.100000000000001</v>
      </c>
      <c r="D1935">
        <v>0</v>
      </c>
      <c r="E1935">
        <v>325</v>
      </c>
      <c r="F1935">
        <v>239</v>
      </c>
    </row>
    <row r="1936" spans="1:6" x14ac:dyDescent="0.35">
      <c r="A1936" s="8">
        <v>42130</v>
      </c>
      <c r="B1936" s="71">
        <v>0.58333333333333337</v>
      </c>
      <c r="C1936">
        <v>16.3</v>
      </c>
      <c r="D1936">
        <v>0</v>
      </c>
      <c r="E1936">
        <v>294</v>
      </c>
      <c r="F1936">
        <v>241</v>
      </c>
    </row>
    <row r="1937" spans="1:6" x14ac:dyDescent="0.35">
      <c r="A1937" s="8">
        <v>42130</v>
      </c>
      <c r="B1937" s="71">
        <v>0.625</v>
      </c>
      <c r="C1937">
        <v>16.5</v>
      </c>
      <c r="D1937">
        <v>0</v>
      </c>
      <c r="E1937">
        <v>326</v>
      </c>
      <c r="F1937">
        <v>254</v>
      </c>
    </row>
    <row r="1938" spans="1:6" x14ac:dyDescent="0.35">
      <c r="A1938" s="8">
        <v>42130</v>
      </c>
      <c r="B1938" s="71">
        <v>0.66666666666666663</v>
      </c>
      <c r="C1938">
        <v>17.100000000000001</v>
      </c>
      <c r="D1938">
        <v>0</v>
      </c>
      <c r="E1938">
        <v>447</v>
      </c>
      <c r="F1938">
        <v>206</v>
      </c>
    </row>
    <row r="1939" spans="1:6" x14ac:dyDescent="0.35">
      <c r="A1939" s="8">
        <v>42130</v>
      </c>
      <c r="B1939" s="71">
        <v>0.70833333333333337</v>
      </c>
      <c r="C1939">
        <v>16.7</v>
      </c>
      <c r="D1939">
        <v>0</v>
      </c>
      <c r="E1939">
        <v>327</v>
      </c>
      <c r="F1939">
        <v>209</v>
      </c>
    </row>
    <row r="1940" spans="1:6" x14ac:dyDescent="0.35">
      <c r="A1940" s="8">
        <v>42130</v>
      </c>
      <c r="B1940" s="71">
        <v>0.75</v>
      </c>
      <c r="C1940">
        <v>16.3</v>
      </c>
      <c r="D1940">
        <v>0</v>
      </c>
      <c r="E1940">
        <v>227</v>
      </c>
      <c r="F1940">
        <v>178</v>
      </c>
    </row>
    <row r="1941" spans="1:6" x14ac:dyDescent="0.35">
      <c r="A1941" s="8">
        <v>42130</v>
      </c>
      <c r="B1941" s="71">
        <v>0.79166666666666663</v>
      </c>
      <c r="C1941">
        <v>15.8</v>
      </c>
      <c r="D1941">
        <v>0</v>
      </c>
      <c r="E1941">
        <v>232</v>
      </c>
      <c r="F1941">
        <v>112</v>
      </c>
    </row>
    <row r="1942" spans="1:6" x14ac:dyDescent="0.35">
      <c r="A1942" s="8">
        <v>42130</v>
      </c>
      <c r="B1942" s="71">
        <v>0.83333333333333337</v>
      </c>
      <c r="C1942">
        <v>15.2</v>
      </c>
      <c r="D1942">
        <v>0</v>
      </c>
      <c r="E1942">
        <v>165</v>
      </c>
      <c r="F1942">
        <v>65</v>
      </c>
    </row>
    <row r="1943" spans="1:6" x14ac:dyDescent="0.35">
      <c r="A1943" s="8">
        <v>42130</v>
      </c>
      <c r="B1943" s="71">
        <v>0.875</v>
      </c>
      <c r="C1943">
        <v>13.8</v>
      </c>
      <c r="D1943">
        <v>0</v>
      </c>
      <c r="E1943">
        <v>37</v>
      </c>
      <c r="F1943">
        <v>30</v>
      </c>
    </row>
    <row r="1944" spans="1:6" x14ac:dyDescent="0.35">
      <c r="A1944" s="8">
        <v>42130</v>
      </c>
      <c r="B1944" s="71">
        <v>0.91666666666666663</v>
      </c>
      <c r="C1944">
        <v>12.3</v>
      </c>
      <c r="D1944">
        <v>0</v>
      </c>
      <c r="E1944">
        <v>0</v>
      </c>
      <c r="F1944">
        <v>0</v>
      </c>
    </row>
    <row r="1945" spans="1:6" x14ac:dyDescent="0.35">
      <c r="A1945" s="8">
        <v>42130</v>
      </c>
      <c r="B1945" s="71">
        <v>0.95833333333333337</v>
      </c>
      <c r="C1945">
        <v>10.7</v>
      </c>
      <c r="D1945">
        <v>0</v>
      </c>
      <c r="E1945">
        <v>0</v>
      </c>
      <c r="F1945">
        <v>0</v>
      </c>
    </row>
    <row r="1946" spans="1:6" x14ac:dyDescent="0.35">
      <c r="A1946" s="8">
        <v>42131</v>
      </c>
      <c r="B1946" s="71">
        <v>0</v>
      </c>
      <c r="C1946">
        <v>10</v>
      </c>
      <c r="D1946">
        <v>0</v>
      </c>
      <c r="E1946">
        <v>0</v>
      </c>
      <c r="F1946">
        <v>0</v>
      </c>
    </row>
    <row r="1947" spans="1:6" x14ac:dyDescent="0.35">
      <c r="A1947" s="8">
        <v>42131</v>
      </c>
      <c r="B1947" s="71">
        <v>4.1666666666666664E-2</v>
      </c>
      <c r="C1947">
        <v>11.2</v>
      </c>
      <c r="D1947">
        <v>0</v>
      </c>
      <c r="E1947">
        <v>0</v>
      </c>
      <c r="F1947">
        <v>0</v>
      </c>
    </row>
    <row r="1948" spans="1:6" x14ac:dyDescent="0.35">
      <c r="A1948" s="8">
        <v>42131</v>
      </c>
      <c r="B1948" s="71">
        <v>8.3333333333333329E-2</v>
      </c>
      <c r="C1948">
        <v>10.8</v>
      </c>
      <c r="D1948">
        <v>0</v>
      </c>
      <c r="E1948">
        <v>0</v>
      </c>
      <c r="F1948">
        <v>0</v>
      </c>
    </row>
    <row r="1949" spans="1:6" x14ac:dyDescent="0.35">
      <c r="A1949" s="8">
        <v>42131</v>
      </c>
      <c r="B1949" s="71">
        <v>0.125</v>
      </c>
      <c r="C1949">
        <v>10.4</v>
      </c>
      <c r="D1949">
        <v>0</v>
      </c>
      <c r="E1949">
        <v>0</v>
      </c>
      <c r="F1949">
        <v>0</v>
      </c>
    </row>
    <row r="1950" spans="1:6" x14ac:dyDescent="0.35">
      <c r="A1950" s="8">
        <v>42131</v>
      </c>
      <c r="B1950" s="71">
        <v>0.16666666666666666</v>
      </c>
      <c r="C1950">
        <v>7.4</v>
      </c>
      <c r="D1950">
        <v>0</v>
      </c>
      <c r="E1950">
        <v>0</v>
      </c>
      <c r="F1950">
        <v>0</v>
      </c>
    </row>
    <row r="1951" spans="1:6" x14ac:dyDescent="0.35">
      <c r="A1951" s="8">
        <v>42131</v>
      </c>
      <c r="B1951" s="71">
        <v>0.20833333333333334</v>
      </c>
      <c r="C1951">
        <v>6.6</v>
      </c>
      <c r="D1951">
        <v>0</v>
      </c>
      <c r="E1951">
        <v>0</v>
      </c>
      <c r="F1951">
        <v>0</v>
      </c>
    </row>
    <row r="1952" spans="1:6" x14ac:dyDescent="0.35">
      <c r="A1952" s="8">
        <v>42131</v>
      </c>
      <c r="B1952" s="71">
        <v>0.25</v>
      </c>
      <c r="C1952">
        <v>6.2</v>
      </c>
      <c r="D1952">
        <v>0</v>
      </c>
      <c r="E1952">
        <v>0</v>
      </c>
      <c r="F1952">
        <v>0</v>
      </c>
    </row>
    <row r="1953" spans="1:6" x14ac:dyDescent="0.35">
      <c r="A1953" s="8">
        <v>42131</v>
      </c>
      <c r="B1953" s="71">
        <v>0.29166666666666669</v>
      </c>
      <c r="C1953">
        <v>6.1</v>
      </c>
      <c r="D1953">
        <v>0</v>
      </c>
      <c r="E1953">
        <v>0</v>
      </c>
      <c r="F1953">
        <v>1</v>
      </c>
    </row>
    <row r="1954" spans="1:6" x14ac:dyDescent="0.35">
      <c r="A1954" s="8">
        <v>42131</v>
      </c>
      <c r="B1954" s="71">
        <v>0.33333333333333331</v>
      </c>
      <c r="C1954">
        <v>8</v>
      </c>
      <c r="D1954">
        <v>0</v>
      </c>
      <c r="E1954">
        <v>34</v>
      </c>
      <c r="F1954">
        <v>36</v>
      </c>
    </row>
    <row r="1955" spans="1:6" x14ac:dyDescent="0.35">
      <c r="A1955" s="8">
        <v>42131</v>
      </c>
      <c r="B1955" s="71">
        <v>0.375</v>
      </c>
      <c r="C1955">
        <v>10.8</v>
      </c>
      <c r="D1955">
        <v>0</v>
      </c>
      <c r="E1955">
        <v>56</v>
      </c>
      <c r="F1955">
        <v>125</v>
      </c>
    </row>
    <row r="1956" spans="1:6" x14ac:dyDescent="0.35">
      <c r="A1956" s="8">
        <v>42131</v>
      </c>
      <c r="B1956" s="71">
        <v>0.41666666666666669</v>
      </c>
      <c r="C1956">
        <v>13</v>
      </c>
      <c r="D1956">
        <v>0</v>
      </c>
      <c r="E1956">
        <v>123</v>
      </c>
      <c r="F1956">
        <v>198</v>
      </c>
    </row>
    <row r="1957" spans="1:6" x14ac:dyDescent="0.35">
      <c r="A1957" s="8">
        <v>42131</v>
      </c>
      <c r="B1957" s="71">
        <v>0.45833333333333331</v>
      </c>
      <c r="C1957">
        <v>15</v>
      </c>
      <c r="D1957">
        <v>0</v>
      </c>
      <c r="E1957">
        <v>172</v>
      </c>
      <c r="F1957">
        <v>277</v>
      </c>
    </row>
    <row r="1958" spans="1:6" x14ac:dyDescent="0.35">
      <c r="A1958" s="8">
        <v>42131</v>
      </c>
      <c r="B1958" s="71">
        <v>0.5</v>
      </c>
      <c r="C1958">
        <v>16.7</v>
      </c>
      <c r="D1958">
        <v>0.2</v>
      </c>
      <c r="E1958">
        <v>227</v>
      </c>
      <c r="F1958">
        <v>314</v>
      </c>
    </row>
    <row r="1959" spans="1:6" x14ac:dyDescent="0.35">
      <c r="A1959" s="8">
        <v>42131</v>
      </c>
      <c r="B1959" s="71">
        <v>0.54166666666666663</v>
      </c>
      <c r="C1959">
        <v>17.399999999999999</v>
      </c>
      <c r="D1959">
        <v>0.2</v>
      </c>
      <c r="E1959">
        <v>217</v>
      </c>
      <c r="F1959">
        <v>312</v>
      </c>
    </row>
    <row r="1960" spans="1:6" x14ac:dyDescent="0.35">
      <c r="A1960" s="8">
        <v>42131</v>
      </c>
      <c r="B1960" s="71">
        <v>0.58333333333333337</v>
      </c>
      <c r="C1960">
        <v>18.2</v>
      </c>
      <c r="D1960">
        <v>0.1</v>
      </c>
      <c r="E1960">
        <v>226</v>
      </c>
      <c r="F1960">
        <v>312</v>
      </c>
    </row>
    <row r="1961" spans="1:6" x14ac:dyDescent="0.35">
      <c r="A1961" s="8">
        <v>42131</v>
      </c>
      <c r="B1961" s="71">
        <v>0.625</v>
      </c>
      <c r="C1961">
        <v>20.100000000000001</v>
      </c>
      <c r="D1961">
        <v>0</v>
      </c>
      <c r="E1961">
        <v>541</v>
      </c>
      <c r="F1961">
        <v>214</v>
      </c>
    </row>
    <row r="1962" spans="1:6" x14ac:dyDescent="0.35">
      <c r="A1962" s="8">
        <v>42131</v>
      </c>
      <c r="B1962" s="71">
        <v>0.66666666666666663</v>
      </c>
      <c r="C1962">
        <v>21.5</v>
      </c>
      <c r="D1962">
        <v>0</v>
      </c>
      <c r="E1962">
        <v>733</v>
      </c>
      <c r="F1962">
        <v>117</v>
      </c>
    </row>
    <row r="1963" spans="1:6" x14ac:dyDescent="0.35">
      <c r="A1963" s="8">
        <v>42131</v>
      </c>
      <c r="B1963" s="71">
        <v>0.70833333333333337</v>
      </c>
      <c r="C1963">
        <v>22.2</v>
      </c>
      <c r="D1963">
        <v>0</v>
      </c>
      <c r="E1963">
        <v>626</v>
      </c>
      <c r="F1963">
        <v>105</v>
      </c>
    </row>
    <row r="1964" spans="1:6" x14ac:dyDescent="0.35">
      <c r="A1964" s="8">
        <v>42131</v>
      </c>
      <c r="B1964" s="71">
        <v>0.75</v>
      </c>
      <c r="C1964">
        <v>22.5</v>
      </c>
      <c r="D1964">
        <v>0</v>
      </c>
      <c r="E1964">
        <v>493</v>
      </c>
      <c r="F1964">
        <v>96</v>
      </c>
    </row>
    <row r="1965" spans="1:6" x14ac:dyDescent="0.35">
      <c r="A1965" s="8">
        <v>42131</v>
      </c>
      <c r="B1965" s="71">
        <v>0.79166666666666663</v>
      </c>
      <c r="C1965">
        <v>22.2</v>
      </c>
      <c r="D1965">
        <v>0</v>
      </c>
      <c r="E1965">
        <v>333</v>
      </c>
      <c r="F1965">
        <v>82</v>
      </c>
    </row>
    <row r="1966" spans="1:6" x14ac:dyDescent="0.35">
      <c r="A1966" s="8">
        <v>42131</v>
      </c>
      <c r="B1966" s="71">
        <v>0.83333333333333337</v>
      </c>
      <c r="C1966">
        <v>21</v>
      </c>
      <c r="D1966">
        <v>0</v>
      </c>
      <c r="E1966">
        <v>167</v>
      </c>
      <c r="F1966">
        <v>62</v>
      </c>
    </row>
    <row r="1967" spans="1:6" x14ac:dyDescent="0.35">
      <c r="A1967" s="8">
        <v>42131</v>
      </c>
      <c r="B1967" s="71">
        <v>0.875</v>
      </c>
      <c r="C1967">
        <v>19.100000000000001</v>
      </c>
      <c r="D1967">
        <v>0</v>
      </c>
      <c r="E1967">
        <v>40</v>
      </c>
      <c r="F1967">
        <v>30</v>
      </c>
    </row>
    <row r="1968" spans="1:6" x14ac:dyDescent="0.35">
      <c r="A1968" s="8">
        <v>42131</v>
      </c>
      <c r="B1968" s="71">
        <v>0.91666666666666663</v>
      </c>
      <c r="C1968">
        <v>17.8</v>
      </c>
      <c r="D1968">
        <v>0</v>
      </c>
      <c r="E1968">
        <v>0</v>
      </c>
      <c r="F1968">
        <v>1</v>
      </c>
    </row>
    <row r="1969" spans="1:6" x14ac:dyDescent="0.35">
      <c r="A1969" s="8">
        <v>42131</v>
      </c>
      <c r="B1969" s="71">
        <v>0.95833333333333337</v>
      </c>
      <c r="C1969">
        <v>16.899999999999999</v>
      </c>
      <c r="D1969">
        <v>0</v>
      </c>
      <c r="E1969">
        <v>0</v>
      </c>
      <c r="F1969">
        <v>0</v>
      </c>
    </row>
    <row r="1970" spans="1:6" x14ac:dyDescent="0.35">
      <c r="A1970" s="8">
        <v>42132</v>
      </c>
      <c r="B1970" s="71">
        <v>0</v>
      </c>
      <c r="C1970">
        <v>16.7</v>
      </c>
      <c r="D1970">
        <v>0</v>
      </c>
      <c r="E1970">
        <v>0</v>
      </c>
      <c r="F1970">
        <v>0</v>
      </c>
    </row>
    <row r="1971" spans="1:6" x14ac:dyDescent="0.35">
      <c r="A1971" s="8">
        <v>42132</v>
      </c>
      <c r="B1971" s="71">
        <v>4.1666666666666664E-2</v>
      </c>
      <c r="C1971">
        <v>16.2</v>
      </c>
      <c r="D1971">
        <v>0</v>
      </c>
      <c r="E1971">
        <v>0</v>
      </c>
      <c r="F1971">
        <v>0</v>
      </c>
    </row>
    <row r="1972" spans="1:6" x14ac:dyDescent="0.35">
      <c r="A1972" s="8">
        <v>42132</v>
      </c>
      <c r="B1972" s="71">
        <v>8.3333333333333329E-2</v>
      </c>
      <c r="C1972">
        <v>15.8</v>
      </c>
      <c r="D1972">
        <v>0</v>
      </c>
      <c r="E1972">
        <v>0</v>
      </c>
      <c r="F1972">
        <v>0</v>
      </c>
    </row>
    <row r="1973" spans="1:6" x14ac:dyDescent="0.35">
      <c r="A1973" s="8">
        <v>42132</v>
      </c>
      <c r="B1973" s="71">
        <v>0.125</v>
      </c>
      <c r="C1973">
        <v>15.5</v>
      </c>
      <c r="D1973">
        <v>0</v>
      </c>
      <c r="E1973">
        <v>0</v>
      </c>
      <c r="F1973">
        <v>0</v>
      </c>
    </row>
    <row r="1974" spans="1:6" x14ac:dyDescent="0.35">
      <c r="A1974" s="8">
        <v>42132</v>
      </c>
      <c r="B1974" s="71">
        <v>0.16666666666666666</v>
      </c>
      <c r="C1974">
        <v>14.7</v>
      </c>
      <c r="D1974">
        <v>0.5</v>
      </c>
      <c r="E1974">
        <v>0</v>
      </c>
      <c r="F1974">
        <v>0</v>
      </c>
    </row>
    <row r="1975" spans="1:6" x14ac:dyDescent="0.35">
      <c r="A1975" s="8">
        <v>42132</v>
      </c>
      <c r="B1975" s="71">
        <v>0.20833333333333334</v>
      </c>
      <c r="C1975">
        <v>13.8</v>
      </c>
      <c r="D1975">
        <v>1</v>
      </c>
      <c r="E1975">
        <v>0</v>
      </c>
      <c r="F1975">
        <v>0</v>
      </c>
    </row>
    <row r="1976" spans="1:6" x14ac:dyDescent="0.35">
      <c r="A1976" s="8">
        <v>42132</v>
      </c>
      <c r="B1976" s="71">
        <v>0.25</v>
      </c>
      <c r="C1976">
        <v>12.3</v>
      </c>
      <c r="D1976">
        <v>2</v>
      </c>
      <c r="E1976">
        <v>0</v>
      </c>
      <c r="F1976">
        <v>0</v>
      </c>
    </row>
    <row r="1977" spans="1:6" x14ac:dyDescent="0.35">
      <c r="A1977" s="8">
        <v>42132</v>
      </c>
      <c r="B1977" s="71">
        <v>0.29166666666666669</v>
      </c>
      <c r="C1977">
        <v>12.3</v>
      </c>
      <c r="D1977">
        <v>2.6</v>
      </c>
      <c r="E1977">
        <v>0</v>
      </c>
      <c r="F1977">
        <v>1</v>
      </c>
    </row>
    <row r="1978" spans="1:6" x14ac:dyDescent="0.35">
      <c r="A1978" s="8">
        <v>42132</v>
      </c>
      <c r="B1978" s="71">
        <v>0.33333333333333331</v>
      </c>
      <c r="C1978">
        <v>12.8</v>
      </c>
      <c r="D1978">
        <v>2</v>
      </c>
      <c r="E1978">
        <v>3</v>
      </c>
      <c r="F1978">
        <v>31</v>
      </c>
    </row>
    <row r="1979" spans="1:6" x14ac:dyDescent="0.35">
      <c r="A1979" s="8">
        <v>42132</v>
      </c>
      <c r="B1979" s="71">
        <v>0.375</v>
      </c>
      <c r="C1979">
        <v>15</v>
      </c>
      <c r="D1979">
        <v>0</v>
      </c>
      <c r="E1979">
        <v>85</v>
      </c>
      <c r="F1979">
        <v>79</v>
      </c>
    </row>
    <row r="1980" spans="1:6" x14ac:dyDescent="0.35">
      <c r="A1980" s="8">
        <v>42132</v>
      </c>
      <c r="B1980" s="71">
        <v>0.41666666666666669</v>
      </c>
      <c r="C1980">
        <v>17.100000000000001</v>
      </c>
      <c r="D1980">
        <v>0</v>
      </c>
      <c r="E1980">
        <v>222</v>
      </c>
      <c r="F1980">
        <v>118</v>
      </c>
    </row>
    <row r="1981" spans="1:6" x14ac:dyDescent="0.35">
      <c r="A1981" s="8">
        <v>42132</v>
      </c>
      <c r="B1981" s="71">
        <v>0.45833333333333331</v>
      </c>
      <c r="C1981">
        <v>18.399999999999999</v>
      </c>
      <c r="D1981">
        <v>0</v>
      </c>
      <c r="E1981">
        <v>368</v>
      </c>
      <c r="F1981">
        <v>140</v>
      </c>
    </row>
    <row r="1982" spans="1:6" x14ac:dyDescent="0.35">
      <c r="A1982" s="8">
        <v>42132</v>
      </c>
      <c r="B1982" s="71">
        <v>0.5</v>
      </c>
      <c r="C1982">
        <v>19</v>
      </c>
      <c r="D1982">
        <v>0.2</v>
      </c>
      <c r="E1982">
        <v>449</v>
      </c>
      <c r="F1982">
        <v>206</v>
      </c>
    </row>
    <row r="1983" spans="1:6" x14ac:dyDescent="0.35">
      <c r="A1983" s="8">
        <v>42132</v>
      </c>
      <c r="B1983" s="71">
        <v>0.54166666666666663</v>
      </c>
      <c r="C1983">
        <v>19</v>
      </c>
      <c r="D1983">
        <v>0.6</v>
      </c>
      <c r="E1983">
        <v>536</v>
      </c>
      <c r="F1983">
        <v>159</v>
      </c>
    </row>
    <row r="1984" spans="1:6" x14ac:dyDescent="0.35">
      <c r="A1984" s="8">
        <v>42132</v>
      </c>
      <c r="B1984" s="71">
        <v>0.58333333333333337</v>
      </c>
      <c r="C1984">
        <v>19.2</v>
      </c>
      <c r="D1984">
        <v>0</v>
      </c>
      <c r="E1984">
        <v>480</v>
      </c>
      <c r="F1984">
        <v>197</v>
      </c>
    </row>
    <row r="1985" spans="1:6" x14ac:dyDescent="0.35">
      <c r="A1985" s="8">
        <v>42132</v>
      </c>
      <c r="B1985" s="71">
        <v>0.625</v>
      </c>
      <c r="C1985">
        <v>19.5</v>
      </c>
      <c r="D1985">
        <v>0.1</v>
      </c>
      <c r="E1985">
        <v>648</v>
      </c>
      <c r="F1985">
        <v>139</v>
      </c>
    </row>
    <row r="1986" spans="1:6" x14ac:dyDescent="0.35">
      <c r="A1986" s="8">
        <v>42132</v>
      </c>
      <c r="B1986" s="71">
        <v>0.66666666666666663</v>
      </c>
      <c r="C1986">
        <v>19.3</v>
      </c>
      <c r="D1986">
        <v>0</v>
      </c>
      <c r="E1986">
        <v>446</v>
      </c>
      <c r="F1986">
        <v>151</v>
      </c>
    </row>
    <row r="1987" spans="1:6" x14ac:dyDescent="0.35">
      <c r="A1987" s="8">
        <v>42132</v>
      </c>
      <c r="B1987" s="71">
        <v>0.70833333333333337</v>
      </c>
      <c r="C1987">
        <v>19.3</v>
      </c>
      <c r="D1987">
        <v>0</v>
      </c>
      <c r="E1987">
        <v>448</v>
      </c>
      <c r="F1987">
        <v>125</v>
      </c>
    </row>
    <row r="1988" spans="1:6" x14ac:dyDescent="0.35">
      <c r="A1988" s="8">
        <v>42132</v>
      </c>
      <c r="B1988" s="71">
        <v>0.75</v>
      </c>
      <c r="C1988">
        <v>18.899999999999999</v>
      </c>
      <c r="D1988">
        <v>0</v>
      </c>
      <c r="E1988">
        <v>388</v>
      </c>
      <c r="F1988">
        <v>119</v>
      </c>
    </row>
    <row r="1989" spans="1:6" x14ac:dyDescent="0.35">
      <c r="A1989" s="8">
        <v>42132</v>
      </c>
      <c r="B1989" s="71">
        <v>0.79166666666666663</v>
      </c>
      <c r="C1989">
        <v>18.100000000000001</v>
      </c>
      <c r="D1989">
        <v>0</v>
      </c>
      <c r="E1989">
        <v>290</v>
      </c>
      <c r="F1989">
        <v>93</v>
      </c>
    </row>
    <row r="1990" spans="1:6" x14ac:dyDescent="0.35">
      <c r="A1990" s="8">
        <v>42132</v>
      </c>
      <c r="B1990" s="71">
        <v>0.83333333333333337</v>
      </c>
      <c r="C1990">
        <v>17.100000000000001</v>
      </c>
      <c r="D1990">
        <v>0</v>
      </c>
      <c r="E1990">
        <v>130</v>
      </c>
      <c r="F1990">
        <v>70</v>
      </c>
    </row>
    <row r="1991" spans="1:6" x14ac:dyDescent="0.35">
      <c r="A1991" s="8">
        <v>42132</v>
      </c>
      <c r="B1991" s="71">
        <v>0.875</v>
      </c>
      <c r="C1991">
        <v>16</v>
      </c>
      <c r="D1991">
        <v>0</v>
      </c>
      <c r="E1991">
        <v>38</v>
      </c>
      <c r="F1991">
        <v>31</v>
      </c>
    </row>
    <row r="1992" spans="1:6" x14ac:dyDescent="0.35">
      <c r="A1992" s="8">
        <v>42132</v>
      </c>
      <c r="B1992" s="71">
        <v>0.91666666666666663</v>
      </c>
      <c r="C1992">
        <v>14.9</v>
      </c>
      <c r="D1992">
        <v>0</v>
      </c>
      <c r="E1992">
        <v>0</v>
      </c>
      <c r="F1992">
        <v>1</v>
      </c>
    </row>
    <row r="1993" spans="1:6" x14ac:dyDescent="0.35">
      <c r="A1993" s="8">
        <v>42132</v>
      </c>
      <c r="B1993" s="71">
        <v>0.95833333333333337</v>
      </c>
      <c r="C1993">
        <v>14.1</v>
      </c>
      <c r="D1993">
        <v>0</v>
      </c>
      <c r="E1993">
        <v>0</v>
      </c>
      <c r="F1993">
        <v>0</v>
      </c>
    </row>
    <row r="1994" spans="1:6" x14ac:dyDescent="0.35">
      <c r="A1994" s="8">
        <v>42133</v>
      </c>
      <c r="B1994" s="71">
        <v>0</v>
      </c>
      <c r="C1994">
        <v>13.6</v>
      </c>
      <c r="D1994">
        <v>0</v>
      </c>
      <c r="E1994">
        <v>0</v>
      </c>
      <c r="F1994">
        <v>0</v>
      </c>
    </row>
    <row r="1995" spans="1:6" x14ac:dyDescent="0.35">
      <c r="A1995" s="8">
        <v>42133</v>
      </c>
      <c r="B1995" s="71">
        <v>4.1666666666666664E-2</v>
      </c>
      <c r="C1995">
        <v>13.4</v>
      </c>
      <c r="D1995">
        <v>0</v>
      </c>
      <c r="E1995">
        <v>0</v>
      </c>
      <c r="F1995">
        <v>0</v>
      </c>
    </row>
    <row r="1996" spans="1:6" x14ac:dyDescent="0.35">
      <c r="A1996" s="8">
        <v>42133</v>
      </c>
      <c r="B1996" s="71">
        <v>8.3333333333333329E-2</v>
      </c>
      <c r="C1996">
        <v>13.3</v>
      </c>
      <c r="D1996">
        <v>0</v>
      </c>
      <c r="E1996">
        <v>0</v>
      </c>
      <c r="F1996">
        <v>0</v>
      </c>
    </row>
    <row r="1997" spans="1:6" x14ac:dyDescent="0.35">
      <c r="A1997" s="8">
        <v>42133</v>
      </c>
      <c r="B1997" s="71">
        <v>0.125</v>
      </c>
      <c r="C1997">
        <v>13.2</v>
      </c>
      <c r="D1997">
        <v>0</v>
      </c>
      <c r="E1997">
        <v>0</v>
      </c>
      <c r="F1997">
        <v>0</v>
      </c>
    </row>
    <row r="1998" spans="1:6" x14ac:dyDescent="0.35">
      <c r="A1998" s="8">
        <v>42133</v>
      </c>
      <c r="B1998" s="71">
        <v>0.16666666666666666</v>
      </c>
      <c r="C1998">
        <v>13.2</v>
      </c>
      <c r="D1998">
        <v>0</v>
      </c>
      <c r="E1998">
        <v>0</v>
      </c>
      <c r="F1998">
        <v>0</v>
      </c>
    </row>
    <row r="1999" spans="1:6" x14ac:dyDescent="0.35">
      <c r="A1999" s="8">
        <v>42133</v>
      </c>
      <c r="B1999" s="71">
        <v>0.20833333333333334</v>
      </c>
      <c r="C1999">
        <v>13.2</v>
      </c>
      <c r="D1999">
        <v>0</v>
      </c>
      <c r="E1999">
        <v>0</v>
      </c>
      <c r="F1999">
        <v>0</v>
      </c>
    </row>
    <row r="2000" spans="1:6" x14ac:dyDescent="0.35">
      <c r="A2000" s="8">
        <v>42133</v>
      </c>
      <c r="B2000" s="71">
        <v>0.25</v>
      </c>
      <c r="C2000">
        <v>13.4</v>
      </c>
      <c r="D2000">
        <v>0</v>
      </c>
      <c r="E2000">
        <v>0</v>
      </c>
      <c r="F2000">
        <v>0</v>
      </c>
    </row>
    <row r="2001" spans="1:6" x14ac:dyDescent="0.35">
      <c r="A2001" s="8">
        <v>42133</v>
      </c>
      <c r="B2001" s="71">
        <v>0.29166666666666669</v>
      </c>
      <c r="C2001">
        <v>13.5</v>
      </c>
      <c r="D2001">
        <v>0</v>
      </c>
      <c r="E2001">
        <v>0</v>
      </c>
      <c r="F2001">
        <v>1</v>
      </c>
    </row>
    <row r="2002" spans="1:6" x14ac:dyDescent="0.35">
      <c r="A2002" s="8">
        <v>42133</v>
      </c>
      <c r="B2002" s="71">
        <v>0.33333333333333331</v>
      </c>
      <c r="C2002">
        <v>14</v>
      </c>
      <c r="D2002">
        <v>0</v>
      </c>
      <c r="E2002">
        <v>0</v>
      </c>
      <c r="F2002">
        <v>31</v>
      </c>
    </row>
    <row r="2003" spans="1:6" x14ac:dyDescent="0.35">
      <c r="A2003" s="8">
        <v>42133</v>
      </c>
      <c r="B2003" s="71">
        <v>0.375</v>
      </c>
      <c r="C2003">
        <v>15.1</v>
      </c>
      <c r="D2003">
        <v>0</v>
      </c>
      <c r="E2003">
        <v>40</v>
      </c>
      <c r="F2003">
        <v>93</v>
      </c>
    </row>
    <row r="2004" spans="1:6" x14ac:dyDescent="0.35">
      <c r="A2004" s="8">
        <v>42133</v>
      </c>
      <c r="B2004" s="71">
        <v>0.41666666666666669</v>
      </c>
      <c r="C2004">
        <v>15.8</v>
      </c>
      <c r="D2004">
        <v>0</v>
      </c>
      <c r="E2004">
        <v>71</v>
      </c>
      <c r="F2004">
        <v>149</v>
      </c>
    </row>
    <row r="2005" spans="1:6" x14ac:dyDescent="0.35">
      <c r="A2005" s="8">
        <v>42133</v>
      </c>
      <c r="B2005" s="71">
        <v>0.45833333333333331</v>
      </c>
      <c r="C2005">
        <v>16.899999999999999</v>
      </c>
      <c r="D2005">
        <v>0</v>
      </c>
      <c r="E2005">
        <v>171</v>
      </c>
      <c r="F2005">
        <v>169</v>
      </c>
    </row>
    <row r="2006" spans="1:6" x14ac:dyDescent="0.35">
      <c r="A2006" s="8">
        <v>42133</v>
      </c>
      <c r="B2006" s="71">
        <v>0.5</v>
      </c>
      <c r="C2006">
        <v>18.100000000000001</v>
      </c>
      <c r="D2006">
        <v>0</v>
      </c>
      <c r="E2006">
        <v>260</v>
      </c>
      <c r="F2006">
        <v>274</v>
      </c>
    </row>
    <row r="2007" spans="1:6" x14ac:dyDescent="0.35">
      <c r="A2007" s="8">
        <v>42133</v>
      </c>
      <c r="B2007" s="71">
        <v>0.54166666666666663</v>
      </c>
      <c r="C2007">
        <v>18.5</v>
      </c>
      <c r="D2007">
        <v>0</v>
      </c>
      <c r="E2007">
        <v>209</v>
      </c>
      <c r="F2007">
        <v>294</v>
      </c>
    </row>
    <row r="2008" spans="1:6" x14ac:dyDescent="0.35">
      <c r="A2008" s="8">
        <v>42133</v>
      </c>
      <c r="B2008" s="71">
        <v>0.58333333333333337</v>
      </c>
      <c r="C2008">
        <v>18.7</v>
      </c>
      <c r="D2008">
        <v>0</v>
      </c>
      <c r="E2008">
        <v>198</v>
      </c>
      <c r="F2008">
        <v>298</v>
      </c>
    </row>
    <row r="2009" spans="1:6" x14ac:dyDescent="0.35">
      <c r="A2009" s="8">
        <v>42133</v>
      </c>
      <c r="B2009" s="71">
        <v>0.625</v>
      </c>
      <c r="C2009">
        <v>18.5</v>
      </c>
      <c r="D2009">
        <v>0</v>
      </c>
      <c r="E2009">
        <v>133</v>
      </c>
      <c r="F2009">
        <v>279</v>
      </c>
    </row>
    <row r="2010" spans="1:6" x14ac:dyDescent="0.35">
      <c r="A2010" s="8">
        <v>42133</v>
      </c>
      <c r="B2010" s="71">
        <v>0.66666666666666663</v>
      </c>
      <c r="C2010">
        <v>19</v>
      </c>
      <c r="D2010">
        <v>0</v>
      </c>
      <c r="E2010">
        <v>319</v>
      </c>
      <c r="F2010">
        <v>217</v>
      </c>
    </row>
    <row r="2011" spans="1:6" x14ac:dyDescent="0.35">
      <c r="A2011" s="8">
        <v>42133</v>
      </c>
      <c r="B2011" s="71">
        <v>0.70833333333333337</v>
      </c>
      <c r="C2011">
        <v>19.100000000000001</v>
      </c>
      <c r="D2011">
        <v>0</v>
      </c>
      <c r="E2011">
        <v>329</v>
      </c>
      <c r="F2011">
        <v>209</v>
      </c>
    </row>
    <row r="2012" spans="1:6" x14ac:dyDescent="0.35">
      <c r="A2012" s="8">
        <v>42133</v>
      </c>
      <c r="B2012" s="71">
        <v>0.75</v>
      </c>
      <c r="C2012">
        <v>18.7</v>
      </c>
      <c r="D2012">
        <v>0</v>
      </c>
      <c r="E2012">
        <v>233</v>
      </c>
      <c r="F2012">
        <v>169</v>
      </c>
    </row>
    <row r="2013" spans="1:6" x14ac:dyDescent="0.35">
      <c r="A2013" s="8">
        <v>42133</v>
      </c>
      <c r="B2013" s="71">
        <v>0.79166666666666663</v>
      </c>
      <c r="C2013">
        <v>18.2</v>
      </c>
      <c r="D2013">
        <v>0</v>
      </c>
      <c r="E2013">
        <v>244</v>
      </c>
      <c r="F2013">
        <v>116</v>
      </c>
    </row>
    <row r="2014" spans="1:6" x14ac:dyDescent="0.35">
      <c r="A2014" s="8">
        <v>42133</v>
      </c>
      <c r="B2014" s="71">
        <v>0.83333333333333337</v>
      </c>
      <c r="C2014">
        <v>17.5</v>
      </c>
      <c r="D2014">
        <v>0</v>
      </c>
      <c r="E2014">
        <v>148</v>
      </c>
      <c r="F2014">
        <v>74</v>
      </c>
    </row>
    <row r="2015" spans="1:6" x14ac:dyDescent="0.35">
      <c r="A2015" s="8">
        <v>42133</v>
      </c>
      <c r="B2015" s="71">
        <v>0.875</v>
      </c>
      <c r="C2015">
        <v>15.8</v>
      </c>
      <c r="D2015">
        <v>0</v>
      </c>
      <c r="E2015">
        <v>34</v>
      </c>
      <c r="F2015">
        <v>32</v>
      </c>
    </row>
    <row r="2016" spans="1:6" x14ac:dyDescent="0.35">
      <c r="A2016" s="8">
        <v>42133</v>
      </c>
      <c r="B2016" s="71">
        <v>0.91666666666666663</v>
      </c>
      <c r="C2016">
        <v>14.5</v>
      </c>
      <c r="D2016">
        <v>0</v>
      </c>
      <c r="E2016">
        <v>0</v>
      </c>
      <c r="F2016">
        <v>1</v>
      </c>
    </row>
    <row r="2017" spans="1:6" x14ac:dyDescent="0.35">
      <c r="A2017" s="8">
        <v>42133</v>
      </c>
      <c r="B2017" s="71">
        <v>0.95833333333333337</v>
      </c>
      <c r="C2017">
        <v>13.1</v>
      </c>
      <c r="D2017">
        <v>0</v>
      </c>
      <c r="E2017">
        <v>0</v>
      </c>
      <c r="F2017">
        <v>0</v>
      </c>
    </row>
    <row r="2018" spans="1:6" x14ac:dyDescent="0.35">
      <c r="A2018" s="8">
        <v>42134</v>
      </c>
      <c r="B2018" s="71">
        <v>0</v>
      </c>
      <c r="C2018">
        <v>11.6</v>
      </c>
      <c r="D2018">
        <v>0</v>
      </c>
      <c r="E2018">
        <v>0</v>
      </c>
      <c r="F2018">
        <v>0</v>
      </c>
    </row>
    <row r="2019" spans="1:6" x14ac:dyDescent="0.35">
      <c r="A2019" s="8">
        <v>42134</v>
      </c>
      <c r="B2019" s="71">
        <v>4.1666666666666664E-2</v>
      </c>
      <c r="C2019">
        <v>10.7</v>
      </c>
      <c r="D2019">
        <v>0</v>
      </c>
      <c r="E2019">
        <v>0</v>
      </c>
      <c r="F2019">
        <v>0</v>
      </c>
    </row>
    <row r="2020" spans="1:6" x14ac:dyDescent="0.35">
      <c r="A2020" s="8">
        <v>42134</v>
      </c>
      <c r="B2020" s="71">
        <v>8.3333333333333329E-2</v>
      </c>
      <c r="C2020">
        <v>9.9</v>
      </c>
      <c r="D2020">
        <v>0</v>
      </c>
      <c r="E2020">
        <v>0</v>
      </c>
      <c r="F2020">
        <v>0</v>
      </c>
    </row>
    <row r="2021" spans="1:6" x14ac:dyDescent="0.35">
      <c r="A2021" s="8">
        <v>42134</v>
      </c>
      <c r="B2021" s="71">
        <v>0.125</v>
      </c>
      <c r="C2021">
        <v>9.5</v>
      </c>
      <c r="D2021">
        <v>0</v>
      </c>
      <c r="E2021">
        <v>0</v>
      </c>
      <c r="F2021">
        <v>0</v>
      </c>
    </row>
    <row r="2022" spans="1:6" x14ac:dyDescent="0.35">
      <c r="A2022" s="8">
        <v>42134</v>
      </c>
      <c r="B2022" s="71">
        <v>0.16666666666666666</v>
      </c>
      <c r="C2022">
        <v>9.3000000000000007</v>
      </c>
      <c r="D2022">
        <v>0</v>
      </c>
      <c r="E2022">
        <v>0</v>
      </c>
      <c r="F2022">
        <v>0</v>
      </c>
    </row>
    <row r="2023" spans="1:6" x14ac:dyDescent="0.35">
      <c r="A2023" s="8">
        <v>42134</v>
      </c>
      <c r="B2023" s="71">
        <v>0.20833333333333334</v>
      </c>
      <c r="C2023">
        <v>9.5</v>
      </c>
      <c r="D2023">
        <v>0</v>
      </c>
      <c r="E2023">
        <v>0</v>
      </c>
      <c r="F2023">
        <v>0</v>
      </c>
    </row>
    <row r="2024" spans="1:6" x14ac:dyDescent="0.35">
      <c r="A2024" s="8">
        <v>42134</v>
      </c>
      <c r="B2024" s="71">
        <v>0.25</v>
      </c>
      <c r="C2024">
        <v>9.6999999999999993</v>
      </c>
      <c r="D2024">
        <v>0</v>
      </c>
      <c r="E2024">
        <v>0</v>
      </c>
      <c r="F2024">
        <v>0</v>
      </c>
    </row>
    <row r="2025" spans="1:6" x14ac:dyDescent="0.35">
      <c r="A2025" s="8">
        <v>42134</v>
      </c>
      <c r="B2025" s="71">
        <v>0.29166666666666669</v>
      </c>
      <c r="C2025">
        <v>9.8000000000000007</v>
      </c>
      <c r="D2025">
        <v>0</v>
      </c>
      <c r="E2025">
        <v>0</v>
      </c>
      <c r="F2025">
        <v>2</v>
      </c>
    </row>
    <row r="2026" spans="1:6" x14ac:dyDescent="0.35">
      <c r="A2026" s="8">
        <v>42134</v>
      </c>
      <c r="B2026" s="71">
        <v>0.33333333333333331</v>
      </c>
      <c r="C2026">
        <v>11</v>
      </c>
      <c r="D2026">
        <v>0</v>
      </c>
      <c r="E2026">
        <v>11</v>
      </c>
      <c r="F2026">
        <v>52</v>
      </c>
    </row>
    <row r="2027" spans="1:6" x14ac:dyDescent="0.35">
      <c r="A2027" s="8">
        <v>42134</v>
      </c>
      <c r="B2027" s="71">
        <v>0.375</v>
      </c>
      <c r="C2027">
        <v>13.7</v>
      </c>
      <c r="D2027">
        <v>0</v>
      </c>
      <c r="E2027">
        <v>70</v>
      </c>
      <c r="F2027">
        <v>126</v>
      </c>
    </row>
    <row r="2028" spans="1:6" x14ac:dyDescent="0.35">
      <c r="A2028" s="8">
        <v>42134</v>
      </c>
      <c r="B2028" s="71">
        <v>0.41666666666666669</v>
      </c>
      <c r="C2028">
        <v>16.2</v>
      </c>
      <c r="D2028">
        <v>0</v>
      </c>
      <c r="E2028">
        <v>211</v>
      </c>
      <c r="F2028">
        <v>170</v>
      </c>
    </row>
    <row r="2029" spans="1:6" x14ac:dyDescent="0.35">
      <c r="A2029" s="8">
        <v>42134</v>
      </c>
      <c r="B2029" s="71">
        <v>0.45833333333333331</v>
      </c>
      <c r="C2029">
        <v>18.5</v>
      </c>
      <c r="D2029">
        <v>0</v>
      </c>
      <c r="E2029">
        <v>447</v>
      </c>
      <c r="F2029">
        <v>142</v>
      </c>
    </row>
    <row r="2030" spans="1:6" x14ac:dyDescent="0.35">
      <c r="A2030" s="8">
        <v>42134</v>
      </c>
      <c r="B2030" s="71">
        <v>0.5</v>
      </c>
      <c r="C2030">
        <v>20.5</v>
      </c>
      <c r="D2030">
        <v>0</v>
      </c>
      <c r="E2030">
        <v>642</v>
      </c>
      <c r="F2030">
        <v>114</v>
      </c>
    </row>
    <row r="2031" spans="1:6" x14ac:dyDescent="0.35">
      <c r="A2031" s="8">
        <v>42134</v>
      </c>
      <c r="B2031" s="71">
        <v>0.54166666666666663</v>
      </c>
      <c r="C2031">
        <v>22.3</v>
      </c>
      <c r="D2031">
        <v>0</v>
      </c>
      <c r="E2031">
        <v>752</v>
      </c>
      <c r="F2031">
        <v>113</v>
      </c>
    </row>
    <row r="2032" spans="1:6" x14ac:dyDescent="0.35">
      <c r="A2032" s="8">
        <v>42134</v>
      </c>
      <c r="B2032" s="71">
        <v>0.58333333333333337</v>
      </c>
      <c r="C2032">
        <v>23.9</v>
      </c>
      <c r="D2032">
        <v>0</v>
      </c>
      <c r="E2032">
        <v>804</v>
      </c>
      <c r="F2032">
        <v>115</v>
      </c>
    </row>
    <row r="2033" spans="1:6" x14ac:dyDescent="0.35">
      <c r="A2033" s="8">
        <v>42134</v>
      </c>
      <c r="B2033" s="71">
        <v>0.625</v>
      </c>
      <c r="C2033">
        <v>25.2</v>
      </c>
      <c r="D2033">
        <v>0</v>
      </c>
      <c r="E2033">
        <v>803</v>
      </c>
      <c r="F2033">
        <v>115</v>
      </c>
    </row>
    <row r="2034" spans="1:6" x14ac:dyDescent="0.35">
      <c r="A2034" s="8">
        <v>42134</v>
      </c>
      <c r="B2034" s="71">
        <v>0.66666666666666663</v>
      </c>
      <c r="C2034">
        <v>26.2</v>
      </c>
      <c r="D2034">
        <v>0</v>
      </c>
      <c r="E2034">
        <v>749</v>
      </c>
      <c r="F2034">
        <v>111</v>
      </c>
    </row>
    <row r="2035" spans="1:6" x14ac:dyDescent="0.35">
      <c r="A2035" s="8">
        <v>42134</v>
      </c>
      <c r="B2035" s="71">
        <v>0.70833333333333337</v>
      </c>
      <c r="C2035">
        <v>26.8</v>
      </c>
      <c r="D2035">
        <v>0</v>
      </c>
      <c r="E2035">
        <v>647</v>
      </c>
      <c r="F2035">
        <v>105</v>
      </c>
    </row>
    <row r="2036" spans="1:6" x14ac:dyDescent="0.35">
      <c r="A2036" s="8">
        <v>42134</v>
      </c>
      <c r="B2036" s="71">
        <v>0.75</v>
      </c>
      <c r="C2036">
        <v>27</v>
      </c>
      <c r="D2036">
        <v>0</v>
      </c>
      <c r="E2036">
        <v>501</v>
      </c>
      <c r="F2036">
        <v>98</v>
      </c>
    </row>
    <row r="2037" spans="1:6" x14ac:dyDescent="0.35">
      <c r="A2037" s="8">
        <v>42134</v>
      </c>
      <c r="B2037" s="71">
        <v>0.79166666666666663</v>
      </c>
      <c r="C2037">
        <v>26.5</v>
      </c>
      <c r="D2037">
        <v>0</v>
      </c>
      <c r="E2037">
        <v>338</v>
      </c>
      <c r="F2037">
        <v>85</v>
      </c>
    </row>
    <row r="2038" spans="1:6" x14ac:dyDescent="0.35">
      <c r="A2038" s="8">
        <v>42134</v>
      </c>
      <c r="B2038" s="71">
        <v>0.83333333333333337</v>
      </c>
      <c r="C2038">
        <v>24.8</v>
      </c>
      <c r="D2038">
        <v>0</v>
      </c>
      <c r="E2038">
        <v>165</v>
      </c>
      <c r="F2038">
        <v>70</v>
      </c>
    </row>
    <row r="2039" spans="1:6" x14ac:dyDescent="0.35">
      <c r="A2039" s="8">
        <v>42134</v>
      </c>
      <c r="B2039" s="71">
        <v>0.875</v>
      </c>
      <c r="C2039">
        <v>22.5</v>
      </c>
      <c r="D2039">
        <v>0</v>
      </c>
      <c r="E2039">
        <v>31</v>
      </c>
      <c r="F2039">
        <v>40</v>
      </c>
    </row>
    <row r="2040" spans="1:6" x14ac:dyDescent="0.35">
      <c r="A2040" s="8">
        <v>42134</v>
      </c>
      <c r="B2040" s="71">
        <v>0.91666666666666663</v>
      </c>
      <c r="C2040">
        <v>20.9</v>
      </c>
      <c r="D2040">
        <v>0</v>
      </c>
      <c r="E2040">
        <v>0</v>
      </c>
      <c r="F2040">
        <v>1</v>
      </c>
    </row>
    <row r="2041" spans="1:6" x14ac:dyDescent="0.35">
      <c r="A2041" s="8">
        <v>42134</v>
      </c>
      <c r="B2041" s="71">
        <v>0.95833333333333337</v>
      </c>
      <c r="C2041">
        <v>19.899999999999999</v>
      </c>
      <c r="D2041">
        <v>0</v>
      </c>
      <c r="E2041">
        <v>0</v>
      </c>
      <c r="F2041">
        <v>0</v>
      </c>
    </row>
    <row r="2042" spans="1:6" x14ac:dyDescent="0.35">
      <c r="A2042" s="8">
        <v>42135</v>
      </c>
      <c r="B2042" s="71">
        <v>0</v>
      </c>
      <c r="C2042">
        <v>18.899999999999999</v>
      </c>
      <c r="D2042">
        <v>0</v>
      </c>
      <c r="E2042">
        <v>0</v>
      </c>
      <c r="F2042">
        <v>0</v>
      </c>
    </row>
    <row r="2043" spans="1:6" x14ac:dyDescent="0.35">
      <c r="A2043" s="8">
        <v>42135</v>
      </c>
      <c r="B2043" s="71">
        <v>4.1666666666666664E-2</v>
      </c>
      <c r="C2043">
        <v>18</v>
      </c>
      <c r="D2043">
        <v>0</v>
      </c>
      <c r="E2043">
        <v>0</v>
      </c>
      <c r="F2043">
        <v>0</v>
      </c>
    </row>
    <row r="2044" spans="1:6" x14ac:dyDescent="0.35">
      <c r="A2044" s="8">
        <v>42135</v>
      </c>
      <c r="B2044" s="71">
        <v>8.3333333333333329E-2</v>
      </c>
      <c r="C2044">
        <v>17.2</v>
      </c>
      <c r="D2044">
        <v>0</v>
      </c>
      <c r="E2044">
        <v>0</v>
      </c>
      <c r="F2044">
        <v>0</v>
      </c>
    </row>
    <row r="2045" spans="1:6" x14ac:dyDescent="0.35">
      <c r="A2045" s="8">
        <v>42135</v>
      </c>
      <c r="B2045" s="71">
        <v>0.125</v>
      </c>
      <c r="C2045">
        <v>16.399999999999999</v>
      </c>
      <c r="D2045">
        <v>0</v>
      </c>
      <c r="E2045">
        <v>0</v>
      </c>
      <c r="F2045">
        <v>0</v>
      </c>
    </row>
    <row r="2046" spans="1:6" x14ac:dyDescent="0.35">
      <c r="A2046" s="8">
        <v>42135</v>
      </c>
      <c r="B2046" s="71">
        <v>0.16666666666666666</v>
      </c>
      <c r="C2046">
        <v>15.7</v>
      </c>
      <c r="D2046">
        <v>0</v>
      </c>
      <c r="E2046">
        <v>0</v>
      </c>
      <c r="F2046">
        <v>0</v>
      </c>
    </row>
    <row r="2047" spans="1:6" x14ac:dyDescent="0.35">
      <c r="A2047" s="8">
        <v>42135</v>
      </c>
      <c r="B2047" s="71">
        <v>0.20833333333333334</v>
      </c>
      <c r="C2047">
        <v>15.1</v>
      </c>
      <c r="D2047">
        <v>0</v>
      </c>
      <c r="E2047">
        <v>0</v>
      </c>
      <c r="F2047">
        <v>0</v>
      </c>
    </row>
    <row r="2048" spans="1:6" x14ac:dyDescent="0.35">
      <c r="A2048" s="8">
        <v>42135</v>
      </c>
      <c r="B2048" s="71">
        <v>0.25</v>
      </c>
      <c r="C2048">
        <v>14.7</v>
      </c>
      <c r="D2048">
        <v>0</v>
      </c>
      <c r="E2048">
        <v>0</v>
      </c>
      <c r="F2048">
        <v>0</v>
      </c>
    </row>
    <row r="2049" spans="1:6" x14ac:dyDescent="0.35">
      <c r="A2049" s="8">
        <v>42135</v>
      </c>
      <c r="B2049" s="71">
        <v>0.29166666666666669</v>
      </c>
      <c r="C2049">
        <v>14.3</v>
      </c>
      <c r="D2049">
        <v>0</v>
      </c>
      <c r="E2049">
        <v>0</v>
      </c>
      <c r="F2049">
        <v>2</v>
      </c>
    </row>
    <row r="2050" spans="1:6" x14ac:dyDescent="0.35">
      <c r="A2050" s="8">
        <v>42135</v>
      </c>
      <c r="B2050" s="71">
        <v>0.33333333333333331</v>
      </c>
      <c r="C2050">
        <v>15.2</v>
      </c>
      <c r="D2050">
        <v>0</v>
      </c>
      <c r="E2050">
        <v>15</v>
      </c>
      <c r="F2050">
        <v>53</v>
      </c>
    </row>
    <row r="2051" spans="1:6" x14ac:dyDescent="0.35">
      <c r="A2051" s="8">
        <v>42135</v>
      </c>
      <c r="B2051" s="71">
        <v>0.375</v>
      </c>
      <c r="C2051">
        <v>17.600000000000001</v>
      </c>
      <c r="D2051">
        <v>0</v>
      </c>
      <c r="E2051">
        <v>99</v>
      </c>
      <c r="F2051">
        <v>108</v>
      </c>
    </row>
    <row r="2052" spans="1:6" x14ac:dyDescent="0.35">
      <c r="A2052" s="8">
        <v>42135</v>
      </c>
      <c r="B2052" s="71">
        <v>0.41666666666666669</v>
      </c>
      <c r="C2052">
        <v>19.600000000000001</v>
      </c>
      <c r="D2052">
        <v>0</v>
      </c>
      <c r="E2052">
        <v>196</v>
      </c>
      <c r="F2052">
        <v>166</v>
      </c>
    </row>
    <row r="2053" spans="1:6" x14ac:dyDescent="0.35">
      <c r="A2053" s="8">
        <v>42135</v>
      </c>
      <c r="B2053" s="71">
        <v>0.45833333333333331</v>
      </c>
      <c r="C2053">
        <v>21.7</v>
      </c>
      <c r="D2053">
        <v>0</v>
      </c>
      <c r="E2053">
        <v>291</v>
      </c>
      <c r="F2053">
        <v>225</v>
      </c>
    </row>
    <row r="2054" spans="1:6" x14ac:dyDescent="0.35">
      <c r="A2054" s="8">
        <v>42135</v>
      </c>
      <c r="B2054" s="71">
        <v>0.5</v>
      </c>
      <c r="C2054">
        <v>23.8</v>
      </c>
      <c r="D2054">
        <v>0</v>
      </c>
      <c r="E2054">
        <v>488</v>
      </c>
      <c r="F2054">
        <v>201</v>
      </c>
    </row>
    <row r="2055" spans="1:6" x14ac:dyDescent="0.35">
      <c r="A2055" s="8">
        <v>42135</v>
      </c>
      <c r="B2055" s="71">
        <v>0.54166666666666663</v>
      </c>
      <c r="C2055">
        <v>25.4</v>
      </c>
      <c r="D2055">
        <v>0</v>
      </c>
      <c r="E2055">
        <v>598</v>
      </c>
      <c r="F2055">
        <v>204</v>
      </c>
    </row>
    <row r="2056" spans="1:6" x14ac:dyDescent="0.35">
      <c r="A2056" s="8">
        <v>42135</v>
      </c>
      <c r="B2056" s="71">
        <v>0.58333333333333337</v>
      </c>
      <c r="C2056">
        <v>26.5</v>
      </c>
      <c r="D2056">
        <v>0</v>
      </c>
      <c r="E2056">
        <v>652</v>
      </c>
      <c r="F2056">
        <v>203</v>
      </c>
    </row>
    <row r="2057" spans="1:6" x14ac:dyDescent="0.35">
      <c r="A2057" s="8">
        <v>42135</v>
      </c>
      <c r="B2057" s="71">
        <v>0.625</v>
      </c>
      <c r="C2057">
        <v>27.1</v>
      </c>
      <c r="D2057">
        <v>0</v>
      </c>
      <c r="E2057">
        <v>667</v>
      </c>
      <c r="F2057">
        <v>195</v>
      </c>
    </row>
    <row r="2058" spans="1:6" x14ac:dyDescent="0.35">
      <c r="A2058" s="8">
        <v>42135</v>
      </c>
      <c r="B2058" s="71">
        <v>0.66666666666666663</v>
      </c>
      <c r="C2058">
        <v>27.2</v>
      </c>
      <c r="D2058">
        <v>0</v>
      </c>
      <c r="E2058">
        <v>644</v>
      </c>
      <c r="F2058">
        <v>168</v>
      </c>
    </row>
    <row r="2059" spans="1:6" x14ac:dyDescent="0.35">
      <c r="A2059" s="8">
        <v>42135</v>
      </c>
      <c r="B2059" s="71">
        <v>0.70833333333333337</v>
      </c>
      <c r="C2059">
        <v>26.8</v>
      </c>
      <c r="D2059">
        <v>0</v>
      </c>
      <c r="E2059">
        <v>555</v>
      </c>
      <c r="F2059">
        <v>156</v>
      </c>
    </row>
    <row r="2060" spans="1:6" x14ac:dyDescent="0.35">
      <c r="A2060" s="8">
        <v>42135</v>
      </c>
      <c r="B2060" s="71">
        <v>0.75</v>
      </c>
      <c r="C2060">
        <v>26.2</v>
      </c>
      <c r="D2060">
        <v>0</v>
      </c>
      <c r="E2060">
        <v>439</v>
      </c>
      <c r="F2060">
        <v>132</v>
      </c>
    </row>
    <row r="2061" spans="1:6" x14ac:dyDescent="0.35">
      <c r="A2061" s="8">
        <v>42135</v>
      </c>
      <c r="B2061" s="71">
        <v>0.79166666666666663</v>
      </c>
      <c r="C2061">
        <v>25.2</v>
      </c>
      <c r="D2061">
        <v>0</v>
      </c>
      <c r="E2061">
        <v>260</v>
      </c>
      <c r="F2061">
        <v>130</v>
      </c>
    </row>
    <row r="2062" spans="1:6" x14ac:dyDescent="0.35">
      <c r="A2062" s="8">
        <v>42135</v>
      </c>
      <c r="B2062" s="71">
        <v>0.83333333333333337</v>
      </c>
      <c r="C2062">
        <v>24</v>
      </c>
      <c r="D2062">
        <v>0</v>
      </c>
      <c r="E2062">
        <v>143</v>
      </c>
      <c r="F2062">
        <v>82</v>
      </c>
    </row>
    <row r="2063" spans="1:6" x14ac:dyDescent="0.35">
      <c r="A2063" s="8">
        <v>42135</v>
      </c>
      <c r="B2063" s="71">
        <v>0.875</v>
      </c>
      <c r="C2063">
        <v>20.5</v>
      </c>
      <c r="D2063">
        <v>0</v>
      </c>
      <c r="E2063">
        <v>29</v>
      </c>
      <c r="F2063">
        <v>42</v>
      </c>
    </row>
    <row r="2064" spans="1:6" x14ac:dyDescent="0.35">
      <c r="A2064" s="8">
        <v>42135</v>
      </c>
      <c r="B2064" s="71">
        <v>0.91666666666666663</v>
      </c>
      <c r="C2064">
        <v>18.8</v>
      </c>
      <c r="D2064">
        <v>0</v>
      </c>
      <c r="E2064">
        <v>0</v>
      </c>
      <c r="F2064">
        <v>2</v>
      </c>
    </row>
    <row r="2065" spans="1:6" x14ac:dyDescent="0.35">
      <c r="A2065" s="8">
        <v>42135</v>
      </c>
      <c r="B2065" s="71">
        <v>0.95833333333333337</v>
      </c>
      <c r="C2065">
        <v>17.5</v>
      </c>
      <c r="D2065">
        <v>0</v>
      </c>
      <c r="E2065">
        <v>0</v>
      </c>
      <c r="F2065">
        <v>0</v>
      </c>
    </row>
    <row r="2066" spans="1:6" x14ac:dyDescent="0.35">
      <c r="A2066" s="8">
        <v>42136</v>
      </c>
      <c r="B2066" s="71">
        <v>0</v>
      </c>
      <c r="C2066">
        <v>16.399999999999999</v>
      </c>
      <c r="D2066">
        <v>0</v>
      </c>
      <c r="E2066">
        <v>0</v>
      </c>
      <c r="F2066">
        <v>0</v>
      </c>
    </row>
    <row r="2067" spans="1:6" x14ac:dyDescent="0.35">
      <c r="A2067" s="8">
        <v>42136</v>
      </c>
      <c r="B2067" s="71">
        <v>4.1666666666666664E-2</v>
      </c>
      <c r="C2067">
        <v>15.3</v>
      </c>
      <c r="D2067">
        <v>0</v>
      </c>
      <c r="E2067">
        <v>0</v>
      </c>
      <c r="F2067">
        <v>0</v>
      </c>
    </row>
    <row r="2068" spans="1:6" x14ac:dyDescent="0.35">
      <c r="A2068" s="8">
        <v>42136</v>
      </c>
      <c r="B2068" s="71">
        <v>8.3333333333333329E-2</v>
      </c>
      <c r="C2068">
        <v>14.9</v>
      </c>
      <c r="D2068">
        <v>0</v>
      </c>
      <c r="E2068">
        <v>0</v>
      </c>
      <c r="F2068">
        <v>0</v>
      </c>
    </row>
    <row r="2069" spans="1:6" x14ac:dyDescent="0.35">
      <c r="A2069" s="8">
        <v>42136</v>
      </c>
      <c r="B2069" s="71">
        <v>0.125</v>
      </c>
      <c r="C2069">
        <v>14.7</v>
      </c>
      <c r="D2069">
        <v>0</v>
      </c>
      <c r="E2069">
        <v>0</v>
      </c>
      <c r="F2069">
        <v>0</v>
      </c>
    </row>
    <row r="2070" spans="1:6" x14ac:dyDescent="0.35">
      <c r="A2070" s="8">
        <v>42136</v>
      </c>
      <c r="B2070" s="71">
        <v>0.16666666666666666</v>
      </c>
      <c r="C2070">
        <v>14.4</v>
      </c>
      <c r="D2070">
        <v>0</v>
      </c>
      <c r="E2070">
        <v>0</v>
      </c>
      <c r="F2070">
        <v>0</v>
      </c>
    </row>
    <row r="2071" spans="1:6" x14ac:dyDescent="0.35">
      <c r="A2071" s="8">
        <v>42136</v>
      </c>
      <c r="B2071" s="71">
        <v>0.20833333333333334</v>
      </c>
      <c r="C2071">
        <v>14.1</v>
      </c>
      <c r="D2071">
        <v>0</v>
      </c>
      <c r="E2071">
        <v>0</v>
      </c>
      <c r="F2071">
        <v>0</v>
      </c>
    </row>
    <row r="2072" spans="1:6" x14ac:dyDescent="0.35">
      <c r="A2072" s="8">
        <v>42136</v>
      </c>
      <c r="B2072" s="71">
        <v>0.25</v>
      </c>
      <c r="C2072">
        <v>14.2</v>
      </c>
      <c r="D2072">
        <v>0</v>
      </c>
      <c r="E2072">
        <v>0</v>
      </c>
      <c r="F2072">
        <v>0</v>
      </c>
    </row>
    <row r="2073" spans="1:6" x14ac:dyDescent="0.35">
      <c r="A2073" s="8">
        <v>42136</v>
      </c>
      <c r="B2073" s="71">
        <v>0.29166666666666669</v>
      </c>
      <c r="C2073">
        <v>14.9</v>
      </c>
      <c r="D2073">
        <v>0</v>
      </c>
      <c r="E2073">
        <v>0</v>
      </c>
      <c r="F2073">
        <v>3</v>
      </c>
    </row>
    <row r="2074" spans="1:6" x14ac:dyDescent="0.35">
      <c r="A2074" s="8">
        <v>42136</v>
      </c>
      <c r="B2074" s="71">
        <v>0.33333333333333331</v>
      </c>
      <c r="C2074">
        <v>15.5</v>
      </c>
      <c r="D2074">
        <v>0</v>
      </c>
      <c r="E2074">
        <v>24</v>
      </c>
      <c r="F2074">
        <v>49</v>
      </c>
    </row>
    <row r="2075" spans="1:6" x14ac:dyDescent="0.35">
      <c r="A2075" s="8">
        <v>42136</v>
      </c>
      <c r="B2075" s="71">
        <v>0.375</v>
      </c>
      <c r="C2075">
        <v>16.100000000000001</v>
      </c>
      <c r="D2075">
        <v>0</v>
      </c>
      <c r="E2075">
        <v>66</v>
      </c>
      <c r="F2075">
        <v>109</v>
      </c>
    </row>
    <row r="2076" spans="1:6" x14ac:dyDescent="0.35">
      <c r="A2076" s="8">
        <v>42136</v>
      </c>
      <c r="B2076" s="71">
        <v>0.41666666666666669</v>
      </c>
      <c r="C2076">
        <v>17.7</v>
      </c>
      <c r="D2076">
        <v>0</v>
      </c>
      <c r="E2076">
        <v>208</v>
      </c>
      <c r="F2076">
        <v>155</v>
      </c>
    </row>
    <row r="2077" spans="1:6" x14ac:dyDescent="0.35">
      <c r="A2077" s="8">
        <v>42136</v>
      </c>
      <c r="B2077" s="71">
        <v>0.45833333333333331</v>
      </c>
      <c r="C2077">
        <v>19.399999999999999</v>
      </c>
      <c r="D2077">
        <v>0</v>
      </c>
      <c r="E2077">
        <v>427</v>
      </c>
      <c r="F2077">
        <v>137</v>
      </c>
    </row>
    <row r="2078" spans="1:6" x14ac:dyDescent="0.35">
      <c r="A2078" s="8">
        <v>42136</v>
      </c>
      <c r="B2078" s="71">
        <v>0.5</v>
      </c>
      <c r="C2078">
        <v>20.7</v>
      </c>
      <c r="D2078">
        <v>0</v>
      </c>
      <c r="E2078">
        <v>536</v>
      </c>
      <c r="F2078">
        <v>147</v>
      </c>
    </row>
    <row r="2079" spans="1:6" x14ac:dyDescent="0.35">
      <c r="A2079" s="8">
        <v>42136</v>
      </c>
      <c r="B2079" s="71">
        <v>0.54166666666666663</v>
      </c>
      <c r="C2079">
        <v>22</v>
      </c>
      <c r="D2079">
        <v>0</v>
      </c>
      <c r="E2079">
        <v>706</v>
      </c>
      <c r="F2079">
        <v>119</v>
      </c>
    </row>
    <row r="2080" spans="1:6" x14ac:dyDescent="0.35">
      <c r="A2080" s="8">
        <v>42136</v>
      </c>
      <c r="B2080" s="71">
        <v>0.58333333333333337</v>
      </c>
      <c r="C2080">
        <v>23.1</v>
      </c>
      <c r="D2080">
        <v>0</v>
      </c>
      <c r="E2080">
        <v>762</v>
      </c>
      <c r="F2080">
        <v>122</v>
      </c>
    </row>
    <row r="2081" spans="1:6" x14ac:dyDescent="0.35">
      <c r="A2081" s="8">
        <v>42136</v>
      </c>
      <c r="B2081" s="71">
        <v>0.625</v>
      </c>
      <c r="C2081">
        <v>23.9</v>
      </c>
      <c r="D2081">
        <v>0</v>
      </c>
      <c r="E2081">
        <v>769</v>
      </c>
      <c r="F2081">
        <v>118</v>
      </c>
    </row>
    <row r="2082" spans="1:6" x14ac:dyDescent="0.35">
      <c r="A2082" s="8">
        <v>42136</v>
      </c>
      <c r="B2082" s="71">
        <v>0.66666666666666663</v>
      </c>
      <c r="C2082">
        <v>24.5</v>
      </c>
      <c r="D2082">
        <v>0</v>
      </c>
      <c r="E2082">
        <v>720</v>
      </c>
      <c r="F2082">
        <v>114</v>
      </c>
    </row>
    <row r="2083" spans="1:6" x14ac:dyDescent="0.35">
      <c r="A2083" s="8">
        <v>42136</v>
      </c>
      <c r="B2083" s="71">
        <v>0.70833333333333337</v>
      </c>
      <c r="C2083">
        <v>24.6</v>
      </c>
      <c r="D2083">
        <v>0</v>
      </c>
      <c r="E2083">
        <v>623</v>
      </c>
      <c r="F2083">
        <v>110</v>
      </c>
    </row>
    <row r="2084" spans="1:6" x14ac:dyDescent="0.35">
      <c r="A2084" s="8">
        <v>42136</v>
      </c>
      <c r="B2084" s="71">
        <v>0.75</v>
      </c>
      <c r="C2084">
        <v>24.5</v>
      </c>
      <c r="D2084">
        <v>0</v>
      </c>
      <c r="E2084">
        <v>480</v>
      </c>
      <c r="F2084">
        <v>106</v>
      </c>
    </row>
    <row r="2085" spans="1:6" x14ac:dyDescent="0.35">
      <c r="A2085" s="8">
        <v>42136</v>
      </c>
      <c r="B2085" s="71">
        <v>0.79166666666666663</v>
      </c>
      <c r="C2085">
        <v>24.1</v>
      </c>
      <c r="D2085">
        <v>0</v>
      </c>
      <c r="E2085">
        <v>317</v>
      </c>
      <c r="F2085">
        <v>96</v>
      </c>
    </row>
    <row r="2086" spans="1:6" x14ac:dyDescent="0.35">
      <c r="A2086" s="8">
        <v>42136</v>
      </c>
      <c r="B2086" s="71">
        <v>0.83333333333333337</v>
      </c>
      <c r="C2086">
        <v>23.2</v>
      </c>
      <c r="D2086">
        <v>0</v>
      </c>
      <c r="E2086">
        <v>156</v>
      </c>
      <c r="F2086">
        <v>76</v>
      </c>
    </row>
    <row r="2087" spans="1:6" x14ac:dyDescent="0.35">
      <c r="A2087" s="8">
        <v>42136</v>
      </c>
      <c r="B2087" s="71">
        <v>0.875</v>
      </c>
      <c r="C2087">
        <v>21.1</v>
      </c>
      <c r="D2087">
        <v>0</v>
      </c>
      <c r="E2087">
        <v>41</v>
      </c>
      <c r="F2087">
        <v>36</v>
      </c>
    </row>
    <row r="2088" spans="1:6" x14ac:dyDescent="0.35">
      <c r="A2088" s="8">
        <v>42136</v>
      </c>
      <c r="B2088" s="71">
        <v>0.91666666666666663</v>
      </c>
      <c r="C2088">
        <v>19.600000000000001</v>
      </c>
      <c r="D2088">
        <v>0</v>
      </c>
      <c r="E2088">
        <v>0</v>
      </c>
      <c r="F2088">
        <v>2</v>
      </c>
    </row>
    <row r="2089" spans="1:6" x14ac:dyDescent="0.35">
      <c r="A2089" s="8">
        <v>42136</v>
      </c>
      <c r="B2089" s="71">
        <v>0.95833333333333337</v>
      </c>
      <c r="C2089">
        <v>18.7</v>
      </c>
      <c r="D2089">
        <v>0</v>
      </c>
      <c r="E2089">
        <v>0</v>
      </c>
      <c r="F2089">
        <v>0</v>
      </c>
    </row>
    <row r="2090" spans="1:6" x14ac:dyDescent="0.35">
      <c r="A2090" s="8">
        <v>42137</v>
      </c>
      <c r="B2090" s="71">
        <v>0</v>
      </c>
      <c r="C2090">
        <v>18</v>
      </c>
      <c r="D2090">
        <v>0</v>
      </c>
      <c r="E2090">
        <v>0</v>
      </c>
      <c r="F2090">
        <v>0</v>
      </c>
    </row>
    <row r="2091" spans="1:6" x14ac:dyDescent="0.35">
      <c r="A2091" s="8">
        <v>42137</v>
      </c>
      <c r="B2091" s="71">
        <v>4.1666666666666664E-2</v>
      </c>
      <c r="C2091">
        <v>17.399999999999999</v>
      </c>
      <c r="D2091">
        <v>0</v>
      </c>
      <c r="E2091">
        <v>0</v>
      </c>
      <c r="F2091">
        <v>0</v>
      </c>
    </row>
    <row r="2092" spans="1:6" x14ac:dyDescent="0.35">
      <c r="A2092" s="8">
        <v>42137</v>
      </c>
      <c r="B2092" s="71">
        <v>8.3333333333333329E-2</v>
      </c>
      <c r="C2092">
        <v>17.2</v>
      </c>
      <c r="D2092">
        <v>0</v>
      </c>
      <c r="E2092">
        <v>0</v>
      </c>
      <c r="F2092">
        <v>0</v>
      </c>
    </row>
    <row r="2093" spans="1:6" x14ac:dyDescent="0.35">
      <c r="A2093" s="8">
        <v>42137</v>
      </c>
      <c r="B2093" s="71">
        <v>0.125</v>
      </c>
      <c r="C2093">
        <v>17.100000000000001</v>
      </c>
      <c r="D2093">
        <v>0</v>
      </c>
      <c r="E2093">
        <v>0</v>
      </c>
      <c r="F2093">
        <v>0</v>
      </c>
    </row>
    <row r="2094" spans="1:6" x14ac:dyDescent="0.35">
      <c r="A2094" s="8">
        <v>42137</v>
      </c>
      <c r="B2094" s="71">
        <v>0.16666666666666666</v>
      </c>
      <c r="C2094">
        <v>17.100000000000001</v>
      </c>
      <c r="D2094">
        <v>0</v>
      </c>
      <c r="E2094">
        <v>0</v>
      </c>
      <c r="F2094">
        <v>0</v>
      </c>
    </row>
    <row r="2095" spans="1:6" x14ac:dyDescent="0.35">
      <c r="A2095" s="8">
        <v>42137</v>
      </c>
      <c r="B2095" s="71">
        <v>0.20833333333333334</v>
      </c>
      <c r="C2095">
        <v>16.899999999999999</v>
      </c>
      <c r="D2095">
        <v>0</v>
      </c>
      <c r="E2095">
        <v>0</v>
      </c>
      <c r="F2095">
        <v>0</v>
      </c>
    </row>
    <row r="2096" spans="1:6" x14ac:dyDescent="0.35">
      <c r="A2096" s="8">
        <v>42137</v>
      </c>
      <c r="B2096" s="71">
        <v>0.25</v>
      </c>
      <c r="C2096">
        <v>16.5</v>
      </c>
      <c r="D2096">
        <v>0</v>
      </c>
      <c r="E2096">
        <v>0</v>
      </c>
      <c r="F2096">
        <v>0</v>
      </c>
    </row>
    <row r="2097" spans="1:6" x14ac:dyDescent="0.35">
      <c r="A2097" s="8">
        <v>42137</v>
      </c>
      <c r="B2097" s="71">
        <v>0.29166666666666669</v>
      </c>
      <c r="C2097">
        <v>16.399999999999999</v>
      </c>
      <c r="D2097">
        <v>0</v>
      </c>
      <c r="E2097">
        <v>1</v>
      </c>
      <c r="F2097">
        <v>2</v>
      </c>
    </row>
    <row r="2098" spans="1:6" x14ac:dyDescent="0.35">
      <c r="A2098" s="8">
        <v>42137</v>
      </c>
      <c r="B2098" s="71">
        <v>0.33333333333333331</v>
      </c>
      <c r="C2098">
        <v>17.5</v>
      </c>
      <c r="D2098">
        <v>0</v>
      </c>
      <c r="E2098">
        <v>45</v>
      </c>
      <c r="F2098">
        <v>38</v>
      </c>
    </row>
    <row r="2099" spans="1:6" x14ac:dyDescent="0.35">
      <c r="A2099" s="8">
        <v>42137</v>
      </c>
      <c r="B2099" s="71">
        <v>0.375</v>
      </c>
      <c r="C2099">
        <v>20.6</v>
      </c>
      <c r="D2099">
        <v>0</v>
      </c>
      <c r="E2099">
        <v>90</v>
      </c>
      <c r="F2099">
        <v>114</v>
      </c>
    </row>
    <row r="2100" spans="1:6" x14ac:dyDescent="0.35">
      <c r="A2100" s="8">
        <v>42137</v>
      </c>
      <c r="B2100" s="71">
        <v>0.41666666666666669</v>
      </c>
      <c r="C2100">
        <v>22.2</v>
      </c>
      <c r="D2100">
        <v>0</v>
      </c>
      <c r="E2100">
        <v>292</v>
      </c>
      <c r="F2100">
        <v>116</v>
      </c>
    </row>
    <row r="2101" spans="1:6" x14ac:dyDescent="0.35">
      <c r="A2101" s="8">
        <v>42137</v>
      </c>
      <c r="B2101" s="71">
        <v>0.45833333333333331</v>
      </c>
      <c r="C2101">
        <v>22.5</v>
      </c>
      <c r="D2101">
        <v>0</v>
      </c>
      <c r="E2101">
        <v>483</v>
      </c>
      <c r="F2101">
        <v>108</v>
      </c>
    </row>
    <row r="2102" spans="1:6" x14ac:dyDescent="0.35">
      <c r="A2102" s="8">
        <v>42137</v>
      </c>
      <c r="B2102" s="71">
        <v>0.5</v>
      </c>
      <c r="C2102">
        <v>22.8</v>
      </c>
      <c r="D2102">
        <v>0</v>
      </c>
      <c r="E2102">
        <v>621</v>
      </c>
      <c r="F2102">
        <v>113</v>
      </c>
    </row>
    <row r="2103" spans="1:6" x14ac:dyDescent="0.35">
      <c r="A2103" s="8">
        <v>42137</v>
      </c>
      <c r="B2103" s="71">
        <v>0.54166666666666663</v>
      </c>
      <c r="C2103">
        <v>23.5</v>
      </c>
      <c r="D2103">
        <v>0</v>
      </c>
      <c r="E2103">
        <v>726</v>
      </c>
      <c r="F2103">
        <v>115</v>
      </c>
    </row>
    <row r="2104" spans="1:6" x14ac:dyDescent="0.35">
      <c r="A2104" s="8">
        <v>42137</v>
      </c>
      <c r="B2104" s="71">
        <v>0.58333333333333337</v>
      </c>
      <c r="C2104">
        <v>24.2</v>
      </c>
      <c r="D2104">
        <v>0</v>
      </c>
      <c r="E2104">
        <v>772</v>
      </c>
      <c r="F2104">
        <v>123</v>
      </c>
    </row>
    <row r="2105" spans="1:6" x14ac:dyDescent="0.35">
      <c r="A2105" s="8">
        <v>42137</v>
      </c>
      <c r="B2105" s="71">
        <v>0.625</v>
      </c>
      <c r="C2105">
        <v>24.3</v>
      </c>
      <c r="D2105">
        <v>0</v>
      </c>
      <c r="E2105">
        <v>760</v>
      </c>
      <c r="F2105">
        <v>132</v>
      </c>
    </row>
    <row r="2106" spans="1:6" x14ac:dyDescent="0.35">
      <c r="A2106" s="8">
        <v>42137</v>
      </c>
      <c r="B2106" s="71">
        <v>0.66666666666666663</v>
      </c>
      <c r="C2106">
        <v>24</v>
      </c>
      <c r="D2106">
        <v>0</v>
      </c>
      <c r="E2106">
        <v>734</v>
      </c>
      <c r="F2106">
        <v>113</v>
      </c>
    </row>
    <row r="2107" spans="1:6" x14ac:dyDescent="0.35">
      <c r="A2107" s="8">
        <v>42137</v>
      </c>
      <c r="B2107" s="71">
        <v>0.70833333333333337</v>
      </c>
      <c r="C2107">
        <v>23.4</v>
      </c>
      <c r="D2107">
        <v>0</v>
      </c>
      <c r="E2107">
        <v>630</v>
      </c>
      <c r="F2107">
        <v>111</v>
      </c>
    </row>
    <row r="2108" spans="1:6" x14ac:dyDescent="0.35">
      <c r="A2108" s="8">
        <v>42137</v>
      </c>
      <c r="B2108" s="71">
        <v>0.75</v>
      </c>
      <c r="C2108">
        <v>22.7</v>
      </c>
      <c r="D2108">
        <v>0</v>
      </c>
      <c r="E2108">
        <v>487</v>
      </c>
      <c r="F2108">
        <v>107</v>
      </c>
    </row>
    <row r="2109" spans="1:6" x14ac:dyDescent="0.35">
      <c r="A2109" s="8">
        <v>42137</v>
      </c>
      <c r="B2109" s="71">
        <v>0.79166666666666663</v>
      </c>
      <c r="C2109">
        <v>21.6</v>
      </c>
      <c r="D2109">
        <v>0</v>
      </c>
      <c r="E2109">
        <v>267</v>
      </c>
      <c r="F2109">
        <v>129</v>
      </c>
    </row>
    <row r="2110" spans="1:6" x14ac:dyDescent="0.35">
      <c r="A2110" s="8">
        <v>42137</v>
      </c>
      <c r="B2110" s="71">
        <v>0.83333333333333337</v>
      </c>
      <c r="C2110">
        <v>20.3</v>
      </c>
      <c r="D2110">
        <v>0</v>
      </c>
      <c r="E2110">
        <v>98</v>
      </c>
      <c r="F2110">
        <v>111</v>
      </c>
    </row>
    <row r="2111" spans="1:6" x14ac:dyDescent="0.35">
      <c r="A2111" s="8">
        <v>42137</v>
      </c>
      <c r="B2111" s="71">
        <v>0.875</v>
      </c>
      <c r="C2111">
        <v>17.3</v>
      </c>
      <c r="D2111">
        <v>0</v>
      </c>
      <c r="E2111">
        <v>20</v>
      </c>
      <c r="F2111">
        <v>50</v>
      </c>
    </row>
    <row r="2112" spans="1:6" x14ac:dyDescent="0.35">
      <c r="A2112" s="8">
        <v>42137</v>
      </c>
      <c r="B2112" s="71">
        <v>0.91666666666666663</v>
      </c>
      <c r="C2112">
        <v>16.3</v>
      </c>
      <c r="D2112">
        <v>0</v>
      </c>
      <c r="E2112">
        <v>0</v>
      </c>
      <c r="F2112">
        <v>2</v>
      </c>
    </row>
    <row r="2113" spans="1:6" x14ac:dyDescent="0.35">
      <c r="A2113" s="8">
        <v>42137</v>
      </c>
      <c r="B2113" s="71">
        <v>0.95833333333333337</v>
      </c>
      <c r="C2113">
        <v>15.4</v>
      </c>
      <c r="D2113">
        <v>0</v>
      </c>
      <c r="E2113">
        <v>0</v>
      </c>
      <c r="F2113">
        <v>0</v>
      </c>
    </row>
    <row r="2114" spans="1:6" x14ac:dyDescent="0.35">
      <c r="A2114" s="8">
        <v>42138</v>
      </c>
      <c r="B2114" s="71">
        <v>0</v>
      </c>
      <c r="C2114">
        <v>14.6</v>
      </c>
      <c r="D2114">
        <v>0</v>
      </c>
      <c r="E2114">
        <v>0</v>
      </c>
      <c r="F2114">
        <v>0</v>
      </c>
    </row>
    <row r="2115" spans="1:6" x14ac:dyDescent="0.35">
      <c r="A2115" s="8">
        <v>42138</v>
      </c>
      <c r="B2115" s="71">
        <v>4.1666666666666664E-2</v>
      </c>
      <c r="C2115">
        <v>13.9</v>
      </c>
      <c r="D2115">
        <v>0</v>
      </c>
      <c r="E2115">
        <v>0</v>
      </c>
      <c r="F2115">
        <v>0</v>
      </c>
    </row>
    <row r="2116" spans="1:6" x14ac:dyDescent="0.35">
      <c r="A2116" s="8">
        <v>42138</v>
      </c>
      <c r="B2116" s="71">
        <v>8.3333333333333329E-2</v>
      </c>
      <c r="C2116">
        <v>13.3</v>
      </c>
      <c r="D2116">
        <v>0</v>
      </c>
      <c r="E2116">
        <v>0</v>
      </c>
      <c r="F2116">
        <v>0</v>
      </c>
    </row>
    <row r="2117" spans="1:6" x14ac:dyDescent="0.35">
      <c r="A2117" s="8">
        <v>42138</v>
      </c>
      <c r="B2117" s="71">
        <v>0.125</v>
      </c>
      <c r="C2117">
        <v>13.3</v>
      </c>
      <c r="D2117">
        <v>0</v>
      </c>
      <c r="E2117">
        <v>0</v>
      </c>
      <c r="F2117">
        <v>0</v>
      </c>
    </row>
    <row r="2118" spans="1:6" x14ac:dyDescent="0.35">
      <c r="A2118" s="8">
        <v>42138</v>
      </c>
      <c r="B2118" s="71">
        <v>0.16666666666666666</v>
      </c>
      <c r="C2118">
        <v>13.5</v>
      </c>
      <c r="D2118">
        <v>0</v>
      </c>
      <c r="E2118">
        <v>0</v>
      </c>
      <c r="F2118">
        <v>0</v>
      </c>
    </row>
    <row r="2119" spans="1:6" x14ac:dyDescent="0.35">
      <c r="A2119" s="8">
        <v>42138</v>
      </c>
      <c r="B2119" s="71">
        <v>0.20833333333333334</v>
      </c>
      <c r="C2119">
        <v>13</v>
      </c>
      <c r="D2119">
        <v>0</v>
      </c>
      <c r="E2119">
        <v>0</v>
      </c>
      <c r="F2119">
        <v>0</v>
      </c>
    </row>
    <row r="2120" spans="1:6" x14ac:dyDescent="0.35">
      <c r="A2120" s="8">
        <v>42138</v>
      </c>
      <c r="B2120" s="71">
        <v>0.25</v>
      </c>
      <c r="C2120">
        <v>12.7</v>
      </c>
      <c r="D2120">
        <v>0</v>
      </c>
      <c r="E2120">
        <v>0</v>
      </c>
      <c r="F2120">
        <v>0</v>
      </c>
    </row>
    <row r="2121" spans="1:6" x14ac:dyDescent="0.35">
      <c r="A2121" s="8">
        <v>42138</v>
      </c>
      <c r="B2121" s="71">
        <v>0.29166666666666669</v>
      </c>
      <c r="C2121">
        <v>12.5</v>
      </c>
      <c r="D2121">
        <v>0</v>
      </c>
      <c r="E2121">
        <v>1</v>
      </c>
      <c r="F2121">
        <v>2</v>
      </c>
    </row>
    <row r="2122" spans="1:6" x14ac:dyDescent="0.35">
      <c r="A2122" s="8">
        <v>42138</v>
      </c>
      <c r="B2122" s="71">
        <v>0.33333333333333331</v>
      </c>
      <c r="C2122">
        <v>13</v>
      </c>
      <c r="D2122">
        <v>0</v>
      </c>
      <c r="E2122">
        <v>41</v>
      </c>
      <c r="F2122">
        <v>42</v>
      </c>
    </row>
    <row r="2123" spans="1:6" x14ac:dyDescent="0.35">
      <c r="A2123" s="8">
        <v>42138</v>
      </c>
      <c r="B2123" s="71">
        <v>0.375</v>
      </c>
      <c r="C2123">
        <v>14.8</v>
      </c>
      <c r="D2123">
        <v>0</v>
      </c>
      <c r="E2123">
        <v>4</v>
      </c>
      <c r="F2123">
        <v>118</v>
      </c>
    </row>
    <row r="2124" spans="1:6" x14ac:dyDescent="0.35">
      <c r="A2124" s="8">
        <v>42138</v>
      </c>
      <c r="B2124" s="71">
        <v>0.41666666666666669</v>
      </c>
      <c r="C2124">
        <v>15.8</v>
      </c>
      <c r="D2124">
        <v>0</v>
      </c>
      <c r="E2124">
        <v>42</v>
      </c>
      <c r="F2124">
        <v>169</v>
      </c>
    </row>
    <row r="2125" spans="1:6" x14ac:dyDescent="0.35">
      <c r="A2125" s="8">
        <v>42138</v>
      </c>
      <c r="B2125" s="71">
        <v>0.45833333333333331</v>
      </c>
      <c r="C2125">
        <v>16.899999999999999</v>
      </c>
      <c r="D2125">
        <v>0</v>
      </c>
      <c r="E2125">
        <v>38</v>
      </c>
      <c r="F2125">
        <v>219</v>
      </c>
    </row>
    <row r="2126" spans="1:6" x14ac:dyDescent="0.35">
      <c r="A2126" s="8">
        <v>42138</v>
      </c>
      <c r="B2126" s="71">
        <v>0.5</v>
      </c>
      <c r="C2126">
        <v>17.2</v>
      </c>
      <c r="D2126">
        <v>0</v>
      </c>
      <c r="E2126">
        <v>27</v>
      </c>
      <c r="F2126">
        <v>203</v>
      </c>
    </row>
    <row r="2127" spans="1:6" x14ac:dyDescent="0.35">
      <c r="A2127" s="8">
        <v>42138</v>
      </c>
      <c r="B2127" s="71">
        <v>0.54166666666666663</v>
      </c>
      <c r="C2127">
        <v>17.100000000000001</v>
      </c>
      <c r="D2127">
        <v>0</v>
      </c>
      <c r="E2127">
        <v>92</v>
      </c>
      <c r="F2127">
        <v>214</v>
      </c>
    </row>
    <row r="2128" spans="1:6" x14ac:dyDescent="0.35">
      <c r="A2128" s="8">
        <v>42138</v>
      </c>
      <c r="B2128" s="71">
        <v>0.58333333333333337</v>
      </c>
      <c r="C2128">
        <v>16.399999999999999</v>
      </c>
      <c r="D2128">
        <v>0</v>
      </c>
      <c r="E2128">
        <v>59</v>
      </c>
      <c r="F2128">
        <v>240</v>
      </c>
    </row>
    <row r="2129" spans="1:6" x14ac:dyDescent="0.35">
      <c r="A2129" s="8">
        <v>42138</v>
      </c>
      <c r="B2129" s="71">
        <v>0.625</v>
      </c>
      <c r="C2129">
        <v>15.8</v>
      </c>
      <c r="D2129">
        <v>0</v>
      </c>
      <c r="E2129">
        <v>0</v>
      </c>
      <c r="F2129">
        <v>175</v>
      </c>
    </row>
    <row r="2130" spans="1:6" x14ac:dyDescent="0.35">
      <c r="A2130" s="8">
        <v>42138</v>
      </c>
      <c r="B2130" s="71">
        <v>0.66666666666666663</v>
      </c>
      <c r="C2130">
        <v>15.6</v>
      </c>
      <c r="D2130">
        <v>0</v>
      </c>
      <c r="E2130">
        <v>1</v>
      </c>
      <c r="F2130">
        <v>142</v>
      </c>
    </row>
    <row r="2131" spans="1:6" x14ac:dyDescent="0.35">
      <c r="A2131" s="8">
        <v>42138</v>
      </c>
      <c r="B2131" s="71">
        <v>0.70833333333333337</v>
      </c>
      <c r="C2131">
        <v>15.9</v>
      </c>
      <c r="D2131">
        <v>0</v>
      </c>
      <c r="E2131">
        <v>114</v>
      </c>
      <c r="F2131">
        <v>180</v>
      </c>
    </row>
    <row r="2132" spans="1:6" x14ac:dyDescent="0.35">
      <c r="A2132" s="8">
        <v>42138</v>
      </c>
      <c r="B2132" s="71">
        <v>0.75</v>
      </c>
      <c r="C2132">
        <v>15.8</v>
      </c>
      <c r="D2132">
        <v>0</v>
      </c>
      <c r="E2132">
        <v>208</v>
      </c>
      <c r="F2132">
        <v>132</v>
      </c>
    </row>
    <row r="2133" spans="1:6" x14ac:dyDescent="0.35">
      <c r="A2133" s="8">
        <v>42138</v>
      </c>
      <c r="B2133" s="71">
        <v>0.79166666666666663</v>
      </c>
      <c r="C2133">
        <v>15.1</v>
      </c>
      <c r="D2133">
        <v>0</v>
      </c>
      <c r="E2133">
        <v>142</v>
      </c>
      <c r="F2133">
        <v>91</v>
      </c>
    </row>
    <row r="2134" spans="1:6" x14ac:dyDescent="0.35">
      <c r="A2134" s="8">
        <v>42138</v>
      </c>
      <c r="B2134" s="71">
        <v>0.83333333333333337</v>
      </c>
      <c r="C2134">
        <v>14.4</v>
      </c>
      <c r="D2134">
        <v>0.1</v>
      </c>
      <c r="E2134">
        <v>126</v>
      </c>
      <c r="F2134">
        <v>69</v>
      </c>
    </row>
    <row r="2135" spans="1:6" x14ac:dyDescent="0.35">
      <c r="A2135" s="8">
        <v>42138</v>
      </c>
      <c r="B2135" s="71">
        <v>0.875</v>
      </c>
      <c r="C2135">
        <v>13.5</v>
      </c>
      <c r="D2135">
        <v>0</v>
      </c>
      <c r="E2135">
        <v>33</v>
      </c>
      <c r="F2135">
        <v>31</v>
      </c>
    </row>
    <row r="2136" spans="1:6" x14ac:dyDescent="0.35">
      <c r="A2136" s="8">
        <v>42138</v>
      </c>
      <c r="B2136" s="71">
        <v>0.91666666666666663</v>
      </c>
      <c r="C2136">
        <v>12.7</v>
      </c>
      <c r="D2136">
        <v>0</v>
      </c>
      <c r="E2136">
        <v>0</v>
      </c>
      <c r="F2136">
        <v>2</v>
      </c>
    </row>
    <row r="2137" spans="1:6" x14ac:dyDescent="0.35">
      <c r="A2137" s="8">
        <v>42138</v>
      </c>
      <c r="B2137" s="71">
        <v>0.95833333333333337</v>
      </c>
      <c r="C2137">
        <v>11.5</v>
      </c>
      <c r="D2137">
        <v>0.2</v>
      </c>
      <c r="E2137">
        <v>0</v>
      </c>
      <c r="F2137">
        <v>0</v>
      </c>
    </row>
    <row r="2138" spans="1:6" x14ac:dyDescent="0.35">
      <c r="A2138" s="8">
        <v>42139</v>
      </c>
      <c r="B2138" s="71">
        <v>0</v>
      </c>
      <c r="C2138">
        <v>10.6</v>
      </c>
      <c r="D2138">
        <v>0.7</v>
      </c>
      <c r="E2138">
        <v>0</v>
      </c>
      <c r="F2138">
        <v>0</v>
      </c>
    </row>
    <row r="2139" spans="1:6" x14ac:dyDescent="0.35">
      <c r="A2139" s="8">
        <v>42139</v>
      </c>
      <c r="B2139" s="71">
        <v>4.1666666666666664E-2</v>
      </c>
      <c r="C2139">
        <v>10.6</v>
      </c>
      <c r="D2139">
        <v>1.4</v>
      </c>
      <c r="E2139">
        <v>0</v>
      </c>
      <c r="F2139">
        <v>0</v>
      </c>
    </row>
    <row r="2140" spans="1:6" x14ac:dyDescent="0.35">
      <c r="A2140" s="8">
        <v>42139</v>
      </c>
      <c r="B2140" s="71">
        <v>8.3333333333333329E-2</v>
      </c>
      <c r="C2140">
        <v>10.3</v>
      </c>
      <c r="D2140">
        <v>1</v>
      </c>
      <c r="E2140">
        <v>0</v>
      </c>
      <c r="F2140">
        <v>0</v>
      </c>
    </row>
    <row r="2141" spans="1:6" x14ac:dyDescent="0.35">
      <c r="A2141" s="8">
        <v>42139</v>
      </c>
      <c r="B2141" s="71">
        <v>0.125</v>
      </c>
      <c r="C2141">
        <v>10.7</v>
      </c>
      <c r="D2141">
        <v>0.2</v>
      </c>
      <c r="E2141">
        <v>0</v>
      </c>
      <c r="F2141">
        <v>0</v>
      </c>
    </row>
    <row r="2142" spans="1:6" x14ac:dyDescent="0.35">
      <c r="A2142" s="8">
        <v>42139</v>
      </c>
      <c r="B2142" s="71">
        <v>0.16666666666666666</v>
      </c>
      <c r="C2142">
        <v>11.1</v>
      </c>
      <c r="D2142">
        <v>0.2</v>
      </c>
      <c r="E2142">
        <v>0</v>
      </c>
      <c r="F2142">
        <v>0</v>
      </c>
    </row>
    <row r="2143" spans="1:6" x14ac:dyDescent="0.35">
      <c r="A2143" s="8">
        <v>42139</v>
      </c>
      <c r="B2143" s="71">
        <v>0.20833333333333334</v>
      </c>
      <c r="C2143">
        <v>11.4</v>
      </c>
      <c r="D2143">
        <v>0.4</v>
      </c>
      <c r="E2143">
        <v>0</v>
      </c>
      <c r="F2143">
        <v>0</v>
      </c>
    </row>
    <row r="2144" spans="1:6" x14ac:dyDescent="0.35">
      <c r="A2144" s="8">
        <v>42139</v>
      </c>
      <c r="B2144" s="71">
        <v>0.25</v>
      </c>
      <c r="C2144">
        <v>11.5</v>
      </c>
      <c r="D2144">
        <v>0.3</v>
      </c>
      <c r="E2144">
        <v>0</v>
      </c>
      <c r="F2144">
        <v>0</v>
      </c>
    </row>
    <row r="2145" spans="1:6" x14ac:dyDescent="0.35">
      <c r="A2145" s="8">
        <v>42139</v>
      </c>
      <c r="B2145" s="71">
        <v>0.29166666666666669</v>
      </c>
      <c r="C2145">
        <v>11.3</v>
      </c>
      <c r="D2145">
        <v>0.2</v>
      </c>
      <c r="E2145">
        <v>0</v>
      </c>
      <c r="F2145">
        <v>3</v>
      </c>
    </row>
    <row r="2146" spans="1:6" x14ac:dyDescent="0.35">
      <c r="A2146" s="8">
        <v>42139</v>
      </c>
      <c r="B2146" s="71">
        <v>0.33333333333333331</v>
      </c>
      <c r="C2146">
        <v>11.4</v>
      </c>
      <c r="D2146">
        <v>0</v>
      </c>
      <c r="E2146">
        <v>39</v>
      </c>
      <c r="F2146">
        <v>38</v>
      </c>
    </row>
    <row r="2147" spans="1:6" x14ac:dyDescent="0.35">
      <c r="A2147" s="8">
        <v>42139</v>
      </c>
      <c r="B2147" s="71">
        <v>0.375</v>
      </c>
      <c r="C2147">
        <v>11.8</v>
      </c>
      <c r="D2147">
        <v>0</v>
      </c>
      <c r="E2147">
        <v>108</v>
      </c>
      <c r="F2147">
        <v>76</v>
      </c>
    </row>
    <row r="2148" spans="1:6" x14ac:dyDescent="0.35">
      <c r="A2148" s="8">
        <v>42139</v>
      </c>
      <c r="B2148" s="71">
        <v>0.41666666666666669</v>
      </c>
      <c r="C2148">
        <v>12.5</v>
      </c>
      <c r="D2148">
        <v>0</v>
      </c>
      <c r="E2148">
        <v>264</v>
      </c>
      <c r="F2148">
        <v>96</v>
      </c>
    </row>
    <row r="2149" spans="1:6" x14ac:dyDescent="0.35">
      <c r="A2149" s="8">
        <v>42139</v>
      </c>
      <c r="B2149" s="71">
        <v>0.45833333333333331</v>
      </c>
      <c r="C2149">
        <v>13.3</v>
      </c>
      <c r="D2149">
        <v>0.1</v>
      </c>
      <c r="E2149">
        <v>351</v>
      </c>
      <c r="F2149">
        <v>108</v>
      </c>
    </row>
    <row r="2150" spans="1:6" x14ac:dyDescent="0.35">
      <c r="A2150" s="8">
        <v>42139</v>
      </c>
      <c r="B2150" s="71">
        <v>0.5</v>
      </c>
      <c r="C2150">
        <v>14.4</v>
      </c>
      <c r="D2150">
        <v>0.1</v>
      </c>
      <c r="E2150">
        <v>430</v>
      </c>
      <c r="F2150">
        <v>154</v>
      </c>
    </row>
    <row r="2151" spans="1:6" x14ac:dyDescent="0.35">
      <c r="A2151" s="8">
        <v>42139</v>
      </c>
      <c r="B2151" s="71">
        <v>0.54166666666666663</v>
      </c>
      <c r="C2151">
        <v>15.3</v>
      </c>
      <c r="D2151">
        <v>0</v>
      </c>
      <c r="E2151">
        <v>372</v>
      </c>
      <c r="F2151">
        <v>220</v>
      </c>
    </row>
    <row r="2152" spans="1:6" x14ac:dyDescent="0.35">
      <c r="A2152" s="8">
        <v>42139</v>
      </c>
      <c r="B2152" s="71">
        <v>0.58333333333333337</v>
      </c>
      <c r="C2152">
        <v>15.6</v>
      </c>
      <c r="D2152">
        <v>0</v>
      </c>
      <c r="E2152">
        <v>299</v>
      </c>
      <c r="F2152">
        <v>222</v>
      </c>
    </row>
    <row r="2153" spans="1:6" x14ac:dyDescent="0.35">
      <c r="A2153" s="8">
        <v>42139</v>
      </c>
      <c r="B2153" s="71">
        <v>0.625</v>
      </c>
      <c r="C2153">
        <v>15.9</v>
      </c>
      <c r="D2153">
        <v>0</v>
      </c>
      <c r="E2153">
        <v>207</v>
      </c>
      <c r="F2153">
        <v>279</v>
      </c>
    </row>
    <row r="2154" spans="1:6" x14ac:dyDescent="0.35">
      <c r="A2154" s="8">
        <v>42139</v>
      </c>
      <c r="B2154" s="71">
        <v>0.66666666666666663</v>
      </c>
      <c r="C2154">
        <v>16.2</v>
      </c>
      <c r="D2154">
        <v>0</v>
      </c>
      <c r="E2154">
        <v>177</v>
      </c>
      <c r="F2154">
        <v>275</v>
      </c>
    </row>
    <row r="2155" spans="1:6" x14ac:dyDescent="0.35">
      <c r="A2155" s="8">
        <v>42139</v>
      </c>
      <c r="B2155" s="71">
        <v>0.70833333333333337</v>
      </c>
      <c r="C2155">
        <v>15.8</v>
      </c>
      <c r="D2155">
        <v>0</v>
      </c>
      <c r="E2155">
        <v>24</v>
      </c>
      <c r="F2155">
        <v>269</v>
      </c>
    </row>
    <row r="2156" spans="1:6" x14ac:dyDescent="0.35">
      <c r="A2156" s="8">
        <v>42139</v>
      </c>
      <c r="B2156" s="71">
        <v>0.75</v>
      </c>
      <c r="C2156">
        <v>15.9</v>
      </c>
      <c r="D2156">
        <v>0</v>
      </c>
      <c r="E2156">
        <v>135</v>
      </c>
      <c r="F2156">
        <v>216</v>
      </c>
    </row>
    <row r="2157" spans="1:6" x14ac:dyDescent="0.35">
      <c r="A2157" s="8">
        <v>42139</v>
      </c>
      <c r="B2157" s="71">
        <v>0.79166666666666663</v>
      </c>
      <c r="C2157">
        <v>15.5</v>
      </c>
      <c r="D2157">
        <v>0</v>
      </c>
      <c r="E2157">
        <v>72</v>
      </c>
      <c r="F2157">
        <v>162</v>
      </c>
    </row>
    <row r="2158" spans="1:6" x14ac:dyDescent="0.35">
      <c r="A2158" s="8">
        <v>42139</v>
      </c>
      <c r="B2158" s="71">
        <v>0.83333333333333337</v>
      </c>
      <c r="C2158">
        <v>14.9</v>
      </c>
      <c r="D2158">
        <v>0</v>
      </c>
      <c r="E2158">
        <v>19</v>
      </c>
      <c r="F2158">
        <v>80</v>
      </c>
    </row>
    <row r="2159" spans="1:6" x14ac:dyDescent="0.35">
      <c r="A2159" s="8">
        <v>42139</v>
      </c>
      <c r="B2159" s="71">
        <v>0.875</v>
      </c>
      <c r="C2159">
        <v>14.3</v>
      </c>
      <c r="D2159">
        <v>0</v>
      </c>
      <c r="E2159">
        <v>13</v>
      </c>
      <c r="F2159">
        <v>33</v>
      </c>
    </row>
    <row r="2160" spans="1:6" x14ac:dyDescent="0.35">
      <c r="A2160" s="8">
        <v>42139</v>
      </c>
      <c r="B2160" s="71">
        <v>0.91666666666666663</v>
      </c>
      <c r="C2160">
        <v>13.7</v>
      </c>
      <c r="D2160">
        <v>0</v>
      </c>
      <c r="E2160">
        <v>0</v>
      </c>
      <c r="F2160">
        <v>2</v>
      </c>
    </row>
    <row r="2161" spans="1:6" x14ac:dyDescent="0.35">
      <c r="A2161" s="8">
        <v>42139</v>
      </c>
      <c r="B2161" s="71">
        <v>0.95833333333333337</v>
      </c>
      <c r="C2161">
        <v>13.4</v>
      </c>
      <c r="D2161">
        <v>0</v>
      </c>
      <c r="E2161">
        <v>0</v>
      </c>
      <c r="F2161">
        <v>0</v>
      </c>
    </row>
    <row r="2162" spans="1:6" x14ac:dyDescent="0.35">
      <c r="A2162" s="8">
        <v>42140</v>
      </c>
      <c r="B2162" s="71">
        <v>0</v>
      </c>
      <c r="C2162">
        <v>13</v>
      </c>
      <c r="D2162">
        <v>0</v>
      </c>
      <c r="E2162">
        <v>0</v>
      </c>
      <c r="F2162">
        <v>0</v>
      </c>
    </row>
    <row r="2163" spans="1:6" x14ac:dyDescent="0.35">
      <c r="A2163" s="8">
        <v>42140</v>
      </c>
      <c r="B2163" s="71">
        <v>4.1666666666666664E-2</v>
      </c>
      <c r="C2163">
        <v>12.9</v>
      </c>
      <c r="D2163">
        <v>0</v>
      </c>
      <c r="E2163">
        <v>0</v>
      </c>
      <c r="F2163">
        <v>0</v>
      </c>
    </row>
    <row r="2164" spans="1:6" x14ac:dyDescent="0.35">
      <c r="A2164" s="8">
        <v>42140</v>
      </c>
      <c r="B2164" s="71">
        <v>8.3333333333333329E-2</v>
      </c>
      <c r="C2164">
        <v>13</v>
      </c>
      <c r="D2164">
        <v>0</v>
      </c>
      <c r="E2164">
        <v>0</v>
      </c>
      <c r="F2164">
        <v>0</v>
      </c>
    </row>
    <row r="2165" spans="1:6" x14ac:dyDescent="0.35">
      <c r="A2165" s="8">
        <v>42140</v>
      </c>
      <c r="B2165" s="71">
        <v>0.125</v>
      </c>
      <c r="C2165">
        <v>12.5</v>
      </c>
      <c r="D2165">
        <v>0</v>
      </c>
      <c r="E2165">
        <v>0</v>
      </c>
      <c r="F2165">
        <v>0</v>
      </c>
    </row>
    <row r="2166" spans="1:6" x14ac:dyDescent="0.35">
      <c r="A2166" s="8">
        <v>42140</v>
      </c>
      <c r="B2166" s="71">
        <v>0.16666666666666666</v>
      </c>
      <c r="C2166">
        <v>12.5</v>
      </c>
      <c r="D2166">
        <v>0</v>
      </c>
      <c r="E2166">
        <v>0</v>
      </c>
      <c r="F2166">
        <v>0</v>
      </c>
    </row>
    <row r="2167" spans="1:6" x14ac:dyDescent="0.35">
      <c r="A2167" s="8">
        <v>42140</v>
      </c>
      <c r="B2167" s="71">
        <v>0.20833333333333334</v>
      </c>
      <c r="C2167">
        <v>11.9</v>
      </c>
      <c r="D2167">
        <v>0</v>
      </c>
      <c r="E2167">
        <v>0</v>
      </c>
      <c r="F2167">
        <v>0</v>
      </c>
    </row>
    <row r="2168" spans="1:6" x14ac:dyDescent="0.35">
      <c r="A2168" s="8">
        <v>42140</v>
      </c>
      <c r="B2168" s="71">
        <v>0.25</v>
      </c>
      <c r="C2168">
        <v>11.5</v>
      </c>
      <c r="D2168">
        <v>0</v>
      </c>
      <c r="E2168">
        <v>0</v>
      </c>
      <c r="F2168">
        <v>0</v>
      </c>
    </row>
    <row r="2169" spans="1:6" x14ac:dyDescent="0.35">
      <c r="A2169" s="8">
        <v>42140</v>
      </c>
      <c r="B2169" s="71">
        <v>0.29166666666666669</v>
      </c>
      <c r="C2169">
        <v>11.1</v>
      </c>
      <c r="D2169">
        <v>0</v>
      </c>
      <c r="E2169">
        <v>1</v>
      </c>
      <c r="F2169">
        <v>3</v>
      </c>
    </row>
    <row r="2170" spans="1:6" x14ac:dyDescent="0.35">
      <c r="A2170" s="8">
        <v>42140</v>
      </c>
      <c r="B2170" s="71">
        <v>0.33333333333333331</v>
      </c>
      <c r="C2170">
        <v>12.1</v>
      </c>
      <c r="D2170">
        <v>0</v>
      </c>
      <c r="E2170">
        <v>39</v>
      </c>
      <c r="F2170">
        <v>39</v>
      </c>
    </row>
    <row r="2171" spans="1:6" x14ac:dyDescent="0.35">
      <c r="A2171" s="8">
        <v>42140</v>
      </c>
      <c r="B2171" s="71">
        <v>0.375</v>
      </c>
      <c r="C2171">
        <v>13.6</v>
      </c>
      <c r="D2171">
        <v>0</v>
      </c>
      <c r="E2171">
        <v>110</v>
      </c>
      <c r="F2171">
        <v>72</v>
      </c>
    </row>
    <row r="2172" spans="1:6" x14ac:dyDescent="0.35">
      <c r="A2172" s="8">
        <v>42140</v>
      </c>
      <c r="B2172" s="71">
        <v>0.41666666666666669</v>
      </c>
      <c r="C2172">
        <v>14.8</v>
      </c>
      <c r="D2172">
        <v>0</v>
      </c>
      <c r="E2172">
        <v>163</v>
      </c>
      <c r="F2172">
        <v>120</v>
      </c>
    </row>
    <row r="2173" spans="1:6" x14ac:dyDescent="0.35">
      <c r="A2173" s="8">
        <v>42140</v>
      </c>
      <c r="B2173" s="71">
        <v>0.45833333333333331</v>
      </c>
      <c r="C2173">
        <v>15.3</v>
      </c>
      <c r="D2173">
        <v>0</v>
      </c>
      <c r="E2173">
        <v>122</v>
      </c>
      <c r="F2173">
        <v>159</v>
      </c>
    </row>
    <row r="2174" spans="1:6" x14ac:dyDescent="0.35">
      <c r="A2174" s="8">
        <v>42140</v>
      </c>
      <c r="B2174" s="71">
        <v>0.5</v>
      </c>
      <c r="C2174">
        <v>16.100000000000001</v>
      </c>
      <c r="D2174">
        <v>0</v>
      </c>
      <c r="E2174">
        <v>55</v>
      </c>
      <c r="F2174">
        <v>286</v>
      </c>
    </row>
    <row r="2175" spans="1:6" x14ac:dyDescent="0.35">
      <c r="A2175" s="8">
        <v>42140</v>
      </c>
      <c r="B2175" s="71">
        <v>0.54166666666666663</v>
      </c>
      <c r="C2175">
        <v>16.2</v>
      </c>
      <c r="D2175">
        <v>0</v>
      </c>
      <c r="E2175">
        <v>22</v>
      </c>
      <c r="F2175">
        <v>260</v>
      </c>
    </row>
    <row r="2176" spans="1:6" x14ac:dyDescent="0.35">
      <c r="A2176" s="8">
        <v>42140</v>
      </c>
      <c r="B2176" s="71">
        <v>0.58333333333333337</v>
      </c>
      <c r="C2176">
        <v>16.899999999999999</v>
      </c>
      <c r="D2176">
        <v>0</v>
      </c>
      <c r="E2176">
        <v>106</v>
      </c>
      <c r="F2176">
        <v>277</v>
      </c>
    </row>
    <row r="2177" spans="1:6" x14ac:dyDescent="0.35">
      <c r="A2177" s="8">
        <v>42140</v>
      </c>
      <c r="B2177" s="71">
        <v>0.625</v>
      </c>
      <c r="C2177">
        <v>17.3</v>
      </c>
      <c r="D2177">
        <v>0</v>
      </c>
      <c r="E2177">
        <v>85</v>
      </c>
      <c r="F2177">
        <v>332</v>
      </c>
    </row>
    <row r="2178" spans="1:6" x14ac:dyDescent="0.35">
      <c r="A2178" s="8">
        <v>42140</v>
      </c>
      <c r="B2178" s="71">
        <v>0.66666666666666663</v>
      </c>
      <c r="C2178">
        <v>17.600000000000001</v>
      </c>
      <c r="D2178">
        <v>0</v>
      </c>
      <c r="E2178">
        <v>68</v>
      </c>
      <c r="F2178">
        <v>296</v>
      </c>
    </row>
    <row r="2179" spans="1:6" x14ac:dyDescent="0.35">
      <c r="A2179" s="8">
        <v>42140</v>
      </c>
      <c r="B2179" s="71">
        <v>0.70833333333333337</v>
      </c>
      <c r="C2179">
        <v>17.600000000000001</v>
      </c>
      <c r="D2179">
        <v>0</v>
      </c>
      <c r="E2179">
        <v>34</v>
      </c>
      <c r="F2179">
        <v>278</v>
      </c>
    </row>
    <row r="2180" spans="1:6" x14ac:dyDescent="0.35">
      <c r="A2180" s="8">
        <v>42140</v>
      </c>
      <c r="B2180" s="71">
        <v>0.75</v>
      </c>
      <c r="C2180">
        <v>17.600000000000001</v>
      </c>
      <c r="D2180">
        <v>0</v>
      </c>
      <c r="E2180">
        <v>61</v>
      </c>
      <c r="F2180">
        <v>225</v>
      </c>
    </row>
    <row r="2181" spans="1:6" x14ac:dyDescent="0.35">
      <c r="A2181" s="8">
        <v>42140</v>
      </c>
      <c r="B2181" s="71">
        <v>0.79166666666666663</v>
      </c>
      <c r="C2181">
        <v>17.3</v>
      </c>
      <c r="D2181">
        <v>0</v>
      </c>
      <c r="E2181">
        <v>38</v>
      </c>
      <c r="F2181">
        <v>131</v>
      </c>
    </row>
    <row r="2182" spans="1:6" x14ac:dyDescent="0.35">
      <c r="A2182" s="8">
        <v>42140</v>
      </c>
      <c r="B2182" s="71">
        <v>0.83333333333333337</v>
      </c>
      <c r="C2182">
        <v>16.7</v>
      </c>
      <c r="D2182">
        <v>0</v>
      </c>
      <c r="E2182">
        <v>0</v>
      </c>
      <c r="F2182">
        <v>64</v>
      </c>
    </row>
    <row r="2183" spans="1:6" x14ac:dyDescent="0.35">
      <c r="A2183" s="8">
        <v>42140</v>
      </c>
      <c r="B2183" s="71">
        <v>0.875</v>
      </c>
      <c r="C2183">
        <v>15.5</v>
      </c>
      <c r="D2183">
        <v>0</v>
      </c>
      <c r="E2183">
        <v>0</v>
      </c>
      <c r="F2183">
        <v>12</v>
      </c>
    </row>
    <row r="2184" spans="1:6" x14ac:dyDescent="0.35">
      <c r="A2184" s="8">
        <v>42140</v>
      </c>
      <c r="B2184" s="71">
        <v>0.91666666666666663</v>
      </c>
      <c r="C2184">
        <v>15.2</v>
      </c>
      <c r="D2184">
        <v>0</v>
      </c>
      <c r="E2184">
        <v>0</v>
      </c>
      <c r="F2184">
        <v>1</v>
      </c>
    </row>
    <row r="2185" spans="1:6" x14ac:dyDescent="0.35">
      <c r="A2185" s="8">
        <v>42140</v>
      </c>
      <c r="B2185" s="71">
        <v>0.95833333333333337</v>
      </c>
      <c r="C2185">
        <v>14.9</v>
      </c>
      <c r="D2185">
        <v>0</v>
      </c>
      <c r="E2185">
        <v>0</v>
      </c>
      <c r="F2185">
        <v>0</v>
      </c>
    </row>
    <row r="2186" spans="1:6" x14ac:dyDescent="0.35">
      <c r="A2186" s="8">
        <v>42141</v>
      </c>
      <c r="B2186" s="71">
        <v>0</v>
      </c>
      <c r="C2186">
        <v>14.7</v>
      </c>
      <c r="D2186">
        <v>0</v>
      </c>
      <c r="E2186">
        <v>0</v>
      </c>
      <c r="F2186">
        <v>0</v>
      </c>
    </row>
    <row r="2187" spans="1:6" x14ac:dyDescent="0.35">
      <c r="A2187" s="8">
        <v>42141</v>
      </c>
      <c r="B2187" s="71">
        <v>4.1666666666666664E-2</v>
      </c>
      <c r="C2187">
        <v>14.4</v>
      </c>
      <c r="D2187">
        <v>0</v>
      </c>
      <c r="E2187">
        <v>0</v>
      </c>
      <c r="F2187">
        <v>0</v>
      </c>
    </row>
    <row r="2188" spans="1:6" x14ac:dyDescent="0.35">
      <c r="A2188" s="8">
        <v>42141</v>
      </c>
      <c r="B2188" s="71">
        <v>8.3333333333333329E-2</v>
      </c>
      <c r="C2188">
        <v>14.3</v>
      </c>
      <c r="D2188">
        <v>0</v>
      </c>
      <c r="E2188">
        <v>0</v>
      </c>
      <c r="F2188">
        <v>0</v>
      </c>
    </row>
    <row r="2189" spans="1:6" x14ac:dyDescent="0.35">
      <c r="A2189" s="8">
        <v>42141</v>
      </c>
      <c r="B2189" s="71">
        <v>0.125</v>
      </c>
      <c r="C2189">
        <v>14.2</v>
      </c>
      <c r="D2189">
        <v>0</v>
      </c>
      <c r="E2189">
        <v>0</v>
      </c>
      <c r="F2189">
        <v>0</v>
      </c>
    </row>
    <row r="2190" spans="1:6" x14ac:dyDescent="0.35">
      <c r="A2190" s="8">
        <v>42141</v>
      </c>
      <c r="B2190" s="71">
        <v>0.16666666666666666</v>
      </c>
      <c r="C2190">
        <v>14</v>
      </c>
      <c r="D2190">
        <v>0</v>
      </c>
      <c r="E2190">
        <v>0</v>
      </c>
      <c r="F2190">
        <v>0</v>
      </c>
    </row>
    <row r="2191" spans="1:6" x14ac:dyDescent="0.35">
      <c r="A2191" s="8">
        <v>42141</v>
      </c>
      <c r="B2191" s="71">
        <v>0.20833333333333334</v>
      </c>
      <c r="C2191">
        <v>13.7</v>
      </c>
      <c r="D2191">
        <v>0</v>
      </c>
      <c r="E2191">
        <v>0</v>
      </c>
      <c r="F2191">
        <v>0</v>
      </c>
    </row>
    <row r="2192" spans="1:6" x14ac:dyDescent="0.35">
      <c r="A2192" s="8">
        <v>42141</v>
      </c>
      <c r="B2192" s="71">
        <v>0.25</v>
      </c>
      <c r="C2192">
        <v>13.5</v>
      </c>
      <c r="D2192">
        <v>0</v>
      </c>
      <c r="E2192">
        <v>0</v>
      </c>
      <c r="F2192">
        <v>0</v>
      </c>
    </row>
    <row r="2193" spans="1:6" x14ac:dyDescent="0.35">
      <c r="A2193" s="8">
        <v>42141</v>
      </c>
      <c r="B2193" s="71">
        <v>0.29166666666666669</v>
      </c>
      <c r="C2193">
        <v>13.3</v>
      </c>
      <c r="D2193">
        <v>0</v>
      </c>
      <c r="E2193">
        <v>0</v>
      </c>
      <c r="F2193">
        <v>2</v>
      </c>
    </row>
    <row r="2194" spans="1:6" x14ac:dyDescent="0.35">
      <c r="A2194" s="8">
        <v>42141</v>
      </c>
      <c r="B2194" s="71">
        <v>0.33333333333333331</v>
      </c>
      <c r="C2194">
        <v>13.5</v>
      </c>
      <c r="D2194">
        <v>0</v>
      </c>
      <c r="E2194">
        <v>3</v>
      </c>
      <c r="F2194">
        <v>37</v>
      </c>
    </row>
    <row r="2195" spans="1:6" x14ac:dyDescent="0.35">
      <c r="A2195" s="8">
        <v>42141</v>
      </c>
      <c r="B2195" s="71">
        <v>0.375</v>
      </c>
      <c r="C2195">
        <v>14</v>
      </c>
      <c r="D2195">
        <v>0</v>
      </c>
      <c r="E2195">
        <v>27</v>
      </c>
      <c r="F2195">
        <v>87</v>
      </c>
    </row>
    <row r="2196" spans="1:6" x14ac:dyDescent="0.35">
      <c r="A2196" s="8">
        <v>42141</v>
      </c>
      <c r="B2196" s="71">
        <v>0.41666666666666669</v>
      </c>
      <c r="C2196">
        <v>14.6</v>
      </c>
      <c r="D2196">
        <v>0</v>
      </c>
      <c r="E2196">
        <v>66</v>
      </c>
      <c r="F2196">
        <v>159</v>
      </c>
    </row>
    <row r="2197" spans="1:6" x14ac:dyDescent="0.35">
      <c r="A2197" s="8">
        <v>42141</v>
      </c>
      <c r="B2197" s="71">
        <v>0.45833333333333331</v>
      </c>
      <c r="C2197">
        <v>15.4</v>
      </c>
      <c r="D2197">
        <v>0</v>
      </c>
      <c r="E2197">
        <v>109</v>
      </c>
      <c r="F2197">
        <v>205</v>
      </c>
    </row>
    <row r="2198" spans="1:6" x14ac:dyDescent="0.35">
      <c r="A2198" s="8">
        <v>42141</v>
      </c>
      <c r="B2198" s="71">
        <v>0.5</v>
      </c>
      <c r="C2198">
        <v>16.7</v>
      </c>
      <c r="D2198">
        <v>0</v>
      </c>
      <c r="E2198">
        <v>290</v>
      </c>
      <c r="F2198">
        <v>243</v>
      </c>
    </row>
    <row r="2199" spans="1:6" x14ac:dyDescent="0.35">
      <c r="A2199" s="8">
        <v>42141</v>
      </c>
      <c r="B2199" s="71">
        <v>0.54166666666666663</v>
      </c>
      <c r="C2199">
        <v>17.899999999999999</v>
      </c>
      <c r="D2199">
        <v>0</v>
      </c>
      <c r="E2199">
        <v>526</v>
      </c>
      <c r="F2199">
        <v>192</v>
      </c>
    </row>
    <row r="2200" spans="1:6" x14ac:dyDescent="0.35">
      <c r="A2200" s="8">
        <v>42141</v>
      </c>
      <c r="B2200" s="71">
        <v>0.58333333333333337</v>
      </c>
      <c r="C2200">
        <v>18.899999999999999</v>
      </c>
      <c r="D2200">
        <v>0</v>
      </c>
      <c r="E2200">
        <v>627</v>
      </c>
      <c r="F2200">
        <v>174</v>
      </c>
    </row>
    <row r="2201" spans="1:6" x14ac:dyDescent="0.35">
      <c r="A2201" s="8">
        <v>42141</v>
      </c>
      <c r="B2201" s="71">
        <v>0.625</v>
      </c>
      <c r="C2201">
        <v>19.600000000000001</v>
      </c>
      <c r="D2201">
        <v>0</v>
      </c>
      <c r="E2201">
        <v>603</v>
      </c>
      <c r="F2201">
        <v>199</v>
      </c>
    </row>
    <row r="2202" spans="1:6" x14ac:dyDescent="0.35">
      <c r="A2202" s="8">
        <v>42141</v>
      </c>
      <c r="B2202" s="71">
        <v>0.66666666666666663</v>
      </c>
      <c r="C2202">
        <v>20</v>
      </c>
      <c r="D2202">
        <v>0</v>
      </c>
      <c r="E2202">
        <v>542</v>
      </c>
      <c r="F2202">
        <v>183</v>
      </c>
    </row>
    <row r="2203" spans="1:6" x14ac:dyDescent="0.35">
      <c r="A2203" s="8">
        <v>42141</v>
      </c>
      <c r="B2203" s="71">
        <v>0.70833333333333337</v>
      </c>
      <c r="C2203">
        <v>20.3</v>
      </c>
      <c r="D2203">
        <v>0</v>
      </c>
      <c r="E2203">
        <v>517</v>
      </c>
      <c r="F2203">
        <v>170</v>
      </c>
    </row>
    <row r="2204" spans="1:6" x14ac:dyDescent="0.35">
      <c r="A2204" s="8">
        <v>42141</v>
      </c>
      <c r="B2204" s="71">
        <v>0.75</v>
      </c>
      <c r="C2204">
        <v>20.2</v>
      </c>
      <c r="D2204">
        <v>0</v>
      </c>
      <c r="E2204">
        <v>440</v>
      </c>
      <c r="F2204">
        <v>134</v>
      </c>
    </row>
    <row r="2205" spans="1:6" x14ac:dyDescent="0.35">
      <c r="A2205" s="8">
        <v>42141</v>
      </c>
      <c r="B2205" s="71">
        <v>0.79166666666666663</v>
      </c>
      <c r="C2205">
        <v>19.7</v>
      </c>
      <c r="D2205">
        <v>0</v>
      </c>
      <c r="E2205">
        <v>350</v>
      </c>
      <c r="F2205">
        <v>85</v>
      </c>
    </row>
    <row r="2206" spans="1:6" x14ac:dyDescent="0.35">
      <c r="A2206" s="8">
        <v>42141</v>
      </c>
      <c r="B2206" s="71">
        <v>0.83333333333333337</v>
      </c>
      <c r="C2206">
        <v>19</v>
      </c>
      <c r="D2206">
        <v>0</v>
      </c>
      <c r="E2206">
        <v>184</v>
      </c>
      <c r="F2206">
        <v>69</v>
      </c>
    </row>
    <row r="2207" spans="1:6" x14ac:dyDescent="0.35">
      <c r="A2207" s="8">
        <v>42141</v>
      </c>
      <c r="B2207" s="71">
        <v>0.875</v>
      </c>
      <c r="C2207">
        <v>17.600000000000001</v>
      </c>
      <c r="D2207">
        <v>0</v>
      </c>
      <c r="E2207">
        <v>53</v>
      </c>
      <c r="F2207">
        <v>38</v>
      </c>
    </row>
    <row r="2208" spans="1:6" x14ac:dyDescent="0.35">
      <c r="A2208" s="8">
        <v>42141</v>
      </c>
      <c r="B2208" s="71">
        <v>0.91666666666666663</v>
      </c>
      <c r="C2208">
        <v>15.9</v>
      </c>
      <c r="D2208">
        <v>0</v>
      </c>
      <c r="E2208">
        <v>1</v>
      </c>
      <c r="F2208">
        <v>3</v>
      </c>
    </row>
    <row r="2209" spans="1:6" x14ac:dyDescent="0.35">
      <c r="A2209" s="8">
        <v>42141</v>
      </c>
      <c r="B2209" s="71">
        <v>0.95833333333333337</v>
      </c>
      <c r="C2209">
        <v>14.7</v>
      </c>
      <c r="D2209">
        <v>0</v>
      </c>
      <c r="E2209">
        <v>0</v>
      </c>
      <c r="F2209">
        <v>0</v>
      </c>
    </row>
    <row r="2210" spans="1:6" x14ac:dyDescent="0.35">
      <c r="A2210" s="8">
        <v>42142</v>
      </c>
      <c r="B2210" s="71">
        <v>0</v>
      </c>
      <c r="C2210">
        <v>13.6</v>
      </c>
      <c r="D2210">
        <v>0</v>
      </c>
      <c r="E2210">
        <v>0</v>
      </c>
      <c r="F2210">
        <v>0</v>
      </c>
    </row>
    <row r="2211" spans="1:6" x14ac:dyDescent="0.35">
      <c r="A2211" s="8">
        <v>42142</v>
      </c>
      <c r="B2211" s="71">
        <v>4.1666666666666664E-2</v>
      </c>
      <c r="C2211">
        <v>12.7</v>
      </c>
      <c r="D2211">
        <v>0</v>
      </c>
      <c r="E2211">
        <v>0</v>
      </c>
      <c r="F2211">
        <v>0</v>
      </c>
    </row>
    <row r="2212" spans="1:6" x14ac:dyDescent="0.35">
      <c r="A2212" s="8">
        <v>42142</v>
      </c>
      <c r="B2212" s="71">
        <v>8.3333333333333329E-2</v>
      </c>
      <c r="C2212">
        <v>11.6</v>
      </c>
      <c r="D2212">
        <v>0</v>
      </c>
      <c r="E2212">
        <v>0</v>
      </c>
      <c r="F2212">
        <v>0</v>
      </c>
    </row>
    <row r="2213" spans="1:6" x14ac:dyDescent="0.35">
      <c r="A2213" s="8">
        <v>42142</v>
      </c>
      <c r="B2213" s="71">
        <v>0.125</v>
      </c>
      <c r="C2213">
        <v>10.7</v>
      </c>
      <c r="D2213">
        <v>0</v>
      </c>
      <c r="E2213">
        <v>0</v>
      </c>
      <c r="F2213">
        <v>0</v>
      </c>
    </row>
    <row r="2214" spans="1:6" x14ac:dyDescent="0.35">
      <c r="A2214" s="8">
        <v>42142</v>
      </c>
      <c r="B2214" s="71">
        <v>0.16666666666666666</v>
      </c>
      <c r="C2214">
        <v>10</v>
      </c>
      <c r="D2214">
        <v>0</v>
      </c>
      <c r="E2214">
        <v>0</v>
      </c>
      <c r="F2214">
        <v>0</v>
      </c>
    </row>
    <row r="2215" spans="1:6" x14ac:dyDescent="0.35">
      <c r="A2215" s="8">
        <v>42142</v>
      </c>
      <c r="B2215" s="71">
        <v>0.20833333333333334</v>
      </c>
      <c r="C2215">
        <v>9.4</v>
      </c>
      <c r="D2215">
        <v>0</v>
      </c>
      <c r="E2215">
        <v>0</v>
      </c>
      <c r="F2215">
        <v>0</v>
      </c>
    </row>
    <row r="2216" spans="1:6" x14ac:dyDescent="0.35">
      <c r="A2216" s="8">
        <v>42142</v>
      </c>
      <c r="B2216" s="71">
        <v>0.25</v>
      </c>
      <c r="C2216">
        <v>9</v>
      </c>
      <c r="D2216">
        <v>0</v>
      </c>
      <c r="E2216">
        <v>0</v>
      </c>
      <c r="F2216">
        <v>0</v>
      </c>
    </row>
    <row r="2217" spans="1:6" x14ac:dyDescent="0.35">
      <c r="A2217" s="8">
        <v>42142</v>
      </c>
      <c r="B2217" s="71">
        <v>0.29166666666666669</v>
      </c>
      <c r="C2217">
        <v>9</v>
      </c>
      <c r="D2217">
        <v>0</v>
      </c>
      <c r="E2217">
        <v>1</v>
      </c>
      <c r="F2217">
        <v>5</v>
      </c>
    </row>
    <row r="2218" spans="1:6" x14ac:dyDescent="0.35">
      <c r="A2218" s="8">
        <v>42142</v>
      </c>
      <c r="B2218" s="71">
        <v>0.33333333333333331</v>
      </c>
      <c r="C2218">
        <v>10.8</v>
      </c>
      <c r="D2218">
        <v>0</v>
      </c>
      <c r="E2218">
        <v>58</v>
      </c>
      <c r="F2218">
        <v>41</v>
      </c>
    </row>
    <row r="2219" spans="1:6" x14ac:dyDescent="0.35">
      <c r="A2219" s="8">
        <v>42142</v>
      </c>
      <c r="B2219" s="71">
        <v>0.375</v>
      </c>
      <c r="C2219">
        <v>13.7</v>
      </c>
      <c r="D2219">
        <v>0</v>
      </c>
      <c r="E2219">
        <v>192</v>
      </c>
      <c r="F2219">
        <v>74</v>
      </c>
    </row>
    <row r="2220" spans="1:6" x14ac:dyDescent="0.35">
      <c r="A2220" s="8">
        <v>42142</v>
      </c>
      <c r="B2220" s="71">
        <v>0.41666666666666669</v>
      </c>
      <c r="C2220">
        <v>15.6</v>
      </c>
      <c r="D2220">
        <v>0</v>
      </c>
      <c r="E2220">
        <v>362</v>
      </c>
      <c r="F2220">
        <v>90</v>
      </c>
    </row>
    <row r="2221" spans="1:6" x14ac:dyDescent="0.35">
      <c r="A2221" s="8">
        <v>42142</v>
      </c>
      <c r="B2221" s="71">
        <v>0.45833333333333331</v>
      </c>
      <c r="C2221">
        <v>17.100000000000001</v>
      </c>
      <c r="D2221">
        <v>0</v>
      </c>
      <c r="E2221">
        <v>500</v>
      </c>
      <c r="F2221">
        <v>108</v>
      </c>
    </row>
    <row r="2222" spans="1:6" x14ac:dyDescent="0.35">
      <c r="A2222" s="8">
        <v>42142</v>
      </c>
      <c r="B2222" s="71">
        <v>0.5</v>
      </c>
      <c r="C2222">
        <v>18.399999999999999</v>
      </c>
      <c r="D2222">
        <v>0</v>
      </c>
      <c r="E2222">
        <v>625</v>
      </c>
      <c r="F2222">
        <v>131</v>
      </c>
    </row>
    <row r="2223" spans="1:6" x14ac:dyDescent="0.35">
      <c r="A2223" s="8">
        <v>42142</v>
      </c>
      <c r="B2223" s="71">
        <v>0.54166666666666663</v>
      </c>
      <c r="C2223">
        <v>19.399999999999999</v>
      </c>
      <c r="D2223">
        <v>0</v>
      </c>
      <c r="E2223">
        <v>724</v>
      </c>
      <c r="F2223">
        <v>134</v>
      </c>
    </row>
    <row r="2224" spans="1:6" x14ac:dyDescent="0.35">
      <c r="A2224" s="8">
        <v>42142</v>
      </c>
      <c r="B2224" s="71">
        <v>0.58333333333333337</v>
      </c>
      <c r="C2224">
        <v>20.100000000000001</v>
      </c>
      <c r="D2224">
        <v>0</v>
      </c>
      <c r="E2224">
        <v>785</v>
      </c>
      <c r="F2224">
        <v>131</v>
      </c>
    </row>
    <row r="2225" spans="1:6" x14ac:dyDescent="0.35">
      <c r="A2225" s="8">
        <v>42142</v>
      </c>
      <c r="B2225" s="71">
        <v>0.625</v>
      </c>
      <c r="C2225">
        <v>20.5</v>
      </c>
      <c r="D2225">
        <v>0</v>
      </c>
      <c r="E2225">
        <v>764</v>
      </c>
      <c r="F2225">
        <v>143</v>
      </c>
    </row>
    <row r="2226" spans="1:6" x14ac:dyDescent="0.35">
      <c r="A2226" s="8">
        <v>42142</v>
      </c>
      <c r="B2226" s="71">
        <v>0.66666666666666663</v>
      </c>
      <c r="C2226">
        <v>20.2</v>
      </c>
      <c r="D2226">
        <v>0</v>
      </c>
      <c r="E2226">
        <v>747</v>
      </c>
      <c r="F2226">
        <v>116</v>
      </c>
    </row>
    <row r="2227" spans="1:6" x14ac:dyDescent="0.35">
      <c r="A2227" s="8">
        <v>42142</v>
      </c>
      <c r="B2227" s="71">
        <v>0.70833333333333337</v>
      </c>
      <c r="C2227">
        <v>19.5</v>
      </c>
      <c r="D2227">
        <v>0</v>
      </c>
      <c r="E2227">
        <v>653</v>
      </c>
      <c r="F2227">
        <v>108</v>
      </c>
    </row>
    <row r="2228" spans="1:6" x14ac:dyDescent="0.35">
      <c r="A2228" s="8">
        <v>42142</v>
      </c>
      <c r="B2228" s="71">
        <v>0.75</v>
      </c>
      <c r="C2228">
        <v>18.600000000000001</v>
      </c>
      <c r="D2228">
        <v>0</v>
      </c>
      <c r="E2228">
        <v>519</v>
      </c>
      <c r="F2228">
        <v>97</v>
      </c>
    </row>
    <row r="2229" spans="1:6" x14ac:dyDescent="0.35">
      <c r="A2229" s="8">
        <v>42142</v>
      </c>
      <c r="B2229" s="71">
        <v>0.79166666666666663</v>
      </c>
      <c r="C2229">
        <v>17.5</v>
      </c>
      <c r="D2229">
        <v>0</v>
      </c>
      <c r="E2229">
        <v>361</v>
      </c>
      <c r="F2229">
        <v>84</v>
      </c>
    </row>
    <row r="2230" spans="1:6" x14ac:dyDescent="0.35">
      <c r="A2230" s="8">
        <v>42142</v>
      </c>
      <c r="B2230" s="71">
        <v>0.83333333333333337</v>
      </c>
      <c r="C2230">
        <v>16.2</v>
      </c>
      <c r="D2230">
        <v>0</v>
      </c>
      <c r="E2230">
        <v>186</v>
      </c>
      <c r="F2230">
        <v>72</v>
      </c>
    </row>
    <row r="2231" spans="1:6" x14ac:dyDescent="0.35">
      <c r="A2231" s="8">
        <v>42142</v>
      </c>
      <c r="B2231" s="71">
        <v>0.875</v>
      </c>
      <c r="C2231">
        <v>13.8</v>
      </c>
      <c r="D2231">
        <v>0</v>
      </c>
      <c r="E2231">
        <v>48</v>
      </c>
      <c r="F2231">
        <v>41</v>
      </c>
    </row>
    <row r="2232" spans="1:6" x14ac:dyDescent="0.35">
      <c r="A2232" s="8">
        <v>42142</v>
      </c>
      <c r="B2232" s="71">
        <v>0.91666666666666663</v>
      </c>
      <c r="C2232">
        <v>12.9</v>
      </c>
      <c r="D2232">
        <v>0</v>
      </c>
      <c r="E2232">
        <v>0</v>
      </c>
      <c r="F2232">
        <v>4</v>
      </c>
    </row>
    <row r="2233" spans="1:6" x14ac:dyDescent="0.35">
      <c r="A2233" s="8">
        <v>42142</v>
      </c>
      <c r="B2233" s="71">
        <v>0.95833333333333337</v>
      </c>
      <c r="C2233">
        <v>12.9</v>
      </c>
      <c r="D2233">
        <v>0</v>
      </c>
      <c r="E2233">
        <v>0</v>
      </c>
      <c r="F2233">
        <v>0</v>
      </c>
    </row>
    <row r="2234" spans="1:6" x14ac:dyDescent="0.35">
      <c r="A2234" s="8">
        <v>42143</v>
      </c>
      <c r="B2234" s="71">
        <v>0</v>
      </c>
      <c r="C2234">
        <v>13</v>
      </c>
      <c r="D2234">
        <v>0</v>
      </c>
      <c r="E2234">
        <v>0</v>
      </c>
      <c r="F2234">
        <v>0</v>
      </c>
    </row>
    <row r="2235" spans="1:6" x14ac:dyDescent="0.35">
      <c r="A2235" s="8">
        <v>42143</v>
      </c>
      <c r="B2235" s="71">
        <v>4.1666666666666664E-2</v>
      </c>
      <c r="C2235">
        <v>13.2</v>
      </c>
      <c r="D2235">
        <v>0</v>
      </c>
      <c r="E2235">
        <v>0</v>
      </c>
      <c r="F2235">
        <v>0</v>
      </c>
    </row>
    <row r="2236" spans="1:6" x14ac:dyDescent="0.35">
      <c r="A2236" s="8">
        <v>42143</v>
      </c>
      <c r="B2236" s="71">
        <v>8.3333333333333329E-2</v>
      </c>
      <c r="C2236">
        <v>13.4</v>
      </c>
      <c r="D2236">
        <v>0</v>
      </c>
      <c r="E2236">
        <v>0</v>
      </c>
      <c r="F2236">
        <v>0</v>
      </c>
    </row>
    <row r="2237" spans="1:6" x14ac:dyDescent="0.35">
      <c r="A2237" s="8">
        <v>42143</v>
      </c>
      <c r="B2237" s="71">
        <v>0.125</v>
      </c>
      <c r="C2237">
        <v>13.4</v>
      </c>
      <c r="D2237">
        <v>0</v>
      </c>
      <c r="E2237">
        <v>0</v>
      </c>
      <c r="F2237">
        <v>0</v>
      </c>
    </row>
    <row r="2238" spans="1:6" x14ac:dyDescent="0.35">
      <c r="A2238" s="8">
        <v>42143</v>
      </c>
      <c r="B2238" s="71">
        <v>0.16666666666666666</v>
      </c>
      <c r="C2238">
        <v>13</v>
      </c>
      <c r="D2238">
        <v>0</v>
      </c>
      <c r="E2238">
        <v>0</v>
      </c>
      <c r="F2238">
        <v>0</v>
      </c>
    </row>
    <row r="2239" spans="1:6" x14ac:dyDescent="0.35">
      <c r="A2239" s="8">
        <v>42143</v>
      </c>
      <c r="B2239" s="71">
        <v>0.20833333333333334</v>
      </c>
      <c r="C2239">
        <v>12.4</v>
      </c>
      <c r="D2239">
        <v>0</v>
      </c>
      <c r="E2239">
        <v>0</v>
      </c>
      <c r="F2239">
        <v>0</v>
      </c>
    </row>
    <row r="2240" spans="1:6" x14ac:dyDescent="0.35">
      <c r="A2240" s="8">
        <v>42143</v>
      </c>
      <c r="B2240" s="71">
        <v>0.25</v>
      </c>
      <c r="C2240">
        <v>11.9</v>
      </c>
      <c r="D2240">
        <v>0</v>
      </c>
      <c r="E2240">
        <v>0</v>
      </c>
      <c r="F2240">
        <v>0</v>
      </c>
    </row>
    <row r="2241" spans="1:6" x14ac:dyDescent="0.35">
      <c r="A2241" s="8">
        <v>42143</v>
      </c>
      <c r="B2241" s="71">
        <v>0.29166666666666669</v>
      </c>
      <c r="C2241">
        <v>11.6</v>
      </c>
      <c r="D2241">
        <v>0</v>
      </c>
      <c r="E2241">
        <v>0</v>
      </c>
      <c r="F2241">
        <v>3</v>
      </c>
    </row>
    <row r="2242" spans="1:6" x14ac:dyDescent="0.35">
      <c r="A2242" s="8">
        <v>42143</v>
      </c>
      <c r="B2242" s="71">
        <v>0.33333333333333331</v>
      </c>
      <c r="C2242">
        <v>11.8</v>
      </c>
      <c r="D2242">
        <v>0</v>
      </c>
      <c r="E2242">
        <v>10</v>
      </c>
      <c r="F2242">
        <v>46</v>
      </c>
    </row>
    <row r="2243" spans="1:6" x14ac:dyDescent="0.35">
      <c r="A2243" s="8">
        <v>42143</v>
      </c>
      <c r="B2243" s="71">
        <v>0.375</v>
      </c>
      <c r="C2243">
        <v>12.3</v>
      </c>
      <c r="D2243">
        <v>0</v>
      </c>
      <c r="E2243">
        <v>21</v>
      </c>
      <c r="F2243">
        <v>109</v>
      </c>
    </row>
    <row r="2244" spans="1:6" x14ac:dyDescent="0.35">
      <c r="A2244" s="8">
        <v>42143</v>
      </c>
      <c r="B2244" s="71">
        <v>0.41666666666666669</v>
      </c>
      <c r="C2244">
        <v>13.3</v>
      </c>
      <c r="D2244">
        <v>0</v>
      </c>
      <c r="E2244">
        <v>100</v>
      </c>
      <c r="F2244">
        <v>167</v>
      </c>
    </row>
    <row r="2245" spans="1:6" x14ac:dyDescent="0.35">
      <c r="A2245" s="8">
        <v>42143</v>
      </c>
      <c r="B2245" s="71">
        <v>0.45833333333333331</v>
      </c>
      <c r="C2245">
        <v>14.4</v>
      </c>
      <c r="D2245">
        <v>0</v>
      </c>
      <c r="E2245">
        <v>212</v>
      </c>
      <c r="F2245">
        <v>197</v>
      </c>
    </row>
    <row r="2246" spans="1:6" x14ac:dyDescent="0.35">
      <c r="A2246" s="8">
        <v>42143</v>
      </c>
      <c r="B2246" s="71">
        <v>0.5</v>
      </c>
      <c r="C2246">
        <v>14.5</v>
      </c>
      <c r="D2246">
        <v>0</v>
      </c>
      <c r="E2246">
        <v>60</v>
      </c>
      <c r="F2246">
        <v>260</v>
      </c>
    </row>
    <row r="2247" spans="1:6" x14ac:dyDescent="0.35">
      <c r="A2247" s="8">
        <v>42143</v>
      </c>
      <c r="B2247" s="71">
        <v>0.54166666666666663</v>
      </c>
      <c r="C2247">
        <v>14.9</v>
      </c>
      <c r="D2247">
        <v>0.1</v>
      </c>
      <c r="E2247">
        <v>148</v>
      </c>
      <c r="F2247">
        <v>280</v>
      </c>
    </row>
    <row r="2248" spans="1:6" x14ac:dyDescent="0.35">
      <c r="A2248" s="8">
        <v>42143</v>
      </c>
      <c r="B2248" s="71">
        <v>0.58333333333333337</v>
      </c>
      <c r="C2248">
        <v>15.1</v>
      </c>
      <c r="D2248">
        <v>0</v>
      </c>
      <c r="E2248">
        <v>103</v>
      </c>
      <c r="F2248">
        <v>330</v>
      </c>
    </row>
    <row r="2249" spans="1:6" x14ac:dyDescent="0.35">
      <c r="A2249" s="8">
        <v>42143</v>
      </c>
      <c r="B2249" s="71">
        <v>0.625</v>
      </c>
      <c r="C2249">
        <v>15.1</v>
      </c>
      <c r="D2249">
        <v>0.2</v>
      </c>
      <c r="E2249">
        <v>30</v>
      </c>
      <c r="F2249">
        <v>318</v>
      </c>
    </row>
    <row r="2250" spans="1:6" x14ac:dyDescent="0.35">
      <c r="A2250" s="8">
        <v>42143</v>
      </c>
      <c r="B2250" s="71">
        <v>0.66666666666666663</v>
      </c>
      <c r="C2250">
        <v>15.7</v>
      </c>
      <c r="D2250">
        <v>0</v>
      </c>
      <c r="E2250">
        <v>143</v>
      </c>
      <c r="F2250">
        <v>332</v>
      </c>
    </row>
    <row r="2251" spans="1:6" x14ac:dyDescent="0.35">
      <c r="A2251" s="8">
        <v>42143</v>
      </c>
      <c r="B2251" s="71">
        <v>0.70833333333333337</v>
      </c>
      <c r="C2251">
        <v>15.6</v>
      </c>
      <c r="D2251">
        <v>0</v>
      </c>
      <c r="E2251">
        <v>164</v>
      </c>
      <c r="F2251">
        <v>258</v>
      </c>
    </row>
    <row r="2252" spans="1:6" x14ac:dyDescent="0.35">
      <c r="A2252" s="8">
        <v>42143</v>
      </c>
      <c r="B2252" s="71">
        <v>0.75</v>
      </c>
      <c r="C2252">
        <v>14.9</v>
      </c>
      <c r="D2252">
        <v>0</v>
      </c>
      <c r="E2252">
        <v>114</v>
      </c>
      <c r="F2252">
        <v>179</v>
      </c>
    </row>
    <row r="2253" spans="1:6" x14ac:dyDescent="0.35">
      <c r="A2253" s="8">
        <v>42143</v>
      </c>
      <c r="B2253" s="71">
        <v>0.79166666666666663</v>
      </c>
      <c r="C2253">
        <v>13.7</v>
      </c>
      <c r="D2253">
        <v>0</v>
      </c>
      <c r="E2253">
        <v>48</v>
      </c>
      <c r="F2253">
        <v>87</v>
      </c>
    </row>
    <row r="2254" spans="1:6" x14ac:dyDescent="0.35">
      <c r="A2254" s="8">
        <v>42143</v>
      </c>
      <c r="B2254" s="71">
        <v>0.83333333333333337</v>
      </c>
      <c r="C2254">
        <v>13</v>
      </c>
      <c r="D2254">
        <v>0</v>
      </c>
      <c r="E2254">
        <v>51</v>
      </c>
      <c r="F2254">
        <v>66</v>
      </c>
    </row>
    <row r="2255" spans="1:6" x14ac:dyDescent="0.35">
      <c r="A2255" s="8">
        <v>42143</v>
      </c>
      <c r="B2255" s="71">
        <v>0.875</v>
      </c>
      <c r="C2255">
        <v>12.4</v>
      </c>
      <c r="D2255">
        <v>0</v>
      </c>
      <c r="E2255">
        <v>20</v>
      </c>
      <c r="F2255">
        <v>39</v>
      </c>
    </row>
    <row r="2256" spans="1:6" x14ac:dyDescent="0.35">
      <c r="A2256" s="8">
        <v>42143</v>
      </c>
      <c r="B2256" s="71">
        <v>0.91666666666666663</v>
      </c>
      <c r="C2256">
        <v>11.9</v>
      </c>
      <c r="D2256">
        <v>0</v>
      </c>
      <c r="E2256">
        <v>1</v>
      </c>
      <c r="F2256">
        <v>2</v>
      </c>
    </row>
    <row r="2257" spans="1:6" x14ac:dyDescent="0.35">
      <c r="A2257" s="8">
        <v>42143</v>
      </c>
      <c r="B2257" s="71">
        <v>0.95833333333333337</v>
      </c>
      <c r="C2257">
        <v>11.6</v>
      </c>
      <c r="D2257">
        <v>0</v>
      </c>
      <c r="E2257">
        <v>0</v>
      </c>
      <c r="F2257">
        <v>0</v>
      </c>
    </row>
    <row r="2258" spans="1:6" x14ac:dyDescent="0.35">
      <c r="A2258" s="8">
        <v>42144</v>
      </c>
      <c r="B2258" s="71">
        <v>0</v>
      </c>
      <c r="C2258">
        <v>11.1</v>
      </c>
      <c r="D2258">
        <v>0</v>
      </c>
      <c r="E2258">
        <v>0</v>
      </c>
      <c r="F2258">
        <v>0</v>
      </c>
    </row>
    <row r="2259" spans="1:6" x14ac:dyDescent="0.35">
      <c r="A2259" s="8">
        <v>42144</v>
      </c>
      <c r="B2259" s="71">
        <v>4.1666666666666664E-2</v>
      </c>
      <c r="C2259">
        <v>10.7</v>
      </c>
      <c r="D2259">
        <v>0.2</v>
      </c>
      <c r="E2259">
        <v>0</v>
      </c>
      <c r="F2259">
        <v>0</v>
      </c>
    </row>
    <row r="2260" spans="1:6" x14ac:dyDescent="0.35">
      <c r="A2260" s="8">
        <v>42144</v>
      </c>
      <c r="B2260" s="71">
        <v>8.3333333333333329E-2</v>
      </c>
      <c r="C2260">
        <v>10.4</v>
      </c>
      <c r="D2260">
        <v>0</v>
      </c>
      <c r="E2260">
        <v>0</v>
      </c>
      <c r="F2260">
        <v>0</v>
      </c>
    </row>
    <row r="2261" spans="1:6" x14ac:dyDescent="0.35">
      <c r="A2261" s="8">
        <v>42144</v>
      </c>
      <c r="B2261" s="71">
        <v>0.125</v>
      </c>
      <c r="C2261">
        <v>10.1</v>
      </c>
      <c r="D2261">
        <v>0</v>
      </c>
      <c r="E2261">
        <v>0</v>
      </c>
      <c r="F2261">
        <v>0</v>
      </c>
    </row>
    <row r="2262" spans="1:6" x14ac:dyDescent="0.35">
      <c r="A2262" s="8">
        <v>42144</v>
      </c>
      <c r="B2262" s="71">
        <v>0.16666666666666666</v>
      </c>
      <c r="C2262">
        <v>9.6</v>
      </c>
      <c r="D2262">
        <v>0</v>
      </c>
      <c r="E2262">
        <v>0</v>
      </c>
      <c r="F2262">
        <v>0</v>
      </c>
    </row>
    <row r="2263" spans="1:6" x14ac:dyDescent="0.35">
      <c r="A2263" s="8">
        <v>42144</v>
      </c>
      <c r="B2263" s="71">
        <v>0.20833333333333334</v>
      </c>
      <c r="C2263">
        <v>9.1</v>
      </c>
      <c r="D2263">
        <v>0</v>
      </c>
      <c r="E2263">
        <v>0</v>
      </c>
      <c r="F2263">
        <v>0</v>
      </c>
    </row>
    <row r="2264" spans="1:6" x14ac:dyDescent="0.35">
      <c r="A2264" s="8">
        <v>42144</v>
      </c>
      <c r="B2264" s="71">
        <v>0.25</v>
      </c>
      <c r="C2264">
        <v>9.1999999999999993</v>
      </c>
      <c r="D2264">
        <v>0.1</v>
      </c>
      <c r="E2264">
        <v>0</v>
      </c>
      <c r="F2264">
        <v>0</v>
      </c>
    </row>
    <row r="2265" spans="1:6" x14ac:dyDescent="0.35">
      <c r="A2265" s="8">
        <v>42144</v>
      </c>
      <c r="B2265" s="71">
        <v>0.29166666666666669</v>
      </c>
      <c r="C2265">
        <v>9.1999999999999993</v>
      </c>
      <c r="D2265">
        <v>0</v>
      </c>
      <c r="E2265">
        <v>1</v>
      </c>
      <c r="F2265">
        <v>4</v>
      </c>
    </row>
    <row r="2266" spans="1:6" x14ac:dyDescent="0.35">
      <c r="A2266" s="8">
        <v>42144</v>
      </c>
      <c r="B2266" s="71">
        <v>0.33333333333333331</v>
      </c>
      <c r="C2266">
        <v>10.3</v>
      </c>
      <c r="D2266">
        <v>0</v>
      </c>
      <c r="E2266">
        <v>28</v>
      </c>
      <c r="F2266">
        <v>44</v>
      </c>
    </row>
    <row r="2267" spans="1:6" x14ac:dyDescent="0.35">
      <c r="A2267" s="8">
        <v>42144</v>
      </c>
      <c r="B2267" s="71">
        <v>0.375</v>
      </c>
      <c r="C2267">
        <v>11.5</v>
      </c>
      <c r="D2267">
        <v>0</v>
      </c>
      <c r="E2267">
        <v>142</v>
      </c>
      <c r="F2267">
        <v>72</v>
      </c>
    </row>
    <row r="2268" spans="1:6" x14ac:dyDescent="0.35">
      <c r="A2268" s="8">
        <v>42144</v>
      </c>
      <c r="B2268" s="71">
        <v>0.41666666666666669</v>
      </c>
      <c r="C2268">
        <v>12.6</v>
      </c>
      <c r="D2268">
        <v>0</v>
      </c>
      <c r="E2268">
        <v>261</v>
      </c>
      <c r="F2268">
        <v>128</v>
      </c>
    </row>
    <row r="2269" spans="1:6" x14ac:dyDescent="0.35">
      <c r="A2269" s="8">
        <v>42144</v>
      </c>
      <c r="B2269" s="71">
        <v>0.45833333333333331</v>
      </c>
      <c r="C2269">
        <v>13.6</v>
      </c>
      <c r="D2269">
        <v>0.1</v>
      </c>
      <c r="E2269">
        <v>339</v>
      </c>
      <c r="F2269">
        <v>176</v>
      </c>
    </row>
    <row r="2270" spans="1:6" x14ac:dyDescent="0.35">
      <c r="A2270" s="8">
        <v>42144</v>
      </c>
      <c r="B2270" s="71">
        <v>0.5</v>
      </c>
      <c r="C2270">
        <v>14.6</v>
      </c>
      <c r="D2270">
        <v>0.2</v>
      </c>
      <c r="E2270">
        <v>435</v>
      </c>
      <c r="F2270">
        <v>208</v>
      </c>
    </row>
    <row r="2271" spans="1:6" x14ac:dyDescent="0.35">
      <c r="A2271" s="8">
        <v>42144</v>
      </c>
      <c r="B2271" s="71">
        <v>0.54166666666666663</v>
      </c>
      <c r="C2271">
        <v>15.2</v>
      </c>
      <c r="D2271">
        <v>0.1</v>
      </c>
      <c r="E2271">
        <v>522</v>
      </c>
      <c r="F2271">
        <v>197</v>
      </c>
    </row>
    <row r="2272" spans="1:6" x14ac:dyDescent="0.35">
      <c r="A2272" s="8">
        <v>42144</v>
      </c>
      <c r="B2272" s="71">
        <v>0.58333333333333337</v>
      </c>
      <c r="C2272">
        <v>15.8</v>
      </c>
      <c r="D2272">
        <v>0.1</v>
      </c>
      <c r="E2272">
        <v>574</v>
      </c>
      <c r="F2272">
        <v>193</v>
      </c>
    </row>
    <row r="2273" spans="1:6" x14ac:dyDescent="0.35">
      <c r="A2273" s="8">
        <v>42144</v>
      </c>
      <c r="B2273" s="71">
        <v>0.625</v>
      </c>
      <c r="C2273">
        <v>16</v>
      </c>
      <c r="D2273">
        <v>0.1</v>
      </c>
      <c r="E2273">
        <v>549</v>
      </c>
      <c r="F2273">
        <v>229</v>
      </c>
    </row>
    <row r="2274" spans="1:6" x14ac:dyDescent="0.35">
      <c r="A2274" s="8">
        <v>42144</v>
      </c>
      <c r="B2274" s="71">
        <v>0.66666666666666663</v>
      </c>
      <c r="C2274">
        <v>15</v>
      </c>
      <c r="D2274">
        <v>1</v>
      </c>
      <c r="E2274">
        <v>464</v>
      </c>
      <c r="F2274">
        <v>207</v>
      </c>
    </row>
    <row r="2275" spans="1:6" x14ac:dyDescent="0.35">
      <c r="A2275" s="8">
        <v>42144</v>
      </c>
      <c r="B2275" s="71">
        <v>0.70833333333333337</v>
      </c>
      <c r="C2275">
        <v>15.2</v>
      </c>
      <c r="D2275">
        <v>0.1</v>
      </c>
      <c r="E2275">
        <v>467</v>
      </c>
      <c r="F2275">
        <v>164</v>
      </c>
    </row>
    <row r="2276" spans="1:6" x14ac:dyDescent="0.35">
      <c r="A2276" s="8">
        <v>42144</v>
      </c>
      <c r="B2276" s="71">
        <v>0.75</v>
      </c>
      <c r="C2276">
        <v>15</v>
      </c>
      <c r="D2276">
        <v>0</v>
      </c>
      <c r="E2276">
        <v>332</v>
      </c>
      <c r="F2276">
        <v>153</v>
      </c>
    </row>
    <row r="2277" spans="1:6" x14ac:dyDescent="0.35">
      <c r="A2277" s="8">
        <v>42144</v>
      </c>
      <c r="B2277" s="71">
        <v>0.79166666666666663</v>
      </c>
      <c r="C2277">
        <v>14.6</v>
      </c>
      <c r="D2277">
        <v>0</v>
      </c>
      <c r="E2277">
        <v>234</v>
      </c>
      <c r="F2277">
        <v>117</v>
      </c>
    </row>
    <row r="2278" spans="1:6" x14ac:dyDescent="0.35">
      <c r="A2278" s="8">
        <v>42144</v>
      </c>
      <c r="B2278" s="71">
        <v>0.83333333333333337</v>
      </c>
      <c r="C2278">
        <v>14.1</v>
      </c>
      <c r="D2278">
        <v>0</v>
      </c>
      <c r="E2278">
        <v>146</v>
      </c>
      <c r="F2278">
        <v>70</v>
      </c>
    </row>
    <row r="2279" spans="1:6" x14ac:dyDescent="0.35">
      <c r="A2279" s="8">
        <v>42144</v>
      </c>
      <c r="B2279" s="71">
        <v>0.875</v>
      </c>
      <c r="C2279">
        <v>13.5</v>
      </c>
      <c r="D2279">
        <v>0</v>
      </c>
      <c r="E2279">
        <v>42</v>
      </c>
      <c r="F2279">
        <v>36</v>
      </c>
    </row>
    <row r="2280" spans="1:6" x14ac:dyDescent="0.35">
      <c r="A2280" s="8">
        <v>42144</v>
      </c>
      <c r="B2280" s="71">
        <v>0.91666666666666663</v>
      </c>
      <c r="C2280">
        <v>12.5</v>
      </c>
      <c r="D2280">
        <v>0</v>
      </c>
      <c r="E2280">
        <v>1</v>
      </c>
      <c r="F2280">
        <v>4</v>
      </c>
    </row>
    <row r="2281" spans="1:6" x14ac:dyDescent="0.35">
      <c r="A2281" s="8">
        <v>42144</v>
      </c>
      <c r="B2281" s="71">
        <v>0.95833333333333337</v>
      </c>
      <c r="C2281">
        <v>11.8</v>
      </c>
      <c r="D2281">
        <v>0</v>
      </c>
      <c r="E2281">
        <v>0</v>
      </c>
      <c r="F2281"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C54C5-BD72-4973-8F81-A889F9BCC5AD}">
  <sheetPr codeName="Feuil9">
    <tabColor theme="5"/>
  </sheetPr>
  <dimension ref="A1:D96"/>
  <sheetViews>
    <sheetView workbookViewId="0">
      <selection activeCell="F11" sqref="F11"/>
    </sheetView>
  </sheetViews>
  <sheetFormatPr baseColWidth="10" defaultColWidth="20.54296875" defaultRowHeight="14.5" x14ac:dyDescent="0.35"/>
  <cols>
    <col min="1" max="1" width="28.453125" bestFit="1" customWidth="1"/>
    <col min="4" max="4" width="26.453125" customWidth="1"/>
  </cols>
  <sheetData>
    <row r="1" spans="1:4" x14ac:dyDescent="0.35">
      <c r="A1" t="s">
        <v>39</v>
      </c>
      <c r="B1" t="s">
        <v>73</v>
      </c>
      <c r="C1" t="s">
        <v>74</v>
      </c>
      <c r="D1" t="s">
        <v>75</v>
      </c>
    </row>
    <row r="2" spans="1:4" x14ac:dyDescent="0.35">
      <c r="A2">
        <v>42050</v>
      </c>
      <c r="B2">
        <v>6.1750000000000007</v>
      </c>
      <c r="C2">
        <v>0</v>
      </c>
      <c r="D2">
        <v>2462</v>
      </c>
    </row>
    <row r="3" spans="1:4" x14ac:dyDescent="0.35">
      <c r="A3">
        <v>42051</v>
      </c>
      <c r="B3">
        <v>6.8791666666666655</v>
      </c>
      <c r="C3">
        <v>4</v>
      </c>
      <c r="D3">
        <v>2779</v>
      </c>
    </row>
    <row r="4" spans="1:4" x14ac:dyDescent="0.35">
      <c r="A4">
        <v>42052</v>
      </c>
      <c r="B4">
        <v>7.7416666666666663</v>
      </c>
      <c r="C4">
        <v>1.4</v>
      </c>
      <c r="D4">
        <v>1687</v>
      </c>
    </row>
    <row r="5" spans="1:4" x14ac:dyDescent="0.35">
      <c r="A5">
        <v>42053</v>
      </c>
      <c r="B5">
        <v>7.3083333333333336</v>
      </c>
      <c r="C5">
        <v>0</v>
      </c>
      <c r="D5">
        <v>2021</v>
      </c>
    </row>
    <row r="6" spans="1:4" x14ac:dyDescent="0.35">
      <c r="A6">
        <v>42054</v>
      </c>
      <c r="B6">
        <v>6.4416666666666664</v>
      </c>
      <c r="C6">
        <v>0</v>
      </c>
      <c r="D6">
        <v>3609</v>
      </c>
    </row>
    <row r="7" spans="1:4" x14ac:dyDescent="0.35">
      <c r="A7">
        <v>42055</v>
      </c>
      <c r="B7">
        <v>6.904166666666665</v>
      </c>
      <c r="C7">
        <v>6.4</v>
      </c>
      <c r="D7">
        <v>1666</v>
      </c>
    </row>
    <row r="8" spans="1:4" x14ac:dyDescent="0.35">
      <c r="A8">
        <v>42056</v>
      </c>
      <c r="B8">
        <v>6.5749999999999984</v>
      </c>
      <c r="C8">
        <v>8.3000000000000007</v>
      </c>
      <c r="D8">
        <v>2688</v>
      </c>
    </row>
    <row r="9" spans="1:4" x14ac:dyDescent="0.35">
      <c r="A9">
        <v>42057</v>
      </c>
      <c r="B9">
        <v>5.0458333333333334</v>
      </c>
      <c r="C9">
        <v>0</v>
      </c>
      <c r="D9">
        <v>3656</v>
      </c>
    </row>
    <row r="10" spans="1:4" x14ac:dyDescent="0.35">
      <c r="A10">
        <v>42058</v>
      </c>
      <c r="B10">
        <v>10.183333333333332</v>
      </c>
      <c r="C10">
        <v>2.9</v>
      </c>
      <c r="D10">
        <v>2281</v>
      </c>
    </row>
    <row r="11" spans="1:4" x14ac:dyDescent="0.35">
      <c r="A11">
        <v>42059</v>
      </c>
      <c r="B11">
        <v>6.95</v>
      </c>
      <c r="C11">
        <v>4.2</v>
      </c>
      <c r="D11">
        <v>2698</v>
      </c>
    </row>
    <row r="12" spans="1:4" x14ac:dyDescent="0.35">
      <c r="A12">
        <v>42060</v>
      </c>
      <c r="B12">
        <v>7.8250000000000002</v>
      </c>
      <c r="C12">
        <v>8.5</v>
      </c>
      <c r="D12">
        <v>610</v>
      </c>
    </row>
    <row r="13" spans="1:4" x14ac:dyDescent="0.35">
      <c r="A13">
        <v>42061</v>
      </c>
      <c r="B13">
        <v>10.587500000000004</v>
      </c>
      <c r="C13">
        <v>6.2</v>
      </c>
      <c r="D13">
        <v>856</v>
      </c>
    </row>
    <row r="14" spans="1:4" x14ac:dyDescent="0.35">
      <c r="A14">
        <v>42062</v>
      </c>
      <c r="B14">
        <v>7.8374999999999995</v>
      </c>
      <c r="C14">
        <v>0.2</v>
      </c>
      <c r="D14">
        <v>3580</v>
      </c>
    </row>
    <row r="15" spans="1:4" x14ac:dyDescent="0.35">
      <c r="A15">
        <v>42063</v>
      </c>
      <c r="B15">
        <v>6.2958333333333334</v>
      </c>
      <c r="C15">
        <v>0</v>
      </c>
      <c r="D15">
        <v>542</v>
      </c>
    </row>
    <row r="16" spans="1:4" x14ac:dyDescent="0.35">
      <c r="A16">
        <v>42064</v>
      </c>
      <c r="B16">
        <v>12.095833333333333</v>
      </c>
      <c r="C16">
        <v>5.4</v>
      </c>
      <c r="D16">
        <v>674</v>
      </c>
    </row>
    <row r="17" spans="1:4" x14ac:dyDescent="0.35">
      <c r="A17">
        <v>42065</v>
      </c>
      <c r="B17">
        <v>11.695833333333333</v>
      </c>
      <c r="C17">
        <v>3.2</v>
      </c>
      <c r="D17">
        <v>2186</v>
      </c>
    </row>
    <row r="18" spans="1:4" x14ac:dyDescent="0.35">
      <c r="A18">
        <v>42066</v>
      </c>
      <c r="B18">
        <v>9.3416666666666668</v>
      </c>
      <c r="C18">
        <v>2.6</v>
      </c>
      <c r="D18">
        <v>1443</v>
      </c>
    </row>
    <row r="19" spans="1:4" x14ac:dyDescent="0.35">
      <c r="A19">
        <v>42067</v>
      </c>
      <c r="B19">
        <v>7.720833333333335</v>
      </c>
      <c r="C19">
        <v>2</v>
      </c>
      <c r="D19">
        <v>3900</v>
      </c>
    </row>
    <row r="20" spans="1:4" x14ac:dyDescent="0.35">
      <c r="A20">
        <v>42068</v>
      </c>
      <c r="B20">
        <v>6.0500000000000007</v>
      </c>
      <c r="C20">
        <v>0</v>
      </c>
      <c r="D20">
        <v>4445</v>
      </c>
    </row>
    <row r="21" spans="1:4" x14ac:dyDescent="0.35">
      <c r="A21">
        <v>42069</v>
      </c>
      <c r="B21">
        <v>6.9499999999999993</v>
      </c>
      <c r="C21">
        <v>0</v>
      </c>
      <c r="D21">
        <v>4530</v>
      </c>
    </row>
    <row r="22" spans="1:4" x14ac:dyDescent="0.35">
      <c r="A22">
        <v>42070</v>
      </c>
      <c r="B22">
        <v>8.9999999999999982</v>
      </c>
      <c r="C22">
        <v>0</v>
      </c>
      <c r="D22">
        <v>4589</v>
      </c>
    </row>
    <row r="23" spans="1:4" x14ac:dyDescent="0.35">
      <c r="A23">
        <v>42071</v>
      </c>
      <c r="B23">
        <v>9.5374999999999996</v>
      </c>
      <c r="C23">
        <v>0</v>
      </c>
      <c r="D23">
        <v>4633</v>
      </c>
    </row>
    <row r="24" spans="1:4" x14ac:dyDescent="0.35">
      <c r="A24">
        <v>42072</v>
      </c>
      <c r="B24">
        <v>7.6000000000000005</v>
      </c>
      <c r="C24">
        <v>0</v>
      </c>
      <c r="D24">
        <v>2846</v>
      </c>
    </row>
    <row r="25" spans="1:4" x14ac:dyDescent="0.35">
      <c r="A25">
        <v>42073</v>
      </c>
      <c r="B25">
        <v>8.9666666666666668</v>
      </c>
      <c r="C25">
        <v>0</v>
      </c>
      <c r="D25">
        <v>4240</v>
      </c>
    </row>
    <row r="26" spans="1:4" x14ac:dyDescent="0.35">
      <c r="A26">
        <v>42074</v>
      </c>
      <c r="B26">
        <v>11.725</v>
      </c>
      <c r="C26">
        <v>0</v>
      </c>
      <c r="D26">
        <v>4551</v>
      </c>
    </row>
    <row r="27" spans="1:4" x14ac:dyDescent="0.35">
      <c r="A27">
        <v>42075</v>
      </c>
      <c r="B27">
        <v>10.304166666666667</v>
      </c>
      <c r="C27">
        <v>0</v>
      </c>
      <c r="D27">
        <v>4308</v>
      </c>
    </row>
    <row r="28" spans="1:4" x14ac:dyDescent="0.35">
      <c r="A28">
        <v>42076</v>
      </c>
      <c r="B28">
        <v>9.2500000000000018</v>
      </c>
      <c r="C28">
        <v>1.8</v>
      </c>
      <c r="D28">
        <v>2861</v>
      </c>
    </row>
    <row r="29" spans="1:4" x14ac:dyDescent="0.35">
      <c r="A29">
        <v>42077</v>
      </c>
      <c r="B29">
        <v>7.0041666666666691</v>
      </c>
      <c r="C29">
        <v>0.9</v>
      </c>
      <c r="D29">
        <v>2862</v>
      </c>
    </row>
    <row r="30" spans="1:4" x14ac:dyDescent="0.35">
      <c r="A30">
        <v>42078</v>
      </c>
      <c r="B30">
        <v>7.8166666666666655</v>
      </c>
      <c r="C30">
        <v>0</v>
      </c>
      <c r="D30">
        <v>4128</v>
      </c>
    </row>
    <row r="31" spans="1:4" x14ac:dyDescent="0.35">
      <c r="A31">
        <v>42079</v>
      </c>
      <c r="B31">
        <v>9.3166666666666664</v>
      </c>
      <c r="C31">
        <v>0.4</v>
      </c>
      <c r="D31">
        <v>3654</v>
      </c>
    </row>
    <row r="32" spans="1:4" x14ac:dyDescent="0.35">
      <c r="A32">
        <v>42080</v>
      </c>
      <c r="B32">
        <v>10.241666666666667</v>
      </c>
      <c r="C32">
        <v>0</v>
      </c>
      <c r="D32">
        <v>4897</v>
      </c>
    </row>
    <row r="33" spans="1:4" x14ac:dyDescent="0.35">
      <c r="A33">
        <v>42081</v>
      </c>
      <c r="B33">
        <v>11.854166666666664</v>
      </c>
      <c r="C33">
        <v>0.1</v>
      </c>
      <c r="D33">
        <v>2372</v>
      </c>
    </row>
    <row r="34" spans="1:4" x14ac:dyDescent="0.35">
      <c r="A34">
        <v>42082</v>
      </c>
      <c r="B34">
        <v>12.65</v>
      </c>
      <c r="C34">
        <v>0.3</v>
      </c>
      <c r="D34">
        <v>4255</v>
      </c>
    </row>
    <row r="35" spans="1:4" x14ac:dyDescent="0.35">
      <c r="A35">
        <v>42083</v>
      </c>
      <c r="B35">
        <v>9.6541666666666668</v>
      </c>
      <c r="C35">
        <v>6.2</v>
      </c>
      <c r="D35">
        <v>3513</v>
      </c>
    </row>
    <row r="36" spans="1:4" x14ac:dyDescent="0.35">
      <c r="A36">
        <v>42084</v>
      </c>
      <c r="B36">
        <v>10.858333333333334</v>
      </c>
      <c r="C36">
        <v>2.7</v>
      </c>
      <c r="D36">
        <v>3011</v>
      </c>
    </row>
    <row r="37" spans="1:4" x14ac:dyDescent="0.35">
      <c r="A37">
        <v>42085</v>
      </c>
      <c r="B37">
        <v>8.85</v>
      </c>
      <c r="C37">
        <v>0.2</v>
      </c>
      <c r="D37">
        <v>3769</v>
      </c>
    </row>
    <row r="38" spans="1:4" x14ac:dyDescent="0.35">
      <c r="A38">
        <v>42086</v>
      </c>
      <c r="B38">
        <v>9.8499999999999979</v>
      </c>
      <c r="C38">
        <v>0.5</v>
      </c>
      <c r="D38">
        <v>2456</v>
      </c>
    </row>
    <row r="39" spans="1:4" x14ac:dyDescent="0.35">
      <c r="A39">
        <v>42087</v>
      </c>
      <c r="B39">
        <v>8.7625000000000011</v>
      </c>
      <c r="C39">
        <v>1.6</v>
      </c>
      <c r="D39">
        <v>2184</v>
      </c>
    </row>
    <row r="40" spans="1:4" x14ac:dyDescent="0.35">
      <c r="A40">
        <v>42088</v>
      </c>
      <c r="B40">
        <v>6.3875000000000002</v>
      </c>
      <c r="C40">
        <v>0.7</v>
      </c>
      <c r="D40">
        <v>5172</v>
      </c>
    </row>
    <row r="41" spans="1:4" x14ac:dyDescent="0.35">
      <c r="A41">
        <v>42089</v>
      </c>
      <c r="B41">
        <v>7.1875</v>
      </c>
      <c r="C41">
        <v>0.2</v>
      </c>
      <c r="D41">
        <v>1068</v>
      </c>
    </row>
    <row r="42" spans="1:4" x14ac:dyDescent="0.35">
      <c r="A42">
        <v>42090</v>
      </c>
      <c r="B42">
        <v>9.7791666666666668</v>
      </c>
      <c r="C42">
        <v>0.4</v>
      </c>
      <c r="D42">
        <v>2307</v>
      </c>
    </row>
    <row r="43" spans="1:4" x14ac:dyDescent="0.35">
      <c r="A43">
        <v>42091</v>
      </c>
      <c r="B43">
        <v>11.741666666666665</v>
      </c>
      <c r="C43">
        <v>0</v>
      </c>
      <c r="D43">
        <v>1721</v>
      </c>
    </row>
    <row r="44" spans="1:4" x14ac:dyDescent="0.35">
      <c r="A44">
        <v>42092</v>
      </c>
      <c r="B44">
        <v>12.024999999999999</v>
      </c>
      <c r="C44">
        <v>0.9</v>
      </c>
      <c r="D44">
        <v>1952</v>
      </c>
    </row>
    <row r="45" spans="1:4" x14ac:dyDescent="0.35">
      <c r="A45">
        <v>42093</v>
      </c>
      <c r="B45">
        <v>12.450000000000001</v>
      </c>
      <c r="C45">
        <v>0.3</v>
      </c>
      <c r="D45">
        <v>757</v>
      </c>
    </row>
    <row r="46" spans="1:4" x14ac:dyDescent="0.35">
      <c r="A46">
        <v>42094</v>
      </c>
      <c r="B46">
        <v>12.254166666666665</v>
      </c>
      <c r="C46">
        <v>1.1000000000000001</v>
      </c>
      <c r="D46">
        <v>2508</v>
      </c>
    </row>
    <row r="47" spans="1:4" x14ac:dyDescent="0.35">
      <c r="A47">
        <v>42095</v>
      </c>
      <c r="B47">
        <v>9.8166666666666664</v>
      </c>
      <c r="C47">
        <v>0</v>
      </c>
      <c r="D47">
        <v>2948</v>
      </c>
    </row>
    <row r="48" spans="1:4" x14ac:dyDescent="0.35">
      <c r="A48">
        <v>42096</v>
      </c>
      <c r="B48">
        <v>8.6958333333333311</v>
      </c>
      <c r="C48">
        <v>0</v>
      </c>
      <c r="D48">
        <v>3017</v>
      </c>
    </row>
    <row r="49" spans="1:4" x14ac:dyDescent="0.35">
      <c r="A49">
        <v>42097</v>
      </c>
      <c r="B49">
        <v>9.2250000000000014</v>
      </c>
      <c r="C49">
        <v>0</v>
      </c>
      <c r="D49">
        <v>2101</v>
      </c>
    </row>
    <row r="50" spans="1:4" x14ac:dyDescent="0.35">
      <c r="A50">
        <v>42098</v>
      </c>
      <c r="B50">
        <v>10.8125</v>
      </c>
      <c r="C50">
        <v>0.7</v>
      </c>
      <c r="D50">
        <v>3092</v>
      </c>
    </row>
    <row r="51" spans="1:4" x14ac:dyDescent="0.35">
      <c r="A51">
        <v>42099</v>
      </c>
      <c r="B51">
        <v>10.095833333333333</v>
      </c>
      <c r="C51">
        <v>0</v>
      </c>
      <c r="D51">
        <v>6380</v>
      </c>
    </row>
    <row r="52" spans="1:4" x14ac:dyDescent="0.35">
      <c r="A52">
        <v>42100</v>
      </c>
      <c r="B52">
        <v>10.262499999999999</v>
      </c>
      <c r="C52">
        <v>0</v>
      </c>
      <c r="D52">
        <v>6491</v>
      </c>
    </row>
    <row r="53" spans="1:4" x14ac:dyDescent="0.35">
      <c r="A53">
        <v>42101</v>
      </c>
      <c r="B53">
        <v>11.85</v>
      </c>
      <c r="C53">
        <v>0</v>
      </c>
      <c r="D53">
        <v>6606</v>
      </c>
    </row>
    <row r="54" spans="1:4" x14ac:dyDescent="0.35">
      <c r="A54">
        <v>42102</v>
      </c>
      <c r="B54">
        <v>12.275</v>
      </c>
      <c r="C54">
        <v>0</v>
      </c>
      <c r="D54">
        <v>6616</v>
      </c>
    </row>
    <row r="55" spans="1:4" x14ac:dyDescent="0.35">
      <c r="A55">
        <v>42103</v>
      </c>
      <c r="B55">
        <v>13.304166666666665</v>
      </c>
      <c r="C55">
        <v>0</v>
      </c>
      <c r="D55">
        <v>6298</v>
      </c>
    </row>
    <row r="56" spans="1:4" x14ac:dyDescent="0.35">
      <c r="A56">
        <v>42104</v>
      </c>
      <c r="B56">
        <v>12.887500000000001</v>
      </c>
      <c r="C56">
        <v>1.6</v>
      </c>
      <c r="D56">
        <v>4582</v>
      </c>
    </row>
    <row r="57" spans="1:4" x14ac:dyDescent="0.35">
      <c r="A57">
        <v>42105</v>
      </c>
      <c r="B57">
        <v>12.15</v>
      </c>
      <c r="C57">
        <v>0</v>
      </c>
      <c r="D57">
        <v>3897</v>
      </c>
    </row>
    <row r="58" spans="1:4" x14ac:dyDescent="0.35">
      <c r="A58">
        <v>42106</v>
      </c>
      <c r="B58">
        <v>14.491666666666669</v>
      </c>
      <c r="C58">
        <v>0</v>
      </c>
      <c r="D58">
        <v>6223</v>
      </c>
    </row>
    <row r="59" spans="1:4" x14ac:dyDescent="0.35">
      <c r="A59">
        <v>42107</v>
      </c>
      <c r="B59">
        <v>17.437500000000004</v>
      </c>
      <c r="C59">
        <v>0</v>
      </c>
      <c r="D59">
        <v>6659</v>
      </c>
    </row>
    <row r="60" spans="1:4" x14ac:dyDescent="0.35">
      <c r="A60">
        <v>42108</v>
      </c>
      <c r="B60">
        <v>18.624999999999996</v>
      </c>
      <c r="C60">
        <v>0</v>
      </c>
      <c r="D60">
        <v>6756</v>
      </c>
    </row>
    <row r="61" spans="1:4" x14ac:dyDescent="0.35">
      <c r="A61">
        <v>42109</v>
      </c>
      <c r="B61">
        <v>19.483333333333334</v>
      </c>
      <c r="C61">
        <v>0</v>
      </c>
      <c r="D61">
        <v>6177</v>
      </c>
    </row>
    <row r="62" spans="1:4" x14ac:dyDescent="0.35">
      <c r="A62">
        <v>42110</v>
      </c>
      <c r="B62">
        <v>16.374999999999996</v>
      </c>
      <c r="C62">
        <v>0.6</v>
      </c>
      <c r="D62">
        <v>4057</v>
      </c>
    </row>
    <row r="63" spans="1:4" x14ac:dyDescent="0.35">
      <c r="A63">
        <v>42111</v>
      </c>
      <c r="B63">
        <v>14.41666666666667</v>
      </c>
      <c r="C63">
        <v>0.9</v>
      </c>
      <c r="D63">
        <v>4578</v>
      </c>
    </row>
    <row r="64" spans="1:4" x14ac:dyDescent="0.35">
      <c r="A64">
        <v>42112</v>
      </c>
      <c r="B64">
        <v>13.683333333333332</v>
      </c>
      <c r="C64">
        <v>11.6</v>
      </c>
      <c r="D64">
        <v>4121</v>
      </c>
    </row>
    <row r="65" spans="1:4" x14ac:dyDescent="0.35">
      <c r="A65">
        <v>42113</v>
      </c>
      <c r="B65">
        <v>13.116666666666665</v>
      </c>
      <c r="C65">
        <v>11.2</v>
      </c>
      <c r="D65">
        <v>3223</v>
      </c>
    </row>
    <row r="66" spans="1:4" x14ac:dyDescent="0.35">
      <c r="A66">
        <v>42114</v>
      </c>
      <c r="B66">
        <v>14.108333333333336</v>
      </c>
      <c r="C66">
        <v>0</v>
      </c>
      <c r="D66">
        <v>5042</v>
      </c>
    </row>
    <row r="67" spans="1:4" x14ac:dyDescent="0.35">
      <c r="A67">
        <v>42115</v>
      </c>
      <c r="B67">
        <v>16.420833333333334</v>
      </c>
      <c r="C67">
        <v>0</v>
      </c>
      <c r="D67">
        <v>7179</v>
      </c>
    </row>
    <row r="68" spans="1:4" x14ac:dyDescent="0.35">
      <c r="A68">
        <v>42116</v>
      </c>
      <c r="B68">
        <v>17.033333333333331</v>
      </c>
      <c r="C68">
        <v>0.1</v>
      </c>
      <c r="D68">
        <v>6099</v>
      </c>
    </row>
    <row r="69" spans="1:4" x14ac:dyDescent="0.35">
      <c r="A69">
        <v>42117</v>
      </c>
      <c r="B69">
        <v>15.0625</v>
      </c>
      <c r="C69">
        <v>1.3</v>
      </c>
      <c r="D69">
        <v>3783</v>
      </c>
    </row>
    <row r="70" spans="1:4" x14ac:dyDescent="0.35">
      <c r="A70">
        <v>42118</v>
      </c>
      <c r="B70">
        <v>15.108333333333334</v>
      </c>
      <c r="C70">
        <v>0</v>
      </c>
      <c r="D70">
        <v>5616</v>
      </c>
    </row>
    <row r="71" spans="1:4" x14ac:dyDescent="0.35">
      <c r="A71">
        <v>42119</v>
      </c>
      <c r="B71">
        <v>17.533333333333335</v>
      </c>
      <c r="C71">
        <v>1.6</v>
      </c>
      <c r="D71">
        <v>6367</v>
      </c>
    </row>
    <row r="72" spans="1:4" x14ac:dyDescent="0.35">
      <c r="A72">
        <v>42120</v>
      </c>
      <c r="B72">
        <v>15.866666666666669</v>
      </c>
      <c r="C72">
        <v>10.3</v>
      </c>
      <c r="D72">
        <v>3505</v>
      </c>
    </row>
    <row r="73" spans="1:4" x14ac:dyDescent="0.35">
      <c r="A73">
        <v>42121</v>
      </c>
      <c r="B73">
        <v>14.025000000000004</v>
      </c>
      <c r="C73">
        <v>3.6</v>
      </c>
      <c r="D73">
        <v>4279</v>
      </c>
    </row>
    <row r="74" spans="1:4" x14ac:dyDescent="0.35">
      <c r="A74">
        <v>42122</v>
      </c>
      <c r="B74">
        <v>12.254166666666663</v>
      </c>
      <c r="C74">
        <v>0</v>
      </c>
      <c r="D74">
        <v>4709</v>
      </c>
    </row>
    <row r="75" spans="1:4" x14ac:dyDescent="0.35">
      <c r="A75">
        <v>42123</v>
      </c>
      <c r="B75">
        <v>12.033333333333337</v>
      </c>
      <c r="C75">
        <v>0</v>
      </c>
      <c r="D75">
        <v>6568</v>
      </c>
    </row>
    <row r="76" spans="1:4" x14ac:dyDescent="0.35">
      <c r="A76">
        <v>42124</v>
      </c>
      <c r="B76">
        <v>12.554166666666667</v>
      </c>
      <c r="C76">
        <v>1.1000000000000001</v>
      </c>
      <c r="D76">
        <v>3980</v>
      </c>
    </row>
    <row r="77" spans="1:4" x14ac:dyDescent="0.35">
      <c r="A77">
        <v>42125</v>
      </c>
      <c r="B77">
        <v>14.750000000000002</v>
      </c>
      <c r="C77">
        <v>12</v>
      </c>
      <c r="D77">
        <v>1221</v>
      </c>
    </row>
    <row r="78" spans="1:4" x14ac:dyDescent="0.35">
      <c r="A78">
        <v>42126</v>
      </c>
      <c r="B78">
        <v>15.295833333333334</v>
      </c>
      <c r="C78">
        <v>9.1999999999999993</v>
      </c>
      <c r="D78">
        <v>1414</v>
      </c>
    </row>
    <row r="79" spans="1:4" x14ac:dyDescent="0.35">
      <c r="A79">
        <v>42127</v>
      </c>
      <c r="B79">
        <v>18.158333333333331</v>
      </c>
      <c r="C79">
        <v>1.5</v>
      </c>
      <c r="D79">
        <v>4077</v>
      </c>
    </row>
    <row r="80" spans="1:4" x14ac:dyDescent="0.35">
      <c r="A80">
        <v>42128</v>
      </c>
      <c r="B80">
        <v>19.325000000000003</v>
      </c>
      <c r="C80">
        <v>2.2000000000000002</v>
      </c>
      <c r="D80">
        <v>3500</v>
      </c>
    </row>
    <row r="81" spans="1:4" x14ac:dyDescent="0.35">
      <c r="A81">
        <v>42129</v>
      </c>
      <c r="B81">
        <v>16.091666666666665</v>
      </c>
      <c r="C81">
        <v>0.7</v>
      </c>
      <c r="D81">
        <v>3870</v>
      </c>
    </row>
    <row r="82" spans="1:4" x14ac:dyDescent="0.35">
      <c r="A82">
        <v>42130</v>
      </c>
      <c r="B82">
        <v>13.908333333333333</v>
      </c>
      <c r="C82">
        <v>0</v>
      </c>
      <c r="D82">
        <v>5102</v>
      </c>
    </row>
    <row r="83" spans="1:4" x14ac:dyDescent="0.35">
      <c r="A83">
        <v>42131</v>
      </c>
      <c r="B83">
        <v>14.629166666666665</v>
      </c>
      <c r="C83">
        <v>0.5</v>
      </c>
      <c r="D83">
        <v>6270</v>
      </c>
    </row>
    <row r="84" spans="1:4" x14ac:dyDescent="0.35">
      <c r="A84">
        <v>42132</v>
      </c>
      <c r="B84">
        <v>16.458333333333332</v>
      </c>
      <c r="C84">
        <v>9</v>
      </c>
      <c r="D84">
        <v>6191</v>
      </c>
    </row>
    <row r="85" spans="1:4" x14ac:dyDescent="0.35">
      <c r="A85">
        <v>42133</v>
      </c>
      <c r="B85">
        <v>15.762500000000001</v>
      </c>
      <c r="C85">
        <v>0</v>
      </c>
      <c r="D85">
        <v>4795</v>
      </c>
    </row>
    <row r="86" spans="1:4" x14ac:dyDescent="0.35">
      <c r="A86">
        <v>42134</v>
      </c>
      <c r="B86">
        <v>17.745833333333334</v>
      </c>
      <c r="C86">
        <v>0</v>
      </c>
      <c r="D86">
        <v>7630</v>
      </c>
    </row>
    <row r="87" spans="1:4" x14ac:dyDescent="0.35">
      <c r="A87">
        <v>42135</v>
      </c>
      <c r="B87">
        <v>20.558333333333334</v>
      </c>
      <c r="C87">
        <v>0</v>
      </c>
      <c r="D87">
        <v>7145</v>
      </c>
    </row>
    <row r="88" spans="1:4" x14ac:dyDescent="0.35">
      <c r="A88">
        <v>42136</v>
      </c>
      <c r="B88">
        <v>19.066666666666666</v>
      </c>
      <c r="C88">
        <v>0</v>
      </c>
      <c r="D88">
        <v>7334</v>
      </c>
    </row>
    <row r="89" spans="1:4" x14ac:dyDescent="0.35">
      <c r="A89">
        <v>42137</v>
      </c>
      <c r="B89">
        <v>19.8</v>
      </c>
      <c r="C89">
        <v>0</v>
      </c>
      <c r="D89">
        <v>7510</v>
      </c>
    </row>
    <row r="90" spans="1:4" x14ac:dyDescent="0.35">
      <c r="A90">
        <v>42138</v>
      </c>
      <c r="B90">
        <v>14.512500000000001</v>
      </c>
      <c r="C90">
        <v>0.3</v>
      </c>
      <c r="D90">
        <v>2957</v>
      </c>
    </row>
    <row r="91" spans="1:4" x14ac:dyDescent="0.35">
      <c r="A91">
        <v>42139</v>
      </c>
      <c r="B91">
        <v>13.225</v>
      </c>
      <c r="C91">
        <v>4.5999999999999996</v>
      </c>
      <c r="D91">
        <v>4743</v>
      </c>
    </row>
    <row r="92" spans="1:4" x14ac:dyDescent="0.35">
      <c r="A92">
        <v>42140</v>
      </c>
      <c r="B92">
        <v>14.712499999999999</v>
      </c>
      <c r="C92">
        <v>0</v>
      </c>
      <c r="D92">
        <v>3459</v>
      </c>
    </row>
    <row r="93" spans="1:4" x14ac:dyDescent="0.35">
      <c r="A93">
        <v>42141</v>
      </c>
      <c r="B93">
        <v>16.254166666666666</v>
      </c>
      <c r="C93">
        <v>0</v>
      </c>
      <c r="D93">
        <v>6318</v>
      </c>
    </row>
    <row r="94" spans="1:4" x14ac:dyDescent="0.35">
      <c r="A94">
        <v>42142</v>
      </c>
      <c r="B94">
        <v>14.716666666666663</v>
      </c>
      <c r="C94">
        <v>0</v>
      </c>
      <c r="D94">
        <v>7904</v>
      </c>
    </row>
    <row r="95" spans="1:4" x14ac:dyDescent="0.35">
      <c r="A95">
        <v>42143</v>
      </c>
      <c r="B95">
        <v>13.420833333333333</v>
      </c>
      <c r="C95">
        <v>0.3</v>
      </c>
      <c r="D95">
        <v>3898</v>
      </c>
    </row>
    <row r="96" spans="1:4" x14ac:dyDescent="0.35">
      <c r="A96">
        <v>42144</v>
      </c>
      <c r="B96">
        <v>12.529166666666667</v>
      </c>
      <c r="C96">
        <v>2</v>
      </c>
      <c r="D96">
        <v>6539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uton_MeteoJour_Cliquer">
                <anchor moveWithCells="1" sizeWithCells="1">
                  <from>
                    <xdr:col>4</xdr:col>
                    <xdr:colOff>1428750</xdr:colOff>
                    <xdr:row>0</xdr:row>
                    <xdr:rowOff>158750</xdr:rowOff>
                  </from>
                  <to>
                    <xdr:col>7</xdr:col>
                    <xdr:colOff>6350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DD4A-DA47-4791-8573-8DD92442AE20}">
  <sheetPr codeName="Feuil7">
    <tabColor theme="5"/>
  </sheetPr>
  <dimension ref="A1:M367"/>
  <sheetViews>
    <sheetView workbookViewId="0">
      <pane ySplit="1" topLeftCell="A2" activePane="bottomLeft" state="frozen"/>
      <selection pane="bottomLeft" activeCell="K2" sqref="K2"/>
    </sheetView>
  </sheetViews>
  <sheetFormatPr baseColWidth="10" defaultColWidth="10.81640625" defaultRowHeight="14.5" x14ac:dyDescent="0.35"/>
  <cols>
    <col min="10" max="10" width="15.1796875" customWidth="1"/>
    <col min="11" max="11" width="12" customWidth="1"/>
  </cols>
  <sheetData>
    <row r="1" spans="1:13" ht="15" thickBot="1" x14ac:dyDescent="0.4">
      <c r="A1" s="42" t="s">
        <v>39</v>
      </c>
      <c r="B1" s="43" t="s">
        <v>76</v>
      </c>
      <c r="C1" s="43" t="s">
        <v>77</v>
      </c>
      <c r="D1" s="43" t="s">
        <v>78</v>
      </c>
      <c r="E1" s="43" t="s">
        <v>79</v>
      </c>
      <c r="F1" s="43" t="s">
        <v>80</v>
      </c>
      <c r="G1" s="43"/>
      <c r="H1" s="43" t="s">
        <v>81</v>
      </c>
      <c r="I1" s="43" t="s">
        <v>82</v>
      </c>
      <c r="J1" s="43" t="s">
        <v>83</v>
      </c>
      <c r="K1" s="44" t="s">
        <v>84</v>
      </c>
      <c r="M1" s="4" t="s">
        <v>33</v>
      </c>
    </row>
    <row r="2" spans="1:13" x14ac:dyDescent="0.35">
      <c r="A2" s="5">
        <f>IF(MeteoJ!A2=$BP$5,A1,MeteoJ!A2)</f>
        <v>42050</v>
      </c>
      <c r="B2">
        <f>MeteoJ!D2</f>
        <v>2462</v>
      </c>
      <c r="C2">
        <f>B2*0.000023885*3600</f>
        <v>211.697532</v>
      </c>
      <c r="D2">
        <f>MeteoJ!B2</f>
        <v>6.1750000000000007</v>
      </c>
      <c r="E2">
        <f>0.013*1*(C2+50)*D2/(D2+15)</f>
        <v>0.99210245012042508</v>
      </c>
      <c r="F2">
        <f>E2*M2</f>
        <v>0.49605122506021254</v>
      </c>
      <c r="H2">
        <f>(1-Initialisation!$C$19/100)*C2</f>
        <v>159.990409809</v>
      </c>
      <c r="I2">
        <f>D2</f>
        <v>6.1750000000000007</v>
      </c>
      <c r="J2">
        <f>0.013*1*(H2+50)*I2/(I2+15)</f>
        <v>0.79607934580483952</v>
      </c>
      <c r="K2">
        <f>J2*M2</f>
        <v>0.39803967290241976</v>
      </c>
      <c r="M2">
        <f>IF(ETR!A2&lt;=Initialisation!$C$24,Initialisation!$D$23,IF(ETR!A2&lt;=Initialisation!$C$25,Initialisation!$D$24,IF(ETR!A2&lt;=Initialisation!$C$26,Initialisation!$D$25,IF(ETR!A2&lt;=Initialisation!$C$27,Initialisation!$D$26,IF(ETR!A3&lt;=Initialisation!$C$28,Initialisation!$D$27,IF(ETR!A3&lt;=Initialisation!$C$29,Initialisation!$D$28,0))))))</f>
        <v>0.5</v>
      </c>
    </row>
    <row r="3" spans="1:13" x14ac:dyDescent="0.35">
      <c r="A3" s="5">
        <f>IF(MeteoJ!A3=$BP$5,A2,MeteoJ!A3)</f>
        <v>42051</v>
      </c>
      <c r="B3">
        <f>MeteoJ!D3</f>
        <v>2779</v>
      </c>
      <c r="C3">
        <f>B3*0.000023885*3600</f>
        <v>238.95509399999997</v>
      </c>
      <c r="D3">
        <f>MeteoJ!B3</f>
        <v>6.8791666666666655</v>
      </c>
      <c r="E3">
        <f t="shared" ref="E3:E66" si="0">0.013*1*(C3+50)*D3/(D3+15)</f>
        <v>1.1810784960049512</v>
      </c>
      <c r="F3">
        <f t="shared" ref="F3:F66" si="1">E3*M3</f>
        <v>0.59053924800247559</v>
      </c>
      <c r="H3">
        <f>(1-Initialisation!$C$19/100)*C3</f>
        <v>180.59031229049998</v>
      </c>
      <c r="I3">
        <f t="shared" ref="I3:I66" si="2">D3</f>
        <v>6.8791666666666655</v>
      </c>
      <c r="J3">
        <f t="shared" ref="J3:J66" si="3">0.013*1*(H3+50)*I3/(I3+15)</f>
        <v>0.94251759144753389</v>
      </c>
      <c r="K3">
        <f t="shared" ref="K3:K66" si="4">J3*M3</f>
        <v>0.47125879572376694</v>
      </c>
      <c r="M3">
        <f>IF(ETR!A3&lt;=Initialisation!$C$24,Initialisation!$D$23,IF(ETR!A3&lt;=Initialisation!$C$25,Initialisation!$D$24,IF(ETR!A3&lt;=Initialisation!$C$26,Initialisation!$D$25,IF(ETR!A3&lt;=Initialisation!$C$27,Initialisation!$D$26,IF(ETR!A4&lt;=Initialisation!$C$28,Initialisation!$D$27,IF(ETR!A4&lt;=Initialisation!$C$29,Initialisation!$D$28,0))))))</f>
        <v>0.5</v>
      </c>
    </row>
    <row r="4" spans="1:13" x14ac:dyDescent="0.35">
      <c r="A4" s="5">
        <f>IF(MeteoJ!A4=$BP$5,A3,MeteoJ!A4)</f>
        <v>42052</v>
      </c>
      <c r="B4">
        <f>MeteoJ!D4</f>
        <v>1687</v>
      </c>
      <c r="C4">
        <f t="shared" ref="C4:C66" si="5">B4*0.000023885*3600</f>
        <v>145.05838199999999</v>
      </c>
      <c r="D4">
        <f>MeteoJ!B4</f>
        <v>7.7416666666666663</v>
      </c>
      <c r="E4">
        <f t="shared" si="0"/>
        <v>0.86321732481275182</v>
      </c>
      <c r="F4">
        <f t="shared" si="1"/>
        <v>0.43160866240637591</v>
      </c>
      <c r="H4">
        <f>(1-Initialisation!$C$19/100)*C4</f>
        <v>109.62787219650001</v>
      </c>
      <c r="I4">
        <f t="shared" si="2"/>
        <v>7.7416666666666663</v>
      </c>
      <c r="J4">
        <f t="shared" si="3"/>
        <v>0.70642206394911322</v>
      </c>
      <c r="K4">
        <f t="shared" si="4"/>
        <v>0.35321103197455661</v>
      </c>
      <c r="M4">
        <f>IF(ETR!A4&lt;=Initialisation!$C$24,Initialisation!$D$23,IF(ETR!A4&lt;=Initialisation!$C$25,Initialisation!$D$24,IF(ETR!A4&lt;=Initialisation!$C$26,Initialisation!$D$25,IF(ETR!A4&lt;=Initialisation!$C$27,Initialisation!$D$26,IF(ETR!A5&lt;=Initialisation!$C$28,Initialisation!$D$27,IF(ETR!A5&lt;=Initialisation!$C$29,Initialisation!$D$28,0))))))</f>
        <v>0.5</v>
      </c>
    </row>
    <row r="5" spans="1:13" x14ac:dyDescent="0.35">
      <c r="A5" s="5">
        <f>IF(MeteoJ!A5=$BP$5,A4,MeteoJ!A5)</f>
        <v>42053</v>
      </c>
      <c r="B5">
        <f>MeteoJ!D5</f>
        <v>2021</v>
      </c>
      <c r="C5">
        <f t="shared" si="5"/>
        <v>173.77770599999999</v>
      </c>
      <c r="D5">
        <f>MeteoJ!B5</f>
        <v>7.3083333333333336</v>
      </c>
      <c r="E5">
        <f t="shared" si="0"/>
        <v>0.95304057755173699</v>
      </c>
      <c r="F5">
        <f t="shared" si="1"/>
        <v>0.47652028877586849</v>
      </c>
      <c r="H5">
        <f>(1-Initialisation!$C$19/100)*C5</f>
        <v>131.3325013095</v>
      </c>
      <c r="I5">
        <f t="shared" si="2"/>
        <v>7.3083333333333336</v>
      </c>
      <c r="J5">
        <f t="shared" si="3"/>
        <v>0.77227188921539391</v>
      </c>
      <c r="K5">
        <f t="shared" si="4"/>
        <v>0.38613594460769696</v>
      </c>
      <c r="M5">
        <f>IF(ETR!A5&lt;=Initialisation!$C$24,Initialisation!$D$23,IF(ETR!A5&lt;=Initialisation!$C$25,Initialisation!$D$24,IF(ETR!A5&lt;=Initialisation!$C$26,Initialisation!$D$25,IF(ETR!A5&lt;=Initialisation!$C$27,Initialisation!$D$26,IF(ETR!A6&lt;=Initialisation!$C$28,Initialisation!$D$27,IF(ETR!A6&lt;=Initialisation!$C$29,Initialisation!$D$28,0))))))</f>
        <v>0.5</v>
      </c>
    </row>
    <row r="6" spans="1:13" x14ac:dyDescent="0.35">
      <c r="A6" s="5">
        <f>IF(MeteoJ!A6=$BP$5,A5,MeteoJ!A6)</f>
        <v>42054</v>
      </c>
      <c r="B6">
        <f>MeteoJ!D6</f>
        <v>3609</v>
      </c>
      <c r="C6">
        <f t="shared" si="5"/>
        <v>310.32347399999998</v>
      </c>
      <c r="D6">
        <f>MeteoJ!B6</f>
        <v>6.4416666666666664</v>
      </c>
      <c r="E6">
        <f t="shared" si="0"/>
        <v>1.4072641236789738</v>
      </c>
      <c r="F6">
        <f t="shared" si="1"/>
        <v>0.7036320618394869</v>
      </c>
      <c r="H6">
        <f>(1-Initialisation!$C$19/100)*C6</f>
        <v>234.52696547549999</v>
      </c>
      <c r="I6">
        <f t="shared" si="2"/>
        <v>6.4416666666666664</v>
      </c>
      <c r="J6">
        <f t="shared" si="3"/>
        <v>1.1112364850615233</v>
      </c>
      <c r="K6">
        <f t="shared" si="4"/>
        <v>0.55561824253076164</v>
      </c>
      <c r="M6">
        <f>IF(ETR!A6&lt;=Initialisation!$C$24,Initialisation!$D$23,IF(ETR!A6&lt;=Initialisation!$C$25,Initialisation!$D$24,IF(ETR!A6&lt;=Initialisation!$C$26,Initialisation!$D$25,IF(ETR!A6&lt;=Initialisation!$C$27,Initialisation!$D$26,IF(ETR!A7&lt;=Initialisation!$C$28,Initialisation!$D$27,IF(ETR!A7&lt;=Initialisation!$C$29,Initialisation!$D$28,0))))))</f>
        <v>0.5</v>
      </c>
    </row>
    <row r="7" spans="1:13" x14ac:dyDescent="0.35">
      <c r="A7" s="5">
        <f>IF(MeteoJ!A7=$BP$5,A6,MeteoJ!A7)</f>
        <v>42055</v>
      </c>
      <c r="B7">
        <f>MeteoJ!D7</f>
        <v>1666</v>
      </c>
      <c r="C7">
        <f t="shared" si="5"/>
        <v>143.25267600000001</v>
      </c>
      <c r="D7">
        <f>MeteoJ!B7</f>
        <v>6.904166666666665</v>
      </c>
      <c r="E7">
        <f t="shared" si="0"/>
        <v>0.7918691066608331</v>
      </c>
      <c r="F7">
        <f t="shared" si="1"/>
        <v>0.39593455333041655</v>
      </c>
      <c r="H7">
        <f>(1-Initialisation!$C$19/100)*C7</f>
        <v>108.26320988700002</v>
      </c>
      <c r="I7">
        <f t="shared" si="2"/>
        <v>6.904166666666665</v>
      </c>
      <c r="J7">
        <f t="shared" si="3"/>
        <v>0.64849682407758547</v>
      </c>
      <c r="K7">
        <f t="shared" si="4"/>
        <v>0.32424841203879273</v>
      </c>
      <c r="M7">
        <f>IF(ETR!A7&lt;=Initialisation!$C$24,Initialisation!$D$23,IF(ETR!A7&lt;=Initialisation!$C$25,Initialisation!$D$24,IF(ETR!A7&lt;=Initialisation!$C$26,Initialisation!$D$25,IF(ETR!A7&lt;=Initialisation!$C$27,Initialisation!$D$26,IF(ETR!A8&lt;=Initialisation!$C$28,Initialisation!$D$27,IF(ETR!A8&lt;=Initialisation!$C$29,Initialisation!$D$28,0))))))</f>
        <v>0.5</v>
      </c>
    </row>
    <row r="8" spans="1:13" x14ac:dyDescent="0.35">
      <c r="A8" s="5">
        <f>IF(MeteoJ!A8=$BP$5,A7,MeteoJ!A8)</f>
        <v>42056</v>
      </c>
      <c r="B8">
        <f>MeteoJ!D8</f>
        <v>2688</v>
      </c>
      <c r="C8">
        <f t="shared" si="5"/>
        <v>231.130368</v>
      </c>
      <c r="D8">
        <f>MeteoJ!B8</f>
        <v>6.5749999999999984</v>
      </c>
      <c r="E8">
        <f t="shared" si="0"/>
        <v>1.1137714115782151</v>
      </c>
      <c r="F8">
        <f t="shared" si="1"/>
        <v>0.55688570578910757</v>
      </c>
      <c r="H8">
        <f>(1-Initialisation!$C$19/100)*C8</f>
        <v>174.67677561600001</v>
      </c>
      <c r="I8">
        <f t="shared" si="2"/>
        <v>6.5749999999999984</v>
      </c>
      <c r="J8">
        <f t="shared" si="3"/>
        <v>0.89011575414959887</v>
      </c>
      <c r="K8">
        <f t="shared" si="4"/>
        <v>0.44505787707479944</v>
      </c>
      <c r="M8">
        <f>IF(ETR!A8&lt;=Initialisation!$C$24,Initialisation!$D$23,IF(ETR!A8&lt;=Initialisation!$C$25,Initialisation!$D$24,IF(ETR!A8&lt;=Initialisation!$C$26,Initialisation!$D$25,IF(ETR!A8&lt;=Initialisation!$C$27,Initialisation!$D$26,IF(ETR!A9&lt;=Initialisation!$C$28,Initialisation!$D$27,IF(ETR!A9&lt;=Initialisation!$C$29,Initialisation!$D$28,0))))))</f>
        <v>0.5</v>
      </c>
    </row>
    <row r="9" spans="1:13" x14ac:dyDescent="0.35">
      <c r="A9" s="5">
        <f>IF(MeteoJ!A9=$BP$5,A8,MeteoJ!A9)</f>
        <v>42057</v>
      </c>
      <c r="B9">
        <f>MeteoJ!D9</f>
        <v>3656</v>
      </c>
      <c r="C9">
        <f t="shared" si="5"/>
        <v>314.36481599999996</v>
      </c>
      <c r="D9">
        <f>MeteoJ!B9</f>
        <v>5.0458333333333334</v>
      </c>
      <c r="E9">
        <f t="shared" si="0"/>
        <v>1.1923083139239241</v>
      </c>
      <c r="F9">
        <f t="shared" si="1"/>
        <v>0.59615415696196206</v>
      </c>
      <c r="H9">
        <f>(1-Initialisation!$C$19/100)*C9</f>
        <v>237.58120969199999</v>
      </c>
      <c r="I9">
        <f t="shared" si="2"/>
        <v>5.0458333333333334</v>
      </c>
      <c r="J9">
        <f t="shared" si="3"/>
        <v>0.94104988239059562</v>
      </c>
      <c r="K9">
        <f t="shared" si="4"/>
        <v>0.47052494119529781</v>
      </c>
      <c r="M9">
        <f>IF(ETR!A9&lt;=Initialisation!$C$24,Initialisation!$D$23,IF(ETR!A9&lt;=Initialisation!$C$25,Initialisation!$D$24,IF(ETR!A9&lt;=Initialisation!$C$26,Initialisation!$D$25,IF(ETR!A9&lt;=Initialisation!$C$27,Initialisation!$D$26,IF(ETR!A10&lt;=Initialisation!$C$28,Initialisation!$D$27,IF(ETR!A10&lt;=Initialisation!$C$29,Initialisation!$D$28,0))))))</f>
        <v>0.5</v>
      </c>
    </row>
    <row r="10" spans="1:13" x14ac:dyDescent="0.35">
      <c r="A10" s="5">
        <f>IF(MeteoJ!A10=$BP$5,A9,MeteoJ!A10)</f>
        <v>42058</v>
      </c>
      <c r="B10">
        <f>MeteoJ!D10</f>
        <v>2281</v>
      </c>
      <c r="C10">
        <f t="shared" si="5"/>
        <v>196.13406599999999</v>
      </c>
      <c r="D10">
        <f>MeteoJ!B10</f>
        <v>10.183333333333332</v>
      </c>
      <c r="E10">
        <f t="shared" si="0"/>
        <v>1.2938735183573791</v>
      </c>
      <c r="F10">
        <f t="shared" si="1"/>
        <v>0.64693675917868954</v>
      </c>
      <c r="H10">
        <f>(1-Initialisation!$C$19/100)*C10</f>
        <v>148.22832037949999</v>
      </c>
      <c r="I10">
        <f t="shared" si="2"/>
        <v>10.183333333333332</v>
      </c>
      <c r="J10">
        <f t="shared" si="3"/>
        <v>1.0420433810551744</v>
      </c>
      <c r="K10">
        <f t="shared" si="4"/>
        <v>0.52102169052758718</v>
      </c>
      <c r="M10">
        <f>IF(ETR!A10&lt;=Initialisation!$C$24,Initialisation!$D$23,IF(ETR!A10&lt;=Initialisation!$C$25,Initialisation!$D$24,IF(ETR!A10&lt;=Initialisation!$C$26,Initialisation!$D$25,IF(ETR!A10&lt;=Initialisation!$C$27,Initialisation!$D$26,IF(ETR!A11&lt;=Initialisation!$C$28,Initialisation!$D$27,IF(ETR!A11&lt;=Initialisation!$C$29,Initialisation!$D$28,0))))))</f>
        <v>0.5</v>
      </c>
    </row>
    <row r="11" spans="1:13" x14ac:dyDescent="0.35">
      <c r="A11" s="5">
        <f>IF(MeteoJ!A11=$BP$5,A10,MeteoJ!A11)</f>
        <v>42059</v>
      </c>
      <c r="B11">
        <f>MeteoJ!D11</f>
        <v>2698</v>
      </c>
      <c r="C11">
        <f t="shared" si="5"/>
        <v>231.990228</v>
      </c>
      <c r="D11">
        <f>MeteoJ!B11</f>
        <v>6.95</v>
      </c>
      <c r="E11">
        <f t="shared" si="0"/>
        <v>1.1607205968018226</v>
      </c>
      <c r="F11">
        <f t="shared" si="1"/>
        <v>0.5803602984009113</v>
      </c>
      <c r="H11">
        <f>(1-Initialisation!$C$19/100)*C11</f>
        <v>175.32661481100001</v>
      </c>
      <c r="I11">
        <f t="shared" si="2"/>
        <v>6.95</v>
      </c>
      <c r="J11">
        <f t="shared" si="3"/>
        <v>0.92748335526987946</v>
      </c>
      <c r="K11">
        <f t="shared" si="4"/>
        <v>0.46374167763493973</v>
      </c>
      <c r="M11">
        <f>IF(ETR!A11&lt;=Initialisation!$C$24,Initialisation!$D$23,IF(ETR!A11&lt;=Initialisation!$C$25,Initialisation!$D$24,IF(ETR!A11&lt;=Initialisation!$C$26,Initialisation!$D$25,IF(ETR!A11&lt;=Initialisation!$C$27,Initialisation!$D$26,IF(ETR!A12&lt;=Initialisation!$C$28,Initialisation!$D$27,IF(ETR!A12&lt;=Initialisation!$C$29,Initialisation!$D$28,0))))))</f>
        <v>0.5</v>
      </c>
    </row>
    <row r="12" spans="1:13" x14ac:dyDescent="0.35">
      <c r="A12" s="5">
        <f>IF(MeteoJ!A12=$BP$5,A11,MeteoJ!A12)</f>
        <v>42060</v>
      </c>
      <c r="B12">
        <f>MeteoJ!D12</f>
        <v>610</v>
      </c>
      <c r="C12">
        <f t="shared" si="5"/>
        <v>52.451459999999997</v>
      </c>
      <c r="D12">
        <f>MeteoJ!B12</f>
        <v>7.8250000000000002</v>
      </c>
      <c r="E12">
        <f t="shared" si="0"/>
        <v>0.45659911362541067</v>
      </c>
      <c r="F12">
        <f t="shared" si="1"/>
        <v>0.22829955681270533</v>
      </c>
      <c r="H12">
        <f>(1-Initialisation!$C$19/100)*C12</f>
        <v>39.640190894999996</v>
      </c>
      <c r="I12">
        <f t="shared" si="2"/>
        <v>7.8250000000000002</v>
      </c>
      <c r="J12">
        <f t="shared" si="3"/>
        <v>0.39950266895044356</v>
      </c>
      <c r="K12">
        <f t="shared" si="4"/>
        <v>0.19975133447522178</v>
      </c>
      <c r="M12">
        <f>IF(ETR!A12&lt;=Initialisation!$C$24,Initialisation!$D$23,IF(ETR!A12&lt;=Initialisation!$C$25,Initialisation!$D$24,IF(ETR!A12&lt;=Initialisation!$C$26,Initialisation!$D$25,IF(ETR!A12&lt;=Initialisation!$C$27,Initialisation!$D$26,IF(ETR!A13&lt;=Initialisation!$C$28,Initialisation!$D$27,IF(ETR!A13&lt;=Initialisation!$C$29,Initialisation!$D$28,0))))))</f>
        <v>0.5</v>
      </c>
    </row>
    <row r="13" spans="1:13" x14ac:dyDescent="0.35">
      <c r="A13" s="5">
        <f>IF(MeteoJ!A13=$BP$5,A12,MeteoJ!A13)</f>
        <v>42061</v>
      </c>
      <c r="B13">
        <f>MeteoJ!D13</f>
        <v>856</v>
      </c>
      <c r="C13">
        <f t="shared" si="5"/>
        <v>73.604015999999987</v>
      </c>
      <c r="D13">
        <f>MeteoJ!B13</f>
        <v>10.587500000000004</v>
      </c>
      <c r="E13">
        <f t="shared" si="0"/>
        <v>0.66487729368637027</v>
      </c>
      <c r="F13">
        <f t="shared" si="1"/>
        <v>0.33243864684318514</v>
      </c>
      <c r="H13">
        <f>(1-Initialisation!$C$19/100)*C13</f>
        <v>55.626235091999995</v>
      </c>
      <c r="I13">
        <f t="shared" si="2"/>
        <v>10.587500000000004</v>
      </c>
      <c r="J13">
        <f t="shared" si="3"/>
        <v>0.56817316785442706</v>
      </c>
      <c r="K13">
        <f t="shared" si="4"/>
        <v>0.28408658392721353</v>
      </c>
      <c r="M13">
        <f>IF(ETR!A13&lt;=Initialisation!$C$24,Initialisation!$D$23,IF(ETR!A13&lt;=Initialisation!$C$25,Initialisation!$D$24,IF(ETR!A13&lt;=Initialisation!$C$26,Initialisation!$D$25,IF(ETR!A13&lt;=Initialisation!$C$27,Initialisation!$D$26,IF(ETR!A14&lt;=Initialisation!$C$28,Initialisation!$D$27,IF(ETR!A14&lt;=Initialisation!$C$29,Initialisation!$D$28,0))))))</f>
        <v>0.5</v>
      </c>
    </row>
    <row r="14" spans="1:13" x14ac:dyDescent="0.35">
      <c r="A14" s="5">
        <f>IF(MeteoJ!A14=$BP$5,A13,MeteoJ!A14)</f>
        <v>42062</v>
      </c>
      <c r="B14">
        <f>MeteoJ!D14</f>
        <v>3580</v>
      </c>
      <c r="C14">
        <f t="shared" si="5"/>
        <v>307.82988</v>
      </c>
      <c r="D14">
        <f>MeteoJ!B14</f>
        <v>7.8374999999999995</v>
      </c>
      <c r="E14">
        <f t="shared" si="0"/>
        <v>1.5964265746469621</v>
      </c>
      <c r="F14">
        <f t="shared" si="1"/>
        <v>0.79821328732348107</v>
      </c>
      <c r="H14">
        <f>(1-Initialisation!$C$19/100)*C14</f>
        <v>232.64243181000001</v>
      </c>
      <c r="I14">
        <f t="shared" si="2"/>
        <v>7.8374999999999995</v>
      </c>
      <c r="J14">
        <f t="shared" si="3"/>
        <v>1.2609843796843514</v>
      </c>
      <c r="K14">
        <f t="shared" si="4"/>
        <v>0.6304921898421757</v>
      </c>
      <c r="M14">
        <f>IF(ETR!A14&lt;=Initialisation!$C$24,Initialisation!$D$23,IF(ETR!A14&lt;=Initialisation!$C$25,Initialisation!$D$24,IF(ETR!A14&lt;=Initialisation!$C$26,Initialisation!$D$25,IF(ETR!A14&lt;=Initialisation!$C$27,Initialisation!$D$26,IF(ETR!A15&lt;=Initialisation!$C$28,Initialisation!$D$27,IF(ETR!A15&lt;=Initialisation!$C$29,Initialisation!$D$28,0))))))</f>
        <v>0.5</v>
      </c>
    </row>
    <row r="15" spans="1:13" x14ac:dyDescent="0.35">
      <c r="A15" s="5">
        <f>IF(MeteoJ!A15=$BP$5,A14,MeteoJ!A15)</f>
        <v>42063</v>
      </c>
      <c r="B15">
        <f>MeteoJ!D15</f>
        <v>542</v>
      </c>
      <c r="C15">
        <f t="shared" si="5"/>
        <v>46.604411999999996</v>
      </c>
      <c r="D15">
        <f>MeteoJ!B15</f>
        <v>6.2958333333333334</v>
      </c>
      <c r="E15">
        <f t="shared" si="0"/>
        <v>0.3712777274341616</v>
      </c>
      <c r="F15">
        <f t="shared" si="1"/>
        <v>0.1856388637170808</v>
      </c>
      <c r="H15">
        <f>(1-Initialisation!$C$19/100)*C15</f>
        <v>35.221284368999996</v>
      </c>
      <c r="I15">
        <f t="shared" si="2"/>
        <v>6.2958333333333334</v>
      </c>
      <c r="J15">
        <f t="shared" si="3"/>
        <v>0.32752918975939477</v>
      </c>
      <c r="K15">
        <f t="shared" si="4"/>
        <v>0.16376459487969738</v>
      </c>
      <c r="M15">
        <f>IF(ETR!A15&lt;=Initialisation!$C$24,Initialisation!$D$23,IF(ETR!A15&lt;=Initialisation!$C$25,Initialisation!$D$24,IF(ETR!A15&lt;=Initialisation!$C$26,Initialisation!$D$25,IF(ETR!A15&lt;=Initialisation!$C$27,Initialisation!$D$26,IF(ETR!A16&lt;=Initialisation!$C$28,Initialisation!$D$27,IF(ETR!A16&lt;=Initialisation!$C$29,Initialisation!$D$28,0))))))</f>
        <v>0.5</v>
      </c>
    </row>
    <row r="16" spans="1:13" x14ac:dyDescent="0.35">
      <c r="A16" s="5">
        <f>IF(MeteoJ!A16=$BP$5,A15,MeteoJ!A16)</f>
        <v>42064</v>
      </c>
      <c r="B16">
        <f>MeteoJ!D16</f>
        <v>674</v>
      </c>
      <c r="C16">
        <f t="shared" si="5"/>
        <v>57.954563999999998</v>
      </c>
      <c r="D16">
        <f>MeteoJ!B16</f>
        <v>12.095833333333333</v>
      </c>
      <c r="E16">
        <f t="shared" si="0"/>
        <v>0.62649504702383529</v>
      </c>
      <c r="F16">
        <f t="shared" si="1"/>
        <v>0.31324752351191765</v>
      </c>
      <c r="H16">
        <f>(1-Initialisation!$C$19/100)*C16</f>
        <v>43.799161742999999</v>
      </c>
      <c r="I16">
        <f t="shared" si="2"/>
        <v>12.095833333333333</v>
      </c>
      <c r="J16">
        <f t="shared" si="3"/>
        <v>0.54434669614317654</v>
      </c>
      <c r="K16">
        <f t="shared" si="4"/>
        <v>0.27217334807158827</v>
      </c>
      <c r="M16">
        <f>IF(ETR!A16&lt;=Initialisation!$C$24,Initialisation!$D$23,IF(ETR!A16&lt;=Initialisation!$C$25,Initialisation!$D$24,IF(ETR!A16&lt;=Initialisation!$C$26,Initialisation!$D$25,IF(ETR!A16&lt;=Initialisation!$C$27,Initialisation!$D$26,IF(ETR!A17&lt;=Initialisation!$C$28,Initialisation!$D$27,IF(ETR!A17&lt;=Initialisation!$C$29,Initialisation!$D$28,0))))))</f>
        <v>0.5</v>
      </c>
    </row>
    <row r="17" spans="1:13" x14ac:dyDescent="0.35">
      <c r="A17" s="5">
        <f>IF(MeteoJ!A17=$BP$5,A16,MeteoJ!A17)</f>
        <v>42065</v>
      </c>
      <c r="B17">
        <f>MeteoJ!D17</f>
        <v>2186</v>
      </c>
      <c r="C17">
        <f t="shared" si="5"/>
        <v>187.965396</v>
      </c>
      <c r="D17">
        <f>MeteoJ!B17</f>
        <v>11.695833333333333</v>
      </c>
      <c r="E17">
        <f t="shared" si="0"/>
        <v>1.3553293687273293</v>
      </c>
      <c r="F17">
        <f t="shared" si="1"/>
        <v>0.67766468436366467</v>
      </c>
      <c r="H17">
        <f>(1-Initialisation!$C$19/100)*C17</f>
        <v>142.05484802699999</v>
      </c>
      <c r="I17">
        <f t="shared" si="2"/>
        <v>11.695833333333333</v>
      </c>
      <c r="J17">
        <f t="shared" si="3"/>
        <v>1.0938463335965749</v>
      </c>
      <c r="K17">
        <f t="shared" si="4"/>
        <v>0.54692316679828745</v>
      </c>
      <c r="M17">
        <f>IF(ETR!A17&lt;=Initialisation!$C$24,Initialisation!$D$23,IF(ETR!A17&lt;=Initialisation!$C$25,Initialisation!$D$24,IF(ETR!A17&lt;=Initialisation!$C$26,Initialisation!$D$25,IF(ETR!A17&lt;=Initialisation!$C$27,Initialisation!$D$26,IF(ETR!A18&lt;=Initialisation!$C$28,Initialisation!$D$27,IF(ETR!A18&lt;=Initialisation!$C$29,Initialisation!$D$28,0))))))</f>
        <v>0.5</v>
      </c>
    </row>
    <row r="18" spans="1:13" x14ac:dyDescent="0.35">
      <c r="A18" s="5">
        <f>IF(MeteoJ!A18=$BP$5,A17,MeteoJ!A18)</f>
        <v>42066</v>
      </c>
      <c r="B18">
        <f>MeteoJ!D18</f>
        <v>1443</v>
      </c>
      <c r="C18">
        <f t="shared" si="5"/>
        <v>124.07779799999999</v>
      </c>
      <c r="D18">
        <f>MeteoJ!B18</f>
        <v>9.3416666666666668</v>
      </c>
      <c r="E18">
        <f t="shared" si="0"/>
        <v>0.86848194120301236</v>
      </c>
      <c r="F18">
        <f t="shared" si="1"/>
        <v>0.43424097060150618</v>
      </c>
      <c r="H18">
        <f>(1-Initialisation!$C$19/100)*C18</f>
        <v>93.771795838499997</v>
      </c>
      <c r="I18">
        <f t="shared" si="2"/>
        <v>9.3416666666666668</v>
      </c>
      <c r="J18">
        <f t="shared" si="3"/>
        <v>0.71728393726616235</v>
      </c>
      <c r="K18">
        <f t="shared" si="4"/>
        <v>0.35864196863308118</v>
      </c>
      <c r="M18">
        <f>IF(ETR!A18&lt;=Initialisation!$C$24,Initialisation!$D$23,IF(ETR!A18&lt;=Initialisation!$C$25,Initialisation!$D$24,IF(ETR!A18&lt;=Initialisation!$C$26,Initialisation!$D$25,IF(ETR!A18&lt;=Initialisation!$C$27,Initialisation!$D$26,IF(ETR!A19&lt;=Initialisation!$C$28,Initialisation!$D$27,IF(ETR!A19&lt;=Initialisation!$C$29,Initialisation!$D$28,0))))))</f>
        <v>0.5</v>
      </c>
    </row>
    <row r="19" spans="1:13" x14ac:dyDescent="0.35">
      <c r="A19" s="5">
        <f>IF(MeteoJ!A19=$BP$5,A18,MeteoJ!A19)</f>
        <v>42067</v>
      </c>
      <c r="B19">
        <f>MeteoJ!D19</f>
        <v>3900</v>
      </c>
      <c r="C19">
        <f t="shared" si="5"/>
        <v>335.34539999999998</v>
      </c>
      <c r="D19">
        <f>MeteoJ!B19</f>
        <v>7.720833333333335</v>
      </c>
      <c r="E19">
        <f t="shared" si="0"/>
        <v>1.7022896278378874</v>
      </c>
      <c r="F19">
        <f t="shared" si="1"/>
        <v>0.8511448139189437</v>
      </c>
      <c r="H19">
        <f>(1-Initialisation!$C$19/100)*C19</f>
        <v>253.43728605000001</v>
      </c>
      <c r="I19">
        <f t="shared" si="2"/>
        <v>7.720833333333335</v>
      </c>
      <c r="J19">
        <f t="shared" si="3"/>
        <v>1.3404549392368332</v>
      </c>
      <c r="K19">
        <f t="shared" si="4"/>
        <v>0.67022746961841662</v>
      </c>
      <c r="M19">
        <f>IF(ETR!A19&lt;=Initialisation!$C$24,Initialisation!$D$23,IF(ETR!A19&lt;=Initialisation!$C$25,Initialisation!$D$24,IF(ETR!A19&lt;=Initialisation!$C$26,Initialisation!$D$25,IF(ETR!A19&lt;=Initialisation!$C$27,Initialisation!$D$26,IF(ETR!A20&lt;=Initialisation!$C$28,Initialisation!$D$27,IF(ETR!A20&lt;=Initialisation!$C$29,Initialisation!$D$28,0))))))</f>
        <v>0.5</v>
      </c>
    </row>
    <row r="20" spans="1:13" x14ac:dyDescent="0.35">
      <c r="A20" s="5">
        <f>IF(MeteoJ!A20=$BP$5,A19,MeteoJ!A20)</f>
        <v>42068</v>
      </c>
      <c r="B20">
        <f>MeteoJ!D20</f>
        <v>4445</v>
      </c>
      <c r="C20">
        <f t="shared" si="5"/>
        <v>382.20776999999998</v>
      </c>
      <c r="D20">
        <f>MeteoJ!B20</f>
        <v>6.0500000000000007</v>
      </c>
      <c r="E20">
        <f t="shared" si="0"/>
        <v>1.6148760622565324</v>
      </c>
      <c r="F20">
        <f t="shared" si="1"/>
        <v>0.80743803112826618</v>
      </c>
      <c r="H20">
        <f>(1-Initialisation!$C$19/100)*C20</f>
        <v>288.8535221775</v>
      </c>
      <c r="I20">
        <f t="shared" si="2"/>
        <v>6.0500000000000007</v>
      </c>
      <c r="J20">
        <f t="shared" si="3"/>
        <v>1.2660726612475237</v>
      </c>
      <c r="K20">
        <f t="shared" si="4"/>
        <v>0.63303633062376186</v>
      </c>
      <c r="M20">
        <f>IF(ETR!A20&lt;=Initialisation!$C$24,Initialisation!$D$23,IF(ETR!A20&lt;=Initialisation!$C$25,Initialisation!$D$24,IF(ETR!A20&lt;=Initialisation!$C$26,Initialisation!$D$25,IF(ETR!A20&lt;=Initialisation!$C$27,Initialisation!$D$26,IF(ETR!A21&lt;=Initialisation!$C$28,Initialisation!$D$27,IF(ETR!A21&lt;=Initialisation!$C$29,Initialisation!$D$28,0))))))</f>
        <v>0.5</v>
      </c>
    </row>
    <row r="21" spans="1:13" x14ac:dyDescent="0.35">
      <c r="A21" s="5">
        <f>IF(MeteoJ!A21=$BP$5,A20,MeteoJ!A21)</f>
        <v>42069</v>
      </c>
      <c r="B21">
        <f>MeteoJ!D21</f>
        <v>4530</v>
      </c>
      <c r="C21">
        <f t="shared" si="5"/>
        <v>389.51657999999998</v>
      </c>
      <c r="D21">
        <f>MeteoJ!B21</f>
        <v>6.9499999999999993</v>
      </c>
      <c r="E21">
        <f t="shared" si="0"/>
        <v>1.8091263327107059</v>
      </c>
      <c r="F21">
        <f t="shared" si="1"/>
        <v>0.90456316635535294</v>
      </c>
      <c r="H21">
        <f>(1-Initialisation!$C$19/100)*C21</f>
        <v>294.377155335</v>
      </c>
      <c r="I21">
        <f t="shared" si="2"/>
        <v>6.9499999999999993</v>
      </c>
      <c r="J21">
        <f t="shared" si="3"/>
        <v>1.4175159901830179</v>
      </c>
      <c r="K21">
        <f t="shared" si="4"/>
        <v>0.70875799509150894</v>
      </c>
      <c r="M21">
        <f>IF(ETR!A21&lt;=Initialisation!$C$24,Initialisation!$D$23,IF(ETR!A21&lt;=Initialisation!$C$25,Initialisation!$D$24,IF(ETR!A21&lt;=Initialisation!$C$26,Initialisation!$D$25,IF(ETR!A21&lt;=Initialisation!$C$27,Initialisation!$D$26,IF(ETR!A22&lt;=Initialisation!$C$28,Initialisation!$D$27,IF(ETR!A22&lt;=Initialisation!$C$29,Initialisation!$D$28,0))))))</f>
        <v>0.5</v>
      </c>
    </row>
    <row r="22" spans="1:13" x14ac:dyDescent="0.35">
      <c r="A22" s="5">
        <f>IF(MeteoJ!A22=$BP$5,A21,MeteoJ!A22)</f>
        <v>42070</v>
      </c>
      <c r="B22">
        <f>MeteoJ!D22</f>
        <v>4589</v>
      </c>
      <c r="C22">
        <f t="shared" si="5"/>
        <v>394.58975399999997</v>
      </c>
      <c r="D22">
        <f>MeteoJ!B22</f>
        <v>8.9999999999999982</v>
      </c>
      <c r="E22">
        <f t="shared" si="0"/>
        <v>2.1673750507499991</v>
      </c>
      <c r="F22">
        <f t="shared" si="1"/>
        <v>1.0836875253749996</v>
      </c>
      <c r="H22">
        <f>(1-Initialisation!$C$19/100)*C22</f>
        <v>298.21120658550001</v>
      </c>
      <c r="I22">
        <f t="shared" si="2"/>
        <v>8.9999999999999982</v>
      </c>
      <c r="J22">
        <f t="shared" si="3"/>
        <v>1.6975296321043123</v>
      </c>
      <c r="K22">
        <f t="shared" si="4"/>
        <v>0.84876481605215615</v>
      </c>
      <c r="M22">
        <f>IF(ETR!A22&lt;=Initialisation!$C$24,Initialisation!$D$23,IF(ETR!A22&lt;=Initialisation!$C$25,Initialisation!$D$24,IF(ETR!A22&lt;=Initialisation!$C$26,Initialisation!$D$25,IF(ETR!A22&lt;=Initialisation!$C$27,Initialisation!$D$26,IF(ETR!A23&lt;=Initialisation!$C$28,Initialisation!$D$27,IF(ETR!A23&lt;=Initialisation!$C$29,Initialisation!$D$28,0))))))</f>
        <v>0.5</v>
      </c>
    </row>
    <row r="23" spans="1:13" x14ac:dyDescent="0.35">
      <c r="A23" s="5">
        <f>IF(MeteoJ!A23=$BP$5,A22,MeteoJ!A23)</f>
        <v>42071</v>
      </c>
      <c r="B23">
        <f>MeteoJ!D23</f>
        <v>4633</v>
      </c>
      <c r="C23">
        <f t="shared" si="5"/>
        <v>398.37313799999998</v>
      </c>
      <c r="D23">
        <f>MeteoJ!B23</f>
        <v>9.5374999999999996</v>
      </c>
      <c r="E23">
        <f t="shared" si="0"/>
        <v>2.2656205582384104</v>
      </c>
      <c r="F23">
        <f t="shared" si="1"/>
        <v>1.1328102791192052</v>
      </c>
      <c r="H23">
        <f>(1-Initialisation!$C$19/100)*C23</f>
        <v>301.07049904349998</v>
      </c>
      <c r="I23">
        <f t="shared" si="2"/>
        <v>9.5374999999999996</v>
      </c>
      <c r="J23">
        <f t="shared" si="3"/>
        <v>1.7739522567562283</v>
      </c>
      <c r="K23">
        <f t="shared" si="4"/>
        <v>0.88697612837811413</v>
      </c>
      <c r="M23">
        <f>IF(ETR!A23&lt;=Initialisation!$C$24,Initialisation!$D$23,IF(ETR!A23&lt;=Initialisation!$C$25,Initialisation!$D$24,IF(ETR!A23&lt;=Initialisation!$C$26,Initialisation!$D$25,IF(ETR!A23&lt;=Initialisation!$C$27,Initialisation!$D$26,IF(ETR!A24&lt;=Initialisation!$C$28,Initialisation!$D$27,IF(ETR!A24&lt;=Initialisation!$C$29,Initialisation!$D$28,0))))))</f>
        <v>0.5</v>
      </c>
    </row>
    <row r="24" spans="1:13" x14ac:dyDescent="0.35">
      <c r="A24" s="5">
        <f>IF(MeteoJ!A24=$BP$5,A23,MeteoJ!A24)</f>
        <v>42072</v>
      </c>
      <c r="B24">
        <f>MeteoJ!D24</f>
        <v>2846</v>
      </c>
      <c r="C24">
        <f t="shared" si="5"/>
        <v>244.71615599999998</v>
      </c>
      <c r="D24">
        <f>MeteoJ!B24</f>
        <v>7.6000000000000005</v>
      </c>
      <c r="E24">
        <f t="shared" si="0"/>
        <v>1.2884051421592919</v>
      </c>
      <c r="F24">
        <f t="shared" si="1"/>
        <v>0.64420257107964596</v>
      </c>
      <c r="H24">
        <f>(1-Initialisation!$C$19/100)*C24</f>
        <v>184.944234897</v>
      </c>
      <c r="I24">
        <f t="shared" si="2"/>
        <v>7.6000000000000005</v>
      </c>
      <c r="J24">
        <f t="shared" si="3"/>
        <v>1.0271013454789202</v>
      </c>
      <c r="K24">
        <f t="shared" si="4"/>
        <v>0.51355067273946009</v>
      </c>
      <c r="M24">
        <f>IF(ETR!A24&lt;=Initialisation!$C$24,Initialisation!$D$23,IF(ETR!A24&lt;=Initialisation!$C$25,Initialisation!$D$24,IF(ETR!A24&lt;=Initialisation!$C$26,Initialisation!$D$25,IF(ETR!A24&lt;=Initialisation!$C$27,Initialisation!$D$26,IF(ETR!A25&lt;=Initialisation!$C$28,Initialisation!$D$27,IF(ETR!A25&lt;=Initialisation!$C$29,Initialisation!$D$28,0))))))</f>
        <v>0.5</v>
      </c>
    </row>
    <row r="25" spans="1:13" x14ac:dyDescent="0.35">
      <c r="A25" s="5">
        <f>IF(MeteoJ!A25=$BP$5,A24,MeteoJ!A25)</f>
        <v>42073</v>
      </c>
      <c r="B25">
        <f>MeteoJ!D25</f>
        <v>4240</v>
      </c>
      <c r="C25">
        <f t="shared" si="5"/>
        <v>364.58064000000002</v>
      </c>
      <c r="D25">
        <f>MeteoJ!B25</f>
        <v>8.9666666666666668</v>
      </c>
      <c r="E25">
        <f t="shared" si="0"/>
        <v>2.0163956857858136</v>
      </c>
      <c r="F25">
        <f t="shared" si="1"/>
        <v>1.0081978428929068</v>
      </c>
      <c r="H25">
        <f>(1-Initialisation!$C$19/100)*C25</f>
        <v>275.53181868000001</v>
      </c>
      <c r="I25">
        <f t="shared" si="2"/>
        <v>8.9666666666666668</v>
      </c>
      <c r="J25">
        <f t="shared" si="3"/>
        <v>1.5832889706870099</v>
      </c>
      <c r="K25">
        <f t="shared" si="4"/>
        <v>0.79164448534350496</v>
      </c>
      <c r="M25">
        <f>IF(ETR!A25&lt;=Initialisation!$C$24,Initialisation!$D$23,IF(ETR!A25&lt;=Initialisation!$C$25,Initialisation!$D$24,IF(ETR!A25&lt;=Initialisation!$C$26,Initialisation!$D$25,IF(ETR!A25&lt;=Initialisation!$C$27,Initialisation!$D$26,IF(ETR!A26&lt;=Initialisation!$C$28,Initialisation!$D$27,IF(ETR!A26&lt;=Initialisation!$C$29,Initialisation!$D$28,0))))))</f>
        <v>0.5</v>
      </c>
    </row>
    <row r="26" spans="1:13" x14ac:dyDescent="0.35">
      <c r="A26" s="5">
        <f>IF(MeteoJ!A26=$BP$5,A25,MeteoJ!A26)</f>
        <v>42074</v>
      </c>
      <c r="B26">
        <f>MeteoJ!D26</f>
        <v>4551</v>
      </c>
      <c r="C26">
        <f t="shared" si="5"/>
        <v>391.32228599999996</v>
      </c>
      <c r="D26">
        <f>MeteoJ!B26</f>
        <v>11.725</v>
      </c>
      <c r="E26">
        <f t="shared" si="0"/>
        <v>2.517064525483629</v>
      </c>
      <c r="F26">
        <f t="shared" si="1"/>
        <v>1.2585322627418145</v>
      </c>
      <c r="H26">
        <f>(1-Initialisation!$C$19/100)*C26</f>
        <v>295.74181764449997</v>
      </c>
      <c r="I26">
        <f t="shared" si="2"/>
        <v>11.725</v>
      </c>
      <c r="J26">
        <f t="shared" si="3"/>
        <v>1.9719250347787802</v>
      </c>
      <c r="K26">
        <f t="shared" si="4"/>
        <v>0.98596251738939011</v>
      </c>
      <c r="M26">
        <f>IF(ETR!A26&lt;=Initialisation!$C$24,Initialisation!$D$23,IF(ETR!A26&lt;=Initialisation!$C$25,Initialisation!$D$24,IF(ETR!A26&lt;=Initialisation!$C$26,Initialisation!$D$25,IF(ETR!A26&lt;=Initialisation!$C$27,Initialisation!$D$26,IF(ETR!A27&lt;=Initialisation!$C$28,Initialisation!$D$27,IF(ETR!A27&lt;=Initialisation!$C$29,Initialisation!$D$28,0))))))</f>
        <v>0.5</v>
      </c>
    </row>
    <row r="27" spans="1:13" x14ac:dyDescent="0.35">
      <c r="A27" s="5">
        <f>IF(MeteoJ!A27=$BP$5,A26,MeteoJ!A27)</f>
        <v>42075</v>
      </c>
      <c r="B27">
        <f>MeteoJ!D27</f>
        <v>4308</v>
      </c>
      <c r="C27">
        <f t="shared" si="5"/>
        <v>370.42768799999999</v>
      </c>
      <c r="D27">
        <f>MeteoJ!B27</f>
        <v>10.304166666666667</v>
      </c>
      <c r="E27">
        <f t="shared" si="0"/>
        <v>2.2256429674809812</v>
      </c>
      <c r="F27">
        <f t="shared" si="1"/>
        <v>1.1128214837404906</v>
      </c>
      <c r="H27">
        <f>(1-Initialisation!$C$19/100)*C27</f>
        <v>279.95072520600002</v>
      </c>
      <c r="I27">
        <f t="shared" si="2"/>
        <v>10.304166666666667</v>
      </c>
      <c r="J27">
        <f t="shared" si="3"/>
        <v>1.7466797076646952</v>
      </c>
      <c r="K27">
        <f t="shared" si="4"/>
        <v>0.87333985383234758</v>
      </c>
      <c r="M27">
        <f>IF(ETR!A27&lt;=Initialisation!$C$24,Initialisation!$D$23,IF(ETR!A27&lt;=Initialisation!$C$25,Initialisation!$D$24,IF(ETR!A27&lt;=Initialisation!$C$26,Initialisation!$D$25,IF(ETR!A27&lt;=Initialisation!$C$27,Initialisation!$D$26,IF(ETR!A28&lt;=Initialisation!$C$28,Initialisation!$D$27,IF(ETR!A28&lt;=Initialisation!$C$29,Initialisation!$D$28,0))))))</f>
        <v>0.5</v>
      </c>
    </row>
    <row r="28" spans="1:13" x14ac:dyDescent="0.35">
      <c r="A28" s="5">
        <f>IF(MeteoJ!A28=$BP$5,A27,MeteoJ!A28)</f>
        <v>42076</v>
      </c>
      <c r="B28">
        <f>MeteoJ!D28</f>
        <v>2861</v>
      </c>
      <c r="C28">
        <f t="shared" si="5"/>
        <v>246.00594599999999</v>
      </c>
      <c r="D28">
        <f>MeteoJ!B28</f>
        <v>9.2500000000000018</v>
      </c>
      <c r="E28">
        <f t="shared" si="0"/>
        <v>1.4678232992371136</v>
      </c>
      <c r="F28">
        <f t="shared" si="1"/>
        <v>0.73391164961855682</v>
      </c>
      <c r="H28">
        <f>(1-Initialisation!$C$19/100)*C28</f>
        <v>185.91899368950001</v>
      </c>
      <c r="I28">
        <f t="shared" si="2"/>
        <v>9.2500000000000018</v>
      </c>
      <c r="J28">
        <f t="shared" si="3"/>
        <v>1.169866350151026</v>
      </c>
      <c r="K28">
        <f t="shared" si="4"/>
        <v>0.58493317507551301</v>
      </c>
      <c r="M28">
        <f>IF(ETR!A28&lt;=Initialisation!$C$24,Initialisation!$D$23,IF(ETR!A28&lt;=Initialisation!$C$25,Initialisation!$D$24,IF(ETR!A28&lt;=Initialisation!$C$26,Initialisation!$D$25,IF(ETR!A28&lt;=Initialisation!$C$27,Initialisation!$D$26,IF(ETR!A29&lt;=Initialisation!$C$28,Initialisation!$D$27,IF(ETR!A29&lt;=Initialisation!$C$29,Initialisation!$D$28,0))))))</f>
        <v>0.5</v>
      </c>
    </row>
    <row r="29" spans="1:13" x14ac:dyDescent="0.35">
      <c r="A29" s="5">
        <f>IF(MeteoJ!A29=$BP$5,A28,MeteoJ!A29)</f>
        <v>42077</v>
      </c>
      <c r="B29">
        <f>MeteoJ!D29</f>
        <v>2862</v>
      </c>
      <c r="C29">
        <f t="shared" si="5"/>
        <v>246.09193200000001</v>
      </c>
      <c r="D29">
        <f>MeteoJ!B29</f>
        <v>7.0041666666666691</v>
      </c>
      <c r="E29">
        <f t="shared" si="0"/>
        <v>1.2252408615784893</v>
      </c>
      <c r="F29">
        <f t="shared" si="1"/>
        <v>0.61262043078924466</v>
      </c>
      <c r="H29">
        <f>(1-Initialisation!$C$19/100)*C29</f>
        <v>185.98397760900002</v>
      </c>
      <c r="I29">
        <f t="shared" si="2"/>
        <v>7.0041666666666691</v>
      </c>
      <c r="J29">
        <f t="shared" si="3"/>
        <v>0.97651161952082521</v>
      </c>
      <c r="K29">
        <f t="shared" si="4"/>
        <v>0.48825580976041261</v>
      </c>
      <c r="M29">
        <f>IF(ETR!A29&lt;=Initialisation!$C$24,Initialisation!$D$23,IF(ETR!A29&lt;=Initialisation!$C$25,Initialisation!$D$24,IF(ETR!A29&lt;=Initialisation!$C$26,Initialisation!$D$25,IF(ETR!A29&lt;=Initialisation!$C$27,Initialisation!$D$26,IF(ETR!A30&lt;=Initialisation!$C$28,Initialisation!$D$27,IF(ETR!A30&lt;=Initialisation!$C$29,Initialisation!$D$28,0))))))</f>
        <v>0.5</v>
      </c>
    </row>
    <row r="30" spans="1:13" x14ac:dyDescent="0.35">
      <c r="A30" s="5">
        <f>IF(MeteoJ!A30=$BP$5,A29,MeteoJ!A30)</f>
        <v>42078</v>
      </c>
      <c r="B30">
        <f>MeteoJ!D30</f>
        <v>4128</v>
      </c>
      <c r="C30">
        <f t="shared" si="5"/>
        <v>354.95020799999998</v>
      </c>
      <c r="D30">
        <f>MeteoJ!B30</f>
        <v>7.8166666666666655</v>
      </c>
      <c r="E30">
        <f t="shared" si="0"/>
        <v>1.8034926356289258</v>
      </c>
      <c r="F30">
        <f t="shared" si="1"/>
        <v>0.90174631781446291</v>
      </c>
      <c r="H30">
        <f>(1-Initialisation!$C$19/100)*C30</f>
        <v>268.25361969599999</v>
      </c>
      <c r="I30">
        <f t="shared" si="2"/>
        <v>7.8166666666666655</v>
      </c>
      <c r="J30">
        <f t="shared" si="3"/>
        <v>1.4173793420646543</v>
      </c>
      <c r="K30">
        <f t="shared" si="4"/>
        <v>0.70868967103232716</v>
      </c>
      <c r="M30">
        <f>IF(ETR!A30&lt;=Initialisation!$C$24,Initialisation!$D$23,IF(ETR!A30&lt;=Initialisation!$C$25,Initialisation!$D$24,IF(ETR!A30&lt;=Initialisation!$C$26,Initialisation!$D$25,IF(ETR!A30&lt;=Initialisation!$C$27,Initialisation!$D$26,IF(ETR!A31&lt;=Initialisation!$C$28,Initialisation!$D$27,IF(ETR!A31&lt;=Initialisation!$C$29,Initialisation!$D$28,0))))))</f>
        <v>0.5</v>
      </c>
    </row>
    <row r="31" spans="1:13" x14ac:dyDescent="0.35">
      <c r="A31" s="5">
        <f>IF(MeteoJ!A31=$BP$5,A30,MeteoJ!A31)</f>
        <v>42079</v>
      </c>
      <c r="B31">
        <f>MeteoJ!D31</f>
        <v>3654</v>
      </c>
      <c r="C31">
        <f t="shared" si="5"/>
        <v>314.19284399999998</v>
      </c>
      <c r="D31">
        <f>MeteoJ!B31</f>
        <v>9.3166666666666664</v>
      </c>
      <c r="E31">
        <f t="shared" si="0"/>
        <v>1.8139749125071964</v>
      </c>
      <c r="F31">
        <f t="shared" si="1"/>
        <v>0.90698745625359822</v>
      </c>
      <c r="H31">
        <f>(1-Initialisation!$C$19/100)*C31</f>
        <v>237.451241853</v>
      </c>
      <c r="I31">
        <f t="shared" si="2"/>
        <v>9.3166666666666664</v>
      </c>
      <c r="J31">
        <f t="shared" si="3"/>
        <v>1.431739667269192</v>
      </c>
      <c r="K31">
        <f t="shared" si="4"/>
        <v>0.715869833634596</v>
      </c>
      <c r="M31">
        <f>IF(ETR!A31&lt;=Initialisation!$C$24,Initialisation!$D$23,IF(ETR!A31&lt;=Initialisation!$C$25,Initialisation!$D$24,IF(ETR!A31&lt;=Initialisation!$C$26,Initialisation!$D$25,IF(ETR!A31&lt;=Initialisation!$C$27,Initialisation!$D$26,IF(ETR!A32&lt;=Initialisation!$C$28,Initialisation!$D$27,IF(ETR!A32&lt;=Initialisation!$C$29,Initialisation!$D$28,0))))))</f>
        <v>0.5</v>
      </c>
    </row>
    <row r="32" spans="1:13" x14ac:dyDescent="0.35">
      <c r="A32" s="5">
        <f>IF(MeteoJ!A32=$BP$5,A31,MeteoJ!A32)</f>
        <v>42080</v>
      </c>
      <c r="B32">
        <f>MeteoJ!D32</f>
        <v>4897</v>
      </c>
      <c r="C32">
        <f t="shared" si="5"/>
        <v>421.073442</v>
      </c>
      <c r="D32">
        <f>MeteoJ!B32</f>
        <v>10.241666666666667</v>
      </c>
      <c r="E32">
        <f t="shared" si="0"/>
        <v>2.4847607734678112</v>
      </c>
      <c r="F32">
        <f t="shared" si="1"/>
        <v>1.2423803867339056</v>
      </c>
      <c r="H32">
        <f>(1-Initialisation!$C$19/100)*C32</f>
        <v>318.22625379150003</v>
      </c>
      <c r="I32">
        <f t="shared" si="2"/>
        <v>10.241666666666667</v>
      </c>
      <c r="J32">
        <f t="shared" si="3"/>
        <v>1.9422749609860668</v>
      </c>
      <c r="K32">
        <f t="shared" si="4"/>
        <v>0.97113748049303339</v>
      </c>
      <c r="M32">
        <f>IF(ETR!A32&lt;=Initialisation!$C$24,Initialisation!$D$23,IF(ETR!A32&lt;=Initialisation!$C$25,Initialisation!$D$24,IF(ETR!A32&lt;=Initialisation!$C$26,Initialisation!$D$25,IF(ETR!A32&lt;=Initialisation!$C$27,Initialisation!$D$26,IF(ETR!A33&lt;=Initialisation!$C$28,Initialisation!$D$27,IF(ETR!A33&lt;=Initialisation!$C$29,Initialisation!$D$28,0))))))</f>
        <v>0.5</v>
      </c>
    </row>
    <row r="33" spans="1:13" x14ac:dyDescent="0.35">
      <c r="A33" s="5">
        <f>IF(MeteoJ!A33=$BP$5,A32,MeteoJ!A33)</f>
        <v>42081</v>
      </c>
      <c r="B33">
        <f>MeteoJ!D33</f>
        <v>2372</v>
      </c>
      <c r="C33">
        <f t="shared" si="5"/>
        <v>203.95879199999999</v>
      </c>
      <c r="D33">
        <f>MeteoJ!B33</f>
        <v>11.854166666666664</v>
      </c>
      <c r="E33">
        <f t="shared" si="0"/>
        <v>1.4573570088626842</v>
      </c>
      <c r="F33">
        <f t="shared" si="1"/>
        <v>0.72867850443134208</v>
      </c>
      <c r="H33">
        <f>(1-Initialisation!$C$19/100)*C33</f>
        <v>154.14185705399998</v>
      </c>
      <c r="I33">
        <f t="shared" si="2"/>
        <v>11.854166666666664</v>
      </c>
      <c r="J33">
        <f t="shared" si="3"/>
        <v>1.1714796870662822</v>
      </c>
      <c r="K33">
        <f t="shared" si="4"/>
        <v>0.58573984353314112</v>
      </c>
      <c r="M33">
        <f>IF(ETR!A33&lt;=Initialisation!$C$24,Initialisation!$D$23,IF(ETR!A33&lt;=Initialisation!$C$25,Initialisation!$D$24,IF(ETR!A33&lt;=Initialisation!$C$26,Initialisation!$D$25,IF(ETR!A33&lt;=Initialisation!$C$27,Initialisation!$D$26,IF(ETR!A34&lt;=Initialisation!$C$28,Initialisation!$D$27,IF(ETR!A34&lt;=Initialisation!$C$29,Initialisation!$D$28,0))))))</f>
        <v>0.5</v>
      </c>
    </row>
    <row r="34" spans="1:13" x14ac:dyDescent="0.35">
      <c r="A34" s="5">
        <f>IF(MeteoJ!A34=$BP$5,A33,MeteoJ!A34)</f>
        <v>42082</v>
      </c>
      <c r="B34">
        <f>MeteoJ!D34</f>
        <v>4255</v>
      </c>
      <c r="C34">
        <f t="shared" si="5"/>
        <v>365.87042999999994</v>
      </c>
      <c r="D34">
        <f>MeteoJ!B34</f>
        <v>12.65</v>
      </c>
      <c r="E34">
        <f t="shared" si="0"/>
        <v>2.4734138232730558</v>
      </c>
      <c r="F34">
        <f t="shared" si="1"/>
        <v>1.2367069116365279</v>
      </c>
      <c r="H34">
        <f>(1-Initialisation!$C$19/100)*C34</f>
        <v>276.50657747249994</v>
      </c>
      <c r="I34">
        <f t="shared" si="2"/>
        <v>12.65</v>
      </c>
      <c r="J34">
        <f t="shared" si="3"/>
        <v>1.9419170584214329</v>
      </c>
      <c r="K34">
        <f t="shared" si="4"/>
        <v>0.97095852921071646</v>
      </c>
      <c r="M34">
        <f>IF(ETR!A34&lt;=Initialisation!$C$24,Initialisation!$D$23,IF(ETR!A34&lt;=Initialisation!$C$25,Initialisation!$D$24,IF(ETR!A34&lt;=Initialisation!$C$26,Initialisation!$D$25,IF(ETR!A34&lt;=Initialisation!$C$27,Initialisation!$D$26,IF(ETR!A35&lt;=Initialisation!$C$28,Initialisation!$D$27,IF(ETR!A35&lt;=Initialisation!$C$29,Initialisation!$D$28,0))))))</f>
        <v>0.5</v>
      </c>
    </row>
    <row r="35" spans="1:13" x14ac:dyDescent="0.35">
      <c r="A35" s="5">
        <f>IF(MeteoJ!A35=$BP$5,A34,MeteoJ!A35)</f>
        <v>42083</v>
      </c>
      <c r="B35">
        <f>MeteoJ!D35</f>
        <v>3513</v>
      </c>
      <c r="C35">
        <f t="shared" si="5"/>
        <v>302.06881799999996</v>
      </c>
      <c r="D35">
        <f>MeteoJ!B35</f>
        <v>9.6541666666666668</v>
      </c>
      <c r="E35">
        <f t="shared" si="0"/>
        <v>1.7922367529116103</v>
      </c>
      <c r="F35">
        <f t="shared" si="1"/>
        <v>0.89611837645580517</v>
      </c>
      <c r="H35">
        <f>(1-Initialisation!$C$19/100)*C35</f>
        <v>228.28850920349998</v>
      </c>
      <c r="I35">
        <f t="shared" si="2"/>
        <v>9.6541666666666668</v>
      </c>
      <c r="J35">
        <f t="shared" si="3"/>
        <v>1.4166517129826977</v>
      </c>
      <c r="K35">
        <f t="shared" si="4"/>
        <v>0.70832585649134883</v>
      </c>
      <c r="M35">
        <f>IF(ETR!A35&lt;=Initialisation!$C$24,Initialisation!$D$23,IF(ETR!A35&lt;=Initialisation!$C$25,Initialisation!$D$24,IF(ETR!A35&lt;=Initialisation!$C$26,Initialisation!$D$25,IF(ETR!A35&lt;=Initialisation!$C$27,Initialisation!$D$26,IF(ETR!A36&lt;=Initialisation!$C$28,Initialisation!$D$27,IF(ETR!A36&lt;=Initialisation!$C$29,Initialisation!$D$28,0))))))</f>
        <v>0.5</v>
      </c>
    </row>
    <row r="36" spans="1:13" x14ac:dyDescent="0.35">
      <c r="A36" s="5">
        <f>IF(MeteoJ!A36=$BP$5,A35,MeteoJ!A36)</f>
        <v>42084</v>
      </c>
      <c r="B36">
        <f>MeteoJ!D36</f>
        <v>3011</v>
      </c>
      <c r="C36">
        <f t="shared" si="5"/>
        <v>258.90384599999999</v>
      </c>
      <c r="D36">
        <f>MeteoJ!B36</f>
        <v>10.858333333333334</v>
      </c>
      <c r="E36">
        <f t="shared" si="0"/>
        <v>1.6862785199465034</v>
      </c>
      <c r="F36">
        <f t="shared" si="1"/>
        <v>0.84313925997325168</v>
      </c>
      <c r="H36">
        <f>(1-Initialisation!$C$19/100)*C36</f>
        <v>195.66658161449999</v>
      </c>
      <c r="I36">
        <f t="shared" si="2"/>
        <v>10.858333333333334</v>
      </c>
      <c r="J36">
        <f t="shared" si="3"/>
        <v>1.3410719387586256</v>
      </c>
      <c r="K36">
        <f t="shared" si="4"/>
        <v>0.67053596937931281</v>
      </c>
      <c r="M36">
        <f>IF(ETR!A36&lt;=Initialisation!$C$24,Initialisation!$D$23,IF(ETR!A36&lt;=Initialisation!$C$25,Initialisation!$D$24,IF(ETR!A36&lt;=Initialisation!$C$26,Initialisation!$D$25,IF(ETR!A36&lt;=Initialisation!$C$27,Initialisation!$D$26,IF(ETR!A37&lt;=Initialisation!$C$28,Initialisation!$D$27,IF(ETR!A37&lt;=Initialisation!$C$29,Initialisation!$D$28,0))))))</f>
        <v>0.5</v>
      </c>
    </row>
    <row r="37" spans="1:13" x14ac:dyDescent="0.35">
      <c r="A37" s="5">
        <f>IF(MeteoJ!A37=$BP$5,A36,MeteoJ!A37)</f>
        <v>42085</v>
      </c>
      <c r="B37">
        <f>MeteoJ!D37</f>
        <v>3769</v>
      </c>
      <c r="C37">
        <f t="shared" si="5"/>
        <v>324.08123399999999</v>
      </c>
      <c r="D37">
        <f>MeteoJ!B37</f>
        <v>8.85</v>
      </c>
      <c r="E37">
        <f t="shared" si="0"/>
        <v>1.8045302294213832</v>
      </c>
      <c r="F37">
        <f t="shared" si="1"/>
        <v>0.9022651147106916</v>
      </c>
      <c r="H37">
        <f>(1-Initialisation!$C$19/100)*C37</f>
        <v>244.9243925955</v>
      </c>
      <c r="I37">
        <f t="shared" si="2"/>
        <v>8.85</v>
      </c>
      <c r="J37">
        <f t="shared" si="3"/>
        <v>1.4226855919543926</v>
      </c>
      <c r="K37">
        <f t="shared" si="4"/>
        <v>0.7113427959771963</v>
      </c>
      <c r="M37">
        <f>IF(ETR!A37&lt;=Initialisation!$C$24,Initialisation!$D$23,IF(ETR!A37&lt;=Initialisation!$C$25,Initialisation!$D$24,IF(ETR!A37&lt;=Initialisation!$C$26,Initialisation!$D$25,IF(ETR!A37&lt;=Initialisation!$C$27,Initialisation!$D$26,IF(ETR!A38&lt;=Initialisation!$C$28,Initialisation!$D$27,IF(ETR!A38&lt;=Initialisation!$C$29,Initialisation!$D$28,0))))))</f>
        <v>0.5</v>
      </c>
    </row>
    <row r="38" spans="1:13" x14ac:dyDescent="0.35">
      <c r="A38" s="5">
        <f>IF(MeteoJ!A38=$BP$5,A37,MeteoJ!A38)</f>
        <v>42086</v>
      </c>
      <c r="B38">
        <f>MeteoJ!D38</f>
        <v>2456</v>
      </c>
      <c r="C38">
        <f t="shared" si="5"/>
        <v>211.18161599999999</v>
      </c>
      <c r="D38">
        <f>MeteoJ!B38</f>
        <v>9.8499999999999979</v>
      </c>
      <c r="E38">
        <f t="shared" si="0"/>
        <v>1.3458473210784703</v>
      </c>
      <c r="F38">
        <f t="shared" si="1"/>
        <v>0.67292366053923514</v>
      </c>
      <c r="H38">
        <f>(1-Initialisation!$C$19/100)*C38</f>
        <v>159.60050629200001</v>
      </c>
      <c r="I38">
        <f t="shared" si="2"/>
        <v>9.8499999999999979</v>
      </c>
      <c r="J38">
        <f t="shared" si="3"/>
        <v>1.0800541179352352</v>
      </c>
      <c r="K38">
        <f t="shared" si="4"/>
        <v>0.5400270589676176</v>
      </c>
      <c r="M38">
        <f>IF(ETR!A38&lt;=Initialisation!$C$24,Initialisation!$D$23,IF(ETR!A38&lt;=Initialisation!$C$25,Initialisation!$D$24,IF(ETR!A38&lt;=Initialisation!$C$26,Initialisation!$D$25,IF(ETR!A38&lt;=Initialisation!$C$27,Initialisation!$D$26,IF(ETR!A39&lt;=Initialisation!$C$28,Initialisation!$D$27,IF(ETR!A39&lt;=Initialisation!$C$29,Initialisation!$D$28,0))))))</f>
        <v>0.5</v>
      </c>
    </row>
    <row r="39" spans="1:13" x14ac:dyDescent="0.35">
      <c r="A39" s="5">
        <f>IF(MeteoJ!A39=$BP$5,A38,MeteoJ!A39)</f>
        <v>42087</v>
      </c>
      <c r="B39">
        <f>MeteoJ!D39</f>
        <v>2184</v>
      </c>
      <c r="C39">
        <f t="shared" si="5"/>
        <v>187.79342399999999</v>
      </c>
      <c r="D39">
        <f>MeteoJ!B39</f>
        <v>8.7625000000000011</v>
      </c>
      <c r="E39">
        <f t="shared" si="0"/>
        <v>1.1399323897485534</v>
      </c>
      <c r="F39">
        <f t="shared" si="1"/>
        <v>0.56996619487427669</v>
      </c>
      <c r="H39">
        <f>(1-Initialisation!$C$19/100)*C39</f>
        <v>141.924880188</v>
      </c>
      <c r="I39">
        <f t="shared" si="2"/>
        <v>8.7625000000000011</v>
      </c>
      <c r="J39">
        <f t="shared" si="3"/>
        <v>0.92004809739781379</v>
      </c>
      <c r="K39">
        <f t="shared" si="4"/>
        <v>0.4600240486989069</v>
      </c>
      <c r="M39">
        <f>IF(ETR!A39&lt;=Initialisation!$C$24,Initialisation!$D$23,IF(ETR!A39&lt;=Initialisation!$C$25,Initialisation!$D$24,IF(ETR!A39&lt;=Initialisation!$C$26,Initialisation!$D$25,IF(ETR!A39&lt;=Initialisation!$C$27,Initialisation!$D$26,IF(ETR!A40&lt;=Initialisation!$C$28,Initialisation!$D$27,IF(ETR!A40&lt;=Initialisation!$C$29,Initialisation!$D$28,0))))))</f>
        <v>0.5</v>
      </c>
    </row>
    <row r="40" spans="1:13" x14ac:dyDescent="0.35">
      <c r="A40" s="5">
        <f>IF(MeteoJ!A40=$BP$5,A39,MeteoJ!A40)</f>
        <v>42088</v>
      </c>
      <c r="B40">
        <f>MeteoJ!D40</f>
        <v>5172</v>
      </c>
      <c r="C40">
        <f t="shared" si="5"/>
        <v>444.71959199999998</v>
      </c>
      <c r="D40">
        <f>MeteoJ!B40</f>
        <v>6.3875000000000002</v>
      </c>
      <c r="E40">
        <f t="shared" si="0"/>
        <v>1.920761104416131</v>
      </c>
      <c r="F40">
        <f t="shared" si="1"/>
        <v>0.96038055220806551</v>
      </c>
      <c r="H40">
        <f>(1-Initialisation!$C$19/100)*C40</f>
        <v>336.09683165399997</v>
      </c>
      <c r="I40">
        <f t="shared" si="2"/>
        <v>6.3875000000000002</v>
      </c>
      <c r="J40">
        <f t="shared" si="3"/>
        <v>1.4990305392621401</v>
      </c>
      <c r="K40">
        <f t="shared" si="4"/>
        <v>0.74951526963107007</v>
      </c>
      <c r="M40">
        <f>IF(ETR!A40&lt;=Initialisation!$C$24,Initialisation!$D$23,IF(ETR!A40&lt;=Initialisation!$C$25,Initialisation!$D$24,IF(ETR!A40&lt;=Initialisation!$C$26,Initialisation!$D$25,IF(ETR!A40&lt;=Initialisation!$C$27,Initialisation!$D$26,IF(ETR!A41&lt;=Initialisation!$C$28,Initialisation!$D$27,IF(ETR!A41&lt;=Initialisation!$C$29,Initialisation!$D$28,0))))))</f>
        <v>0.5</v>
      </c>
    </row>
    <row r="41" spans="1:13" x14ac:dyDescent="0.35">
      <c r="A41" s="5">
        <f>IF(MeteoJ!A41=$BP$5,A40,MeteoJ!A41)</f>
        <v>42089</v>
      </c>
      <c r="B41">
        <f>MeteoJ!D41</f>
        <v>1068</v>
      </c>
      <c r="C41">
        <f t="shared" si="5"/>
        <v>91.833047999999991</v>
      </c>
      <c r="D41">
        <f>MeteoJ!B41</f>
        <v>7.1875</v>
      </c>
      <c r="E41">
        <f t="shared" si="0"/>
        <v>0.59729692045070415</v>
      </c>
      <c r="F41">
        <f t="shared" si="1"/>
        <v>0.29864846022535207</v>
      </c>
      <c r="H41">
        <f>(1-Initialisation!$C$19/100)*C41</f>
        <v>69.402826026</v>
      </c>
      <c r="I41">
        <f t="shared" si="2"/>
        <v>7.1875</v>
      </c>
      <c r="J41">
        <f t="shared" si="3"/>
        <v>0.50283725326442252</v>
      </c>
      <c r="K41">
        <f t="shared" si="4"/>
        <v>0.25141862663221126</v>
      </c>
      <c r="M41">
        <f>IF(ETR!A41&lt;=Initialisation!$C$24,Initialisation!$D$23,IF(ETR!A41&lt;=Initialisation!$C$25,Initialisation!$D$24,IF(ETR!A41&lt;=Initialisation!$C$26,Initialisation!$D$25,IF(ETR!A41&lt;=Initialisation!$C$27,Initialisation!$D$26,IF(ETR!A42&lt;=Initialisation!$C$28,Initialisation!$D$27,IF(ETR!A42&lt;=Initialisation!$C$29,Initialisation!$D$28,0))))))</f>
        <v>0.5</v>
      </c>
    </row>
    <row r="42" spans="1:13" x14ac:dyDescent="0.35">
      <c r="A42" s="5">
        <f>IF(MeteoJ!A42=$BP$5,A41,MeteoJ!A42)</f>
        <v>42090</v>
      </c>
      <c r="B42">
        <f>MeteoJ!D42</f>
        <v>2307</v>
      </c>
      <c r="C42">
        <f t="shared" si="5"/>
        <v>198.36970199999999</v>
      </c>
      <c r="D42">
        <f>MeteoJ!B42</f>
        <v>9.7791666666666668</v>
      </c>
      <c r="E42">
        <f t="shared" si="0"/>
        <v>1.2742572688283167</v>
      </c>
      <c r="F42">
        <f t="shared" si="1"/>
        <v>0.63712863441415835</v>
      </c>
      <c r="H42">
        <f>(1-Initialisation!$C$19/100)*C42</f>
        <v>149.91790228650001</v>
      </c>
      <c r="I42">
        <f t="shared" si="2"/>
        <v>9.7791666666666668</v>
      </c>
      <c r="J42">
        <f t="shared" si="3"/>
        <v>1.0256759906950397</v>
      </c>
      <c r="K42">
        <f t="shared" si="4"/>
        <v>0.51283799534751984</v>
      </c>
      <c r="M42">
        <f>IF(ETR!A42&lt;=Initialisation!$C$24,Initialisation!$D$23,IF(ETR!A42&lt;=Initialisation!$C$25,Initialisation!$D$24,IF(ETR!A42&lt;=Initialisation!$C$26,Initialisation!$D$25,IF(ETR!A42&lt;=Initialisation!$C$27,Initialisation!$D$26,IF(ETR!A43&lt;=Initialisation!$C$28,Initialisation!$D$27,IF(ETR!A43&lt;=Initialisation!$C$29,Initialisation!$D$28,0))))))</f>
        <v>0.5</v>
      </c>
    </row>
    <row r="43" spans="1:13" x14ac:dyDescent="0.35">
      <c r="A43" s="5">
        <f>IF(MeteoJ!A43=$BP$5,A42,MeteoJ!A43)</f>
        <v>42091</v>
      </c>
      <c r="B43">
        <f>MeteoJ!D43</f>
        <v>1721</v>
      </c>
      <c r="C43">
        <f t="shared" si="5"/>
        <v>147.98190600000001</v>
      </c>
      <c r="D43">
        <f>MeteoJ!B43</f>
        <v>11.741666666666665</v>
      </c>
      <c r="E43">
        <f t="shared" si="0"/>
        <v>1.130082446931131</v>
      </c>
      <c r="F43">
        <f t="shared" si="1"/>
        <v>0.56504122346556551</v>
      </c>
      <c r="H43">
        <f>(1-Initialisation!$C$19/100)*C43</f>
        <v>111.83732545950001</v>
      </c>
      <c r="I43">
        <f t="shared" si="2"/>
        <v>11.741666666666665</v>
      </c>
      <c r="J43">
        <f t="shared" si="3"/>
        <v>0.92376886582787821</v>
      </c>
      <c r="K43">
        <f t="shared" si="4"/>
        <v>0.4618844329139391</v>
      </c>
      <c r="M43">
        <f>IF(ETR!A43&lt;=Initialisation!$C$24,Initialisation!$D$23,IF(ETR!A43&lt;=Initialisation!$C$25,Initialisation!$D$24,IF(ETR!A43&lt;=Initialisation!$C$26,Initialisation!$D$25,IF(ETR!A43&lt;=Initialisation!$C$27,Initialisation!$D$26,IF(ETR!A44&lt;=Initialisation!$C$28,Initialisation!$D$27,IF(ETR!A44&lt;=Initialisation!$C$29,Initialisation!$D$28,0))))))</f>
        <v>0.5</v>
      </c>
    </row>
    <row r="44" spans="1:13" x14ac:dyDescent="0.35">
      <c r="A44" s="5">
        <f>IF(MeteoJ!A44=$BP$5,A43,MeteoJ!A44)</f>
        <v>42092</v>
      </c>
      <c r="B44">
        <f>MeteoJ!D44</f>
        <v>1952</v>
      </c>
      <c r="C44">
        <f t="shared" si="5"/>
        <v>167.844672</v>
      </c>
      <c r="D44">
        <f>MeteoJ!B44</f>
        <v>12.024999999999999</v>
      </c>
      <c r="E44">
        <f t="shared" si="0"/>
        <v>1.2601135374801109</v>
      </c>
      <c r="F44">
        <f t="shared" si="1"/>
        <v>0.63005676874005545</v>
      </c>
      <c r="H44">
        <f>(1-Initialisation!$C$19/100)*C44</f>
        <v>126.84861086400001</v>
      </c>
      <c r="I44">
        <f t="shared" si="2"/>
        <v>12.024999999999999</v>
      </c>
      <c r="J44">
        <f t="shared" si="3"/>
        <v>1.0229735094658574</v>
      </c>
      <c r="K44">
        <f t="shared" si="4"/>
        <v>0.51148675473292871</v>
      </c>
      <c r="M44">
        <f>IF(ETR!A44&lt;=Initialisation!$C$24,Initialisation!$D$23,IF(ETR!A44&lt;=Initialisation!$C$25,Initialisation!$D$24,IF(ETR!A44&lt;=Initialisation!$C$26,Initialisation!$D$25,IF(ETR!A44&lt;=Initialisation!$C$27,Initialisation!$D$26,IF(ETR!A45&lt;=Initialisation!$C$28,Initialisation!$D$27,IF(ETR!A45&lt;=Initialisation!$C$29,Initialisation!$D$28,0))))))</f>
        <v>0.5</v>
      </c>
    </row>
    <row r="45" spans="1:13" x14ac:dyDescent="0.35">
      <c r="A45" s="5">
        <f>IF(MeteoJ!A45=$BP$5,A44,MeteoJ!A45)</f>
        <v>42093</v>
      </c>
      <c r="B45">
        <f>MeteoJ!D45</f>
        <v>757</v>
      </c>
      <c r="C45">
        <f t="shared" si="5"/>
        <v>65.091402000000002</v>
      </c>
      <c r="D45">
        <f>MeteoJ!B45</f>
        <v>12.450000000000001</v>
      </c>
      <c r="E45">
        <f t="shared" si="0"/>
        <v>0.67859903146448075</v>
      </c>
      <c r="F45">
        <f t="shared" si="1"/>
        <v>0.33929951573224038</v>
      </c>
      <c r="H45">
        <f>(1-Initialisation!$C$19/100)*C45</f>
        <v>49.192827061500005</v>
      </c>
      <c r="I45">
        <f t="shared" si="2"/>
        <v>12.450000000000001</v>
      </c>
      <c r="J45">
        <f t="shared" si="3"/>
        <v>0.58485825354840704</v>
      </c>
      <c r="K45">
        <f t="shared" si="4"/>
        <v>0.29242912677420352</v>
      </c>
      <c r="M45">
        <f>IF(ETR!A45&lt;=Initialisation!$C$24,Initialisation!$D$23,IF(ETR!A45&lt;=Initialisation!$C$25,Initialisation!$D$24,IF(ETR!A45&lt;=Initialisation!$C$26,Initialisation!$D$25,IF(ETR!A45&lt;=Initialisation!$C$27,Initialisation!$D$26,IF(ETR!A46&lt;=Initialisation!$C$28,Initialisation!$D$27,IF(ETR!A46&lt;=Initialisation!$C$29,Initialisation!$D$28,0))))))</f>
        <v>0.5</v>
      </c>
    </row>
    <row r="46" spans="1:13" x14ac:dyDescent="0.35">
      <c r="A46" s="5">
        <f>IF(MeteoJ!A46=$BP$5,A45,MeteoJ!A46)</f>
        <v>42094</v>
      </c>
      <c r="B46">
        <f>MeteoJ!D46</f>
        <v>2508</v>
      </c>
      <c r="C46">
        <f t="shared" si="5"/>
        <v>215.65288799999999</v>
      </c>
      <c r="D46">
        <f>MeteoJ!B46</f>
        <v>12.254166666666665</v>
      </c>
      <c r="E46">
        <f t="shared" si="0"/>
        <v>1.5527758549004735</v>
      </c>
      <c r="F46">
        <f t="shared" si="1"/>
        <v>0.77638792745023677</v>
      </c>
      <c r="H46">
        <f>(1-Initialisation!$C$19/100)*C46</f>
        <v>162.97967010599999</v>
      </c>
      <c r="I46">
        <f t="shared" si="2"/>
        <v>12.254166666666665</v>
      </c>
      <c r="J46">
        <f t="shared" si="3"/>
        <v>1.2448940111852462</v>
      </c>
      <c r="K46">
        <f t="shared" si="4"/>
        <v>0.62244700559262311</v>
      </c>
      <c r="M46">
        <f>IF(ETR!A46&lt;=Initialisation!$C$24,Initialisation!$D$23,IF(ETR!A46&lt;=Initialisation!$C$25,Initialisation!$D$24,IF(ETR!A46&lt;=Initialisation!$C$26,Initialisation!$D$25,IF(ETR!A46&lt;=Initialisation!$C$27,Initialisation!$D$26,IF(ETR!A47&lt;=Initialisation!$C$28,Initialisation!$D$27,IF(ETR!A47&lt;=Initialisation!$C$29,Initialisation!$D$28,0))))))</f>
        <v>0.5</v>
      </c>
    </row>
    <row r="47" spans="1:13" x14ac:dyDescent="0.35">
      <c r="A47" s="5">
        <f>IF(MeteoJ!A47=$BP$5,A46,MeteoJ!A47)</f>
        <v>42095</v>
      </c>
      <c r="B47">
        <f>MeteoJ!D47</f>
        <v>2948</v>
      </c>
      <c r="C47">
        <f t="shared" si="5"/>
        <v>253.486728</v>
      </c>
      <c r="D47">
        <f>MeteoJ!B47</f>
        <v>9.8166666666666664</v>
      </c>
      <c r="E47">
        <f t="shared" si="0"/>
        <v>1.5606433017434518</v>
      </c>
      <c r="F47">
        <f t="shared" si="1"/>
        <v>0.78032165087172589</v>
      </c>
      <c r="H47">
        <f>(1-Initialisation!$C$19/100)*C47</f>
        <v>191.572594686</v>
      </c>
      <c r="I47">
        <f t="shared" si="2"/>
        <v>9.8166666666666664</v>
      </c>
      <c r="J47">
        <f t="shared" si="3"/>
        <v>1.2422574597116869</v>
      </c>
      <c r="K47">
        <f t="shared" si="4"/>
        <v>0.62112872985584344</v>
      </c>
      <c r="M47">
        <f>IF(ETR!A47&lt;=Initialisation!$C$24,Initialisation!$D$23,IF(ETR!A47&lt;=Initialisation!$C$25,Initialisation!$D$24,IF(ETR!A47&lt;=Initialisation!$C$26,Initialisation!$D$25,IF(ETR!A47&lt;=Initialisation!$C$27,Initialisation!$D$26,IF(ETR!A48&lt;=Initialisation!$C$28,Initialisation!$D$27,IF(ETR!A48&lt;=Initialisation!$C$29,Initialisation!$D$28,0))))))</f>
        <v>0.5</v>
      </c>
    </row>
    <row r="48" spans="1:13" x14ac:dyDescent="0.35">
      <c r="A48" s="5">
        <f>IF(MeteoJ!A48=$BP$5,A47,MeteoJ!A48)</f>
        <v>42096</v>
      </c>
      <c r="B48">
        <f>MeteoJ!D48</f>
        <v>3017</v>
      </c>
      <c r="C48">
        <f t="shared" si="5"/>
        <v>259.41976199999999</v>
      </c>
      <c r="D48">
        <f>MeteoJ!B48</f>
        <v>8.6958333333333311</v>
      </c>
      <c r="E48">
        <f t="shared" si="0"/>
        <v>1.476150441853701</v>
      </c>
      <c r="F48">
        <f t="shared" si="1"/>
        <v>0.73807522092685052</v>
      </c>
      <c r="H48">
        <f>(1-Initialisation!$C$19/100)*C48</f>
        <v>196.05648513150001</v>
      </c>
      <c r="I48">
        <f t="shared" si="2"/>
        <v>8.6958333333333311</v>
      </c>
      <c r="J48">
        <f t="shared" si="3"/>
        <v>1.1738629326714831</v>
      </c>
      <c r="K48">
        <f t="shared" si="4"/>
        <v>0.58693146633574156</v>
      </c>
      <c r="M48">
        <f>IF(ETR!A48&lt;=Initialisation!$C$24,Initialisation!$D$23,IF(ETR!A48&lt;=Initialisation!$C$25,Initialisation!$D$24,IF(ETR!A48&lt;=Initialisation!$C$26,Initialisation!$D$25,IF(ETR!A48&lt;=Initialisation!$C$27,Initialisation!$D$26,IF(ETR!A49&lt;=Initialisation!$C$28,Initialisation!$D$27,IF(ETR!A49&lt;=Initialisation!$C$29,Initialisation!$D$28,0))))))</f>
        <v>0.5</v>
      </c>
    </row>
    <row r="49" spans="1:13" x14ac:dyDescent="0.35">
      <c r="A49" s="5">
        <f>IF(MeteoJ!A49=$BP$5,A48,MeteoJ!A49)</f>
        <v>42097</v>
      </c>
      <c r="B49">
        <f>MeteoJ!D49</f>
        <v>2101</v>
      </c>
      <c r="C49">
        <f t="shared" si="5"/>
        <v>180.65658599999998</v>
      </c>
      <c r="D49">
        <f>MeteoJ!B49</f>
        <v>9.2250000000000014</v>
      </c>
      <c r="E49">
        <f t="shared" si="0"/>
        <v>1.1418572167616099</v>
      </c>
      <c r="F49">
        <f t="shared" si="1"/>
        <v>0.57092860838080495</v>
      </c>
      <c r="H49">
        <f>(1-Initialisation!$C$19/100)*C49</f>
        <v>136.53121486949999</v>
      </c>
      <c r="I49">
        <f t="shared" si="2"/>
        <v>9.2250000000000014</v>
      </c>
      <c r="J49">
        <f t="shared" si="3"/>
        <v>0.92341613800721511</v>
      </c>
      <c r="K49">
        <f t="shared" si="4"/>
        <v>0.46170806900360756</v>
      </c>
      <c r="M49">
        <f>IF(ETR!A49&lt;=Initialisation!$C$24,Initialisation!$D$23,IF(ETR!A49&lt;=Initialisation!$C$25,Initialisation!$D$24,IF(ETR!A49&lt;=Initialisation!$C$26,Initialisation!$D$25,IF(ETR!A49&lt;=Initialisation!$C$27,Initialisation!$D$26,IF(ETR!A50&lt;=Initialisation!$C$28,Initialisation!$D$27,IF(ETR!A50&lt;=Initialisation!$C$29,Initialisation!$D$28,0))))))</f>
        <v>0.5</v>
      </c>
    </row>
    <row r="50" spans="1:13" x14ac:dyDescent="0.35">
      <c r="A50" s="5">
        <f>IF(MeteoJ!A50=$BP$5,A49,MeteoJ!A50)</f>
        <v>42098</v>
      </c>
      <c r="B50">
        <f>MeteoJ!D50</f>
        <v>3092</v>
      </c>
      <c r="C50">
        <f t="shared" si="5"/>
        <v>265.86871200000002</v>
      </c>
      <c r="D50">
        <f>MeteoJ!B50</f>
        <v>10.8125</v>
      </c>
      <c r="E50">
        <f t="shared" si="0"/>
        <v>1.7200695721259081</v>
      </c>
      <c r="F50">
        <f t="shared" si="1"/>
        <v>0.86003478606295403</v>
      </c>
      <c r="H50">
        <f>(1-Initialisation!$C$19/100)*C50</f>
        <v>200.93027909400001</v>
      </c>
      <c r="I50">
        <f t="shared" si="2"/>
        <v>10.8125</v>
      </c>
      <c r="J50">
        <f t="shared" si="3"/>
        <v>1.3664459992310072</v>
      </c>
      <c r="K50">
        <f t="shared" si="4"/>
        <v>0.68322299961550359</v>
      </c>
      <c r="M50">
        <f>IF(ETR!A50&lt;=Initialisation!$C$24,Initialisation!$D$23,IF(ETR!A50&lt;=Initialisation!$C$25,Initialisation!$D$24,IF(ETR!A50&lt;=Initialisation!$C$26,Initialisation!$D$25,IF(ETR!A50&lt;=Initialisation!$C$27,Initialisation!$D$26,IF(ETR!A51&lt;=Initialisation!$C$28,Initialisation!$D$27,IF(ETR!A51&lt;=Initialisation!$C$29,Initialisation!$D$28,0))))))</f>
        <v>0.5</v>
      </c>
    </row>
    <row r="51" spans="1:13" x14ac:dyDescent="0.35">
      <c r="A51" s="5">
        <f>IF(MeteoJ!A51=$BP$5,A50,MeteoJ!A51)</f>
        <v>42099</v>
      </c>
      <c r="B51">
        <f>MeteoJ!D51</f>
        <v>6380</v>
      </c>
      <c r="C51">
        <f t="shared" si="5"/>
        <v>548.59068000000002</v>
      </c>
      <c r="D51">
        <f>MeteoJ!B51</f>
        <v>10.095833333333333</v>
      </c>
      <c r="E51">
        <f t="shared" si="0"/>
        <v>3.1305010508583759</v>
      </c>
      <c r="F51">
        <f t="shared" si="1"/>
        <v>1.565250525429188</v>
      </c>
      <c r="H51">
        <f>(1-Initialisation!$C$19/100)*C51</f>
        <v>414.59740641000002</v>
      </c>
      <c r="I51">
        <f t="shared" si="2"/>
        <v>10.095833333333333</v>
      </c>
      <c r="J51">
        <f t="shared" si="3"/>
        <v>2.4297449285254178</v>
      </c>
      <c r="K51">
        <f t="shared" si="4"/>
        <v>1.2148724642627089</v>
      </c>
      <c r="M51">
        <f>IF(ETR!A51&lt;=Initialisation!$C$24,Initialisation!$D$23,IF(ETR!A51&lt;=Initialisation!$C$25,Initialisation!$D$24,IF(ETR!A51&lt;=Initialisation!$C$26,Initialisation!$D$25,IF(ETR!A51&lt;=Initialisation!$C$27,Initialisation!$D$26,IF(ETR!A52&lt;=Initialisation!$C$28,Initialisation!$D$27,IF(ETR!A52&lt;=Initialisation!$C$29,Initialisation!$D$28,0))))))</f>
        <v>0.5</v>
      </c>
    </row>
    <row r="52" spans="1:13" x14ac:dyDescent="0.35">
      <c r="A52" s="5">
        <f>IF(MeteoJ!A52=$BP$5,A51,MeteoJ!A52)</f>
        <v>42100</v>
      </c>
      <c r="B52">
        <f>MeteoJ!D52</f>
        <v>6491</v>
      </c>
      <c r="C52">
        <f t="shared" si="5"/>
        <v>558.13512600000001</v>
      </c>
      <c r="D52">
        <f>MeteoJ!B52</f>
        <v>10.262499999999999</v>
      </c>
      <c r="E52">
        <f t="shared" si="0"/>
        <v>3.2115913903008408</v>
      </c>
      <c r="F52">
        <f t="shared" si="1"/>
        <v>1.6057956951504204</v>
      </c>
      <c r="H52">
        <f>(1-Initialisation!$C$19/100)*C52</f>
        <v>421.81062147450001</v>
      </c>
      <c r="I52">
        <f t="shared" si="2"/>
        <v>10.262499999999999</v>
      </c>
      <c r="J52">
        <f t="shared" si="3"/>
        <v>2.4916550039571193</v>
      </c>
      <c r="K52">
        <f t="shared" si="4"/>
        <v>1.2458275019785596</v>
      </c>
      <c r="M52">
        <f>IF(ETR!A52&lt;=Initialisation!$C$24,Initialisation!$D$23,IF(ETR!A52&lt;=Initialisation!$C$25,Initialisation!$D$24,IF(ETR!A52&lt;=Initialisation!$C$26,Initialisation!$D$25,IF(ETR!A52&lt;=Initialisation!$C$27,Initialisation!$D$26,IF(ETR!A53&lt;=Initialisation!$C$28,Initialisation!$D$27,IF(ETR!A53&lt;=Initialisation!$C$29,Initialisation!$D$28,0))))))</f>
        <v>0.5</v>
      </c>
    </row>
    <row r="53" spans="1:13" x14ac:dyDescent="0.35">
      <c r="A53" s="5">
        <f>IF(MeteoJ!A53=$BP$5,A52,MeteoJ!A53)</f>
        <v>42101</v>
      </c>
      <c r="B53">
        <f>MeteoJ!D53</f>
        <v>6606</v>
      </c>
      <c r="C53">
        <f t="shared" si="5"/>
        <v>568.02351599999997</v>
      </c>
      <c r="D53">
        <f>MeteoJ!B53</f>
        <v>11.85</v>
      </c>
      <c r="E53">
        <f t="shared" si="0"/>
        <v>3.54586676498324</v>
      </c>
      <c r="F53">
        <f t="shared" si="1"/>
        <v>1.77293338249162</v>
      </c>
      <c r="H53">
        <f>(1-Initialisation!$C$19/100)*C53</f>
        <v>429.28377221699998</v>
      </c>
      <c r="I53">
        <f t="shared" si="2"/>
        <v>11.85</v>
      </c>
      <c r="J53">
        <f t="shared" si="3"/>
        <v>2.7498571735578712</v>
      </c>
      <c r="K53">
        <f t="shared" si="4"/>
        <v>1.3749285867789356</v>
      </c>
      <c r="M53">
        <f>IF(ETR!A53&lt;=Initialisation!$C$24,Initialisation!$D$23,IF(ETR!A53&lt;=Initialisation!$C$25,Initialisation!$D$24,IF(ETR!A53&lt;=Initialisation!$C$26,Initialisation!$D$25,IF(ETR!A53&lt;=Initialisation!$C$27,Initialisation!$D$26,IF(ETR!A54&lt;=Initialisation!$C$28,Initialisation!$D$27,IF(ETR!A54&lt;=Initialisation!$C$29,Initialisation!$D$28,0))))))</f>
        <v>0.5</v>
      </c>
    </row>
    <row r="54" spans="1:13" x14ac:dyDescent="0.35">
      <c r="A54" s="5">
        <f>IF(MeteoJ!A54=$BP$5,A53,MeteoJ!A54)</f>
        <v>42102</v>
      </c>
      <c r="B54">
        <f>MeteoJ!D54</f>
        <v>6616</v>
      </c>
      <c r="C54">
        <f t="shared" si="5"/>
        <v>568.883376</v>
      </c>
      <c r="D54">
        <f>MeteoJ!B54</f>
        <v>12.275</v>
      </c>
      <c r="E54">
        <f t="shared" si="0"/>
        <v>3.6208364702181486</v>
      </c>
      <c r="F54">
        <f t="shared" si="1"/>
        <v>1.8104182351090743</v>
      </c>
      <c r="H54">
        <f>(1-Initialisation!$C$19/100)*C54</f>
        <v>429.933611412</v>
      </c>
      <c r="I54">
        <f t="shared" si="2"/>
        <v>12.275</v>
      </c>
      <c r="J54">
        <f t="shared" si="3"/>
        <v>2.8078975633756151</v>
      </c>
      <c r="K54">
        <f t="shared" si="4"/>
        <v>1.4039487816878076</v>
      </c>
      <c r="M54">
        <f>IF(ETR!A54&lt;=Initialisation!$C$24,Initialisation!$D$23,IF(ETR!A54&lt;=Initialisation!$C$25,Initialisation!$D$24,IF(ETR!A54&lt;=Initialisation!$C$26,Initialisation!$D$25,IF(ETR!A54&lt;=Initialisation!$C$27,Initialisation!$D$26,IF(ETR!A55&lt;=Initialisation!$C$28,Initialisation!$D$27,IF(ETR!A55&lt;=Initialisation!$C$29,Initialisation!$D$28,0))))))</f>
        <v>0.5</v>
      </c>
    </row>
    <row r="55" spans="1:13" x14ac:dyDescent="0.35">
      <c r="A55" s="5">
        <f>IF(MeteoJ!A55=$BP$5,A54,MeteoJ!A55)</f>
        <v>42103</v>
      </c>
      <c r="B55">
        <f>MeteoJ!D55</f>
        <v>6298</v>
      </c>
      <c r="C55">
        <f t="shared" si="5"/>
        <v>541.53982799999994</v>
      </c>
      <c r="D55">
        <f>MeteoJ!B55</f>
        <v>13.304166666666665</v>
      </c>
      <c r="E55">
        <f t="shared" si="0"/>
        <v>3.6146366436702477</v>
      </c>
      <c r="F55">
        <f t="shared" si="1"/>
        <v>1.8073183218351239</v>
      </c>
      <c r="H55">
        <f>(1-Initialisation!$C$19/100)*C55</f>
        <v>409.26872501099996</v>
      </c>
      <c r="I55">
        <f t="shared" si="2"/>
        <v>13.304166666666665</v>
      </c>
      <c r="J55">
        <f t="shared" si="3"/>
        <v>2.8063867961845421</v>
      </c>
      <c r="K55">
        <f t="shared" si="4"/>
        <v>1.4031933980922711</v>
      </c>
      <c r="M55">
        <f>IF(ETR!A55&lt;=Initialisation!$C$24,Initialisation!$D$23,IF(ETR!A55&lt;=Initialisation!$C$25,Initialisation!$D$24,IF(ETR!A55&lt;=Initialisation!$C$26,Initialisation!$D$25,IF(ETR!A55&lt;=Initialisation!$C$27,Initialisation!$D$26,IF(ETR!A56&lt;=Initialisation!$C$28,Initialisation!$D$27,IF(ETR!A56&lt;=Initialisation!$C$29,Initialisation!$D$28,0))))))</f>
        <v>0.5</v>
      </c>
    </row>
    <row r="56" spans="1:13" x14ac:dyDescent="0.35">
      <c r="A56" s="5">
        <f>IF(MeteoJ!A56=$BP$5,A55,MeteoJ!A56)</f>
        <v>42104</v>
      </c>
      <c r="B56">
        <f>MeteoJ!D56</f>
        <v>4582</v>
      </c>
      <c r="C56">
        <f t="shared" si="5"/>
        <v>393.98785200000003</v>
      </c>
      <c r="D56">
        <f>MeteoJ!B56</f>
        <v>12.887500000000001</v>
      </c>
      <c r="E56">
        <f t="shared" si="0"/>
        <v>2.6673102556503814</v>
      </c>
      <c r="F56">
        <f t="shared" si="1"/>
        <v>1.3336551278251907</v>
      </c>
      <c r="H56">
        <f>(1-Initialisation!$C$19/100)*C56</f>
        <v>297.75631914900003</v>
      </c>
      <c r="I56">
        <f t="shared" si="2"/>
        <v>12.887500000000001</v>
      </c>
      <c r="J56">
        <f t="shared" si="3"/>
        <v>2.0891877837534949</v>
      </c>
      <c r="K56">
        <f t="shared" si="4"/>
        <v>1.0445938918767474</v>
      </c>
      <c r="M56">
        <f>IF(ETR!A56&lt;=Initialisation!$C$24,Initialisation!$D$23,IF(ETR!A56&lt;=Initialisation!$C$25,Initialisation!$D$24,IF(ETR!A56&lt;=Initialisation!$C$26,Initialisation!$D$25,IF(ETR!A56&lt;=Initialisation!$C$27,Initialisation!$D$26,IF(ETR!A57&lt;=Initialisation!$C$28,Initialisation!$D$27,IF(ETR!A57&lt;=Initialisation!$C$29,Initialisation!$D$28,0))))))</f>
        <v>0.5</v>
      </c>
    </row>
    <row r="57" spans="1:13" x14ac:dyDescent="0.35">
      <c r="A57" s="5">
        <f>IF(MeteoJ!A57=$BP$5,A56,MeteoJ!A57)</f>
        <v>42105</v>
      </c>
      <c r="B57">
        <f>MeteoJ!D57</f>
        <v>3897</v>
      </c>
      <c r="C57">
        <f t="shared" si="5"/>
        <v>335.08744199999995</v>
      </c>
      <c r="D57">
        <f>MeteoJ!B57</f>
        <v>12.15</v>
      </c>
      <c r="E57">
        <f t="shared" si="0"/>
        <v>2.2403153393701656</v>
      </c>
      <c r="F57">
        <f t="shared" si="1"/>
        <v>1.1201576696850828</v>
      </c>
      <c r="H57">
        <f>(1-Initialisation!$C$19/100)*C57</f>
        <v>253.24233429149999</v>
      </c>
      <c r="I57">
        <f t="shared" si="2"/>
        <v>12.15</v>
      </c>
      <c r="J57">
        <f t="shared" si="3"/>
        <v>1.7641667293312127</v>
      </c>
      <c r="K57">
        <f t="shared" si="4"/>
        <v>0.88208336466560633</v>
      </c>
      <c r="M57">
        <f>IF(ETR!A57&lt;=Initialisation!$C$24,Initialisation!$D$23,IF(ETR!A57&lt;=Initialisation!$C$25,Initialisation!$D$24,IF(ETR!A57&lt;=Initialisation!$C$26,Initialisation!$D$25,IF(ETR!A57&lt;=Initialisation!$C$27,Initialisation!$D$26,IF(ETR!A58&lt;=Initialisation!$C$28,Initialisation!$D$27,IF(ETR!A58&lt;=Initialisation!$C$29,Initialisation!$D$28,0))))))</f>
        <v>0.5</v>
      </c>
    </row>
    <row r="58" spans="1:13" x14ac:dyDescent="0.35">
      <c r="A58" s="5">
        <f>IF(MeteoJ!A58=$BP$5,A57,MeteoJ!A58)</f>
        <v>42106</v>
      </c>
      <c r="B58">
        <f>MeteoJ!D58</f>
        <v>6223</v>
      </c>
      <c r="C58">
        <f t="shared" si="5"/>
        <v>535.09087799999998</v>
      </c>
      <c r="D58">
        <f>MeteoJ!B58</f>
        <v>14.491666666666669</v>
      </c>
      <c r="E58">
        <f t="shared" si="0"/>
        <v>3.7375387055512856</v>
      </c>
      <c r="F58">
        <f t="shared" si="1"/>
        <v>1.8687693527756428</v>
      </c>
      <c r="H58">
        <f>(1-Initialisation!$C$19/100)*C58</f>
        <v>404.39493104849998</v>
      </c>
      <c r="I58">
        <f t="shared" si="2"/>
        <v>14.491666666666669</v>
      </c>
      <c r="J58">
        <f t="shared" si="3"/>
        <v>2.9026578712103532</v>
      </c>
      <c r="K58">
        <f t="shared" si="4"/>
        <v>1.4513289356051766</v>
      </c>
      <c r="M58">
        <f>IF(ETR!A58&lt;=Initialisation!$C$24,Initialisation!$D$23,IF(ETR!A58&lt;=Initialisation!$C$25,Initialisation!$D$24,IF(ETR!A58&lt;=Initialisation!$C$26,Initialisation!$D$25,IF(ETR!A58&lt;=Initialisation!$C$27,Initialisation!$D$26,IF(ETR!A59&lt;=Initialisation!$C$28,Initialisation!$D$27,IF(ETR!A59&lt;=Initialisation!$C$29,Initialisation!$D$28,0))))))</f>
        <v>0.5</v>
      </c>
    </row>
    <row r="59" spans="1:13" x14ac:dyDescent="0.35">
      <c r="A59" s="5">
        <f>IF(MeteoJ!A59=$BP$5,A58,MeteoJ!A59)</f>
        <v>42107</v>
      </c>
      <c r="B59">
        <f>MeteoJ!D59</f>
        <v>6659</v>
      </c>
      <c r="C59">
        <f t="shared" si="5"/>
        <v>572.58077400000002</v>
      </c>
      <c r="D59">
        <f>MeteoJ!B59</f>
        <v>17.437500000000004</v>
      </c>
      <c r="E59">
        <f t="shared" si="0"/>
        <v>4.3508679524046254</v>
      </c>
      <c r="F59">
        <f t="shared" si="1"/>
        <v>2.1754339762023127</v>
      </c>
      <c r="H59">
        <f>(1-Initialisation!$C$19/100)*C59</f>
        <v>432.72791995050005</v>
      </c>
      <c r="I59">
        <f t="shared" si="2"/>
        <v>17.437500000000004</v>
      </c>
      <c r="J59">
        <f t="shared" si="3"/>
        <v>3.3735147700586974</v>
      </c>
      <c r="K59">
        <f t="shared" si="4"/>
        <v>1.6867573850293487</v>
      </c>
      <c r="M59">
        <f>IF(ETR!A59&lt;=Initialisation!$C$24,Initialisation!$D$23,IF(ETR!A59&lt;=Initialisation!$C$25,Initialisation!$D$24,IF(ETR!A59&lt;=Initialisation!$C$26,Initialisation!$D$25,IF(ETR!A59&lt;=Initialisation!$C$27,Initialisation!$D$26,IF(ETR!A60&lt;=Initialisation!$C$28,Initialisation!$D$27,IF(ETR!A60&lt;=Initialisation!$C$29,Initialisation!$D$28,0))))))</f>
        <v>0.5</v>
      </c>
    </row>
    <row r="60" spans="1:13" x14ac:dyDescent="0.35">
      <c r="A60" s="5">
        <f>IF(MeteoJ!A60=$BP$5,A59,MeteoJ!A60)</f>
        <v>42108</v>
      </c>
      <c r="B60">
        <f>MeteoJ!D60</f>
        <v>6756</v>
      </c>
      <c r="C60">
        <f t="shared" si="5"/>
        <v>580.92141600000002</v>
      </c>
      <c r="D60">
        <f>MeteoJ!B60</f>
        <v>18.624999999999996</v>
      </c>
      <c r="E60">
        <f t="shared" si="0"/>
        <v>4.5431032817546466</v>
      </c>
      <c r="F60">
        <f t="shared" si="1"/>
        <v>2.2715516408773233</v>
      </c>
      <c r="H60">
        <f>(1-Initialisation!$C$19/100)*C60</f>
        <v>439.03136014200004</v>
      </c>
      <c r="I60">
        <f t="shared" si="2"/>
        <v>18.624999999999996</v>
      </c>
      <c r="J60">
        <f t="shared" si="3"/>
        <v>3.5213893851117244</v>
      </c>
      <c r="K60">
        <f t="shared" si="4"/>
        <v>1.7606946925558622</v>
      </c>
      <c r="M60">
        <f>IF(ETR!A60&lt;=Initialisation!$C$24,Initialisation!$D$23,IF(ETR!A60&lt;=Initialisation!$C$25,Initialisation!$D$24,IF(ETR!A60&lt;=Initialisation!$C$26,Initialisation!$D$25,IF(ETR!A60&lt;=Initialisation!$C$27,Initialisation!$D$26,IF(ETR!A61&lt;=Initialisation!$C$28,Initialisation!$D$27,IF(ETR!A61&lt;=Initialisation!$C$29,Initialisation!$D$28,0))))))</f>
        <v>0.5</v>
      </c>
    </row>
    <row r="61" spans="1:13" x14ac:dyDescent="0.35">
      <c r="A61" s="5">
        <f>IF(MeteoJ!A61=$BP$5,A60,MeteoJ!A61)</f>
        <v>42109</v>
      </c>
      <c r="B61">
        <f>MeteoJ!D61</f>
        <v>6177</v>
      </c>
      <c r="C61">
        <f t="shared" si="5"/>
        <v>531.13552200000004</v>
      </c>
      <c r="D61">
        <f>MeteoJ!B61</f>
        <v>19.483333333333334</v>
      </c>
      <c r="E61">
        <f t="shared" si="0"/>
        <v>4.2684951802000963</v>
      </c>
      <c r="F61">
        <f t="shared" si="1"/>
        <v>2.1342475901000482</v>
      </c>
      <c r="H61">
        <f>(1-Initialisation!$C$19/100)*C61</f>
        <v>401.40567075150005</v>
      </c>
      <c r="I61">
        <f t="shared" si="2"/>
        <v>19.483333333333334</v>
      </c>
      <c r="J61">
        <f t="shared" si="3"/>
        <v>3.315617195945165</v>
      </c>
      <c r="K61">
        <f t="shared" si="4"/>
        <v>1.6578085979725825</v>
      </c>
      <c r="M61">
        <f>IF(ETR!A61&lt;=Initialisation!$C$24,Initialisation!$D$23,IF(ETR!A61&lt;=Initialisation!$C$25,Initialisation!$D$24,IF(ETR!A61&lt;=Initialisation!$C$26,Initialisation!$D$25,IF(ETR!A61&lt;=Initialisation!$C$27,Initialisation!$D$26,IF(ETR!A62&lt;=Initialisation!$C$28,Initialisation!$D$27,IF(ETR!A62&lt;=Initialisation!$C$29,Initialisation!$D$28,0))))))</f>
        <v>0.5</v>
      </c>
    </row>
    <row r="62" spans="1:13" x14ac:dyDescent="0.35">
      <c r="A62" s="5">
        <f>IF(MeteoJ!A62=$BP$5,A61,MeteoJ!A62)</f>
        <v>42110</v>
      </c>
      <c r="B62">
        <f>MeteoJ!D62</f>
        <v>4057</v>
      </c>
      <c r="C62">
        <f t="shared" si="5"/>
        <v>348.84520200000003</v>
      </c>
      <c r="D62">
        <f>MeteoJ!B62</f>
        <v>16.374999999999996</v>
      </c>
      <c r="E62">
        <f t="shared" si="0"/>
        <v>2.706109079705179</v>
      </c>
      <c r="F62">
        <f t="shared" si="1"/>
        <v>1.3530545398525895</v>
      </c>
      <c r="H62">
        <f>(1-Initialisation!$C$19/100)*C62</f>
        <v>263.63976141150005</v>
      </c>
      <c r="I62">
        <f t="shared" si="2"/>
        <v>16.374999999999996</v>
      </c>
      <c r="J62">
        <f t="shared" si="3"/>
        <v>2.128002046548942</v>
      </c>
      <c r="K62">
        <f t="shared" si="4"/>
        <v>1.064001023274471</v>
      </c>
      <c r="M62">
        <f>IF(ETR!A62&lt;=Initialisation!$C$24,Initialisation!$D$23,IF(ETR!A62&lt;=Initialisation!$C$25,Initialisation!$D$24,IF(ETR!A62&lt;=Initialisation!$C$26,Initialisation!$D$25,IF(ETR!A62&lt;=Initialisation!$C$27,Initialisation!$D$26,IF(ETR!A63&lt;=Initialisation!$C$28,Initialisation!$D$27,IF(ETR!A63&lt;=Initialisation!$C$29,Initialisation!$D$28,0))))))</f>
        <v>0.5</v>
      </c>
    </row>
    <row r="63" spans="1:13" x14ac:dyDescent="0.35">
      <c r="A63" s="5">
        <f>IF(MeteoJ!A63=$BP$5,A62,MeteoJ!A63)</f>
        <v>42111</v>
      </c>
      <c r="B63">
        <f>MeteoJ!D63</f>
        <v>4578</v>
      </c>
      <c r="C63">
        <f t="shared" si="5"/>
        <v>393.64390800000001</v>
      </c>
      <c r="D63">
        <f>MeteoJ!B63</f>
        <v>14.41666666666667</v>
      </c>
      <c r="E63">
        <f t="shared" si="0"/>
        <v>2.8265018387875354</v>
      </c>
      <c r="F63">
        <f t="shared" si="1"/>
        <v>1.4132509193937677</v>
      </c>
      <c r="H63">
        <f>(1-Initialisation!$C$19/100)*C63</f>
        <v>297.496383471</v>
      </c>
      <c r="I63">
        <f t="shared" si="2"/>
        <v>14.41666666666667</v>
      </c>
      <c r="J63">
        <f t="shared" si="3"/>
        <v>2.2139358822274193</v>
      </c>
      <c r="K63">
        <f t="shared" si="4"/>
        <v>1.1069679411137097</v>
      </c>
      <c r="M63">
        <f>IF(ETR!A63&lt;=Initialisation!$C$24,Initialisation!$D$23,IF(ETR!A63&lt;=Initialisation!$C$25,Initialisation!$D$24,IF(ETR!A63&lt;=Initialisation!$C$26,Initialisation!$D$25,IF(ETR!A63&lt;=Initialisation!$C$27,Initialisation!$D$26,IF(ETR!A64&lt;=Initialisation!$C$28,Initialisation!$D$27,IF(ETR!A64&lt;=Initialisation!$C$29,Initialisation!$D$28,0))))))</f>
        <v>0.5</v>
      </c>
    </row>
    <row r="64" spans="1:13" x14ac:dyDescent="0.35">
      <c r="A64" s="5">
        <f>IF(MeteoJ!A64=$BP$5,A63,MeteoJ!A64)</f>
        <v>42112</v>
      </c>
      <c r="B64">
        <f>MeteoJ!D64</f>
        <v>4121</v>
      </c>
      <c r="C64">
        <f t="shared" si="5"/>
        <v>354.34830599999998</v>
      </c>
      <c r="D64">
        <f>MeteoJ!B64</f>
        <v>13.683333333333332</v>
      </c>
      <c r="E64">
        <f t="shared" si="0"/>
        <v>2.5076173561522368</v>
      </c>
      <c r="F64">
        <f t="shared" si="1"/>
        <v>1.2538086780761184</v>
      </c>
      <c r="H64">
        <f>(1-Initialisation!$C$19/100)*C64</f>
        <v>267.79873225950001</v>
      </c>
      <c r="I64">
        <f t="shared" si="2"/>
        <v>13.683333333333332</v>
      </c>
      <c r="J64">
        <f t="shared" si="3"/>
        <v>1.9708691861741101</v>
      </c>
      <c r="K64">
        <f t="shared" si="4"/>
        <v>0.98543459308705506</v>
      </c>
      <c r="M64">
        <f>IF(ETR!A64&lt;=Initialisation!$C$24,Initialisation!$D$23,IF(ETR!A64&lt;=Initialisation!$C$25,Initialisation!$D$24,IF(ETR!A64&lt;=Initialisation!$C$26,Initialisation!$D$25,IF(ETR!A64&lt;=Initialisation!$C$27,Initialisation!$D$26,IF(ETR!A65&lt;=Initialisation!$C$28,Initialisation!$D$27,IF(ETR!A65&lt;=Initialisation!$C$29,Initialisation!$D$28,0))))))</f>
        <v>0.5</v>
      </c>
    </row>
    <row r="65" spans="1:13" x14ac:dyDescent="0.35">
      <c r="A65" s="5">
        <f>IF(MeteoJ!A65=$BP$5,A64,MeteoJ!A65)</f>
        <v>42113</v>
      </c>
      <c r="B65">
        <f>MeteoJ!D65</f>
        <v>3223</v>
      </c>
      <c r="C65">
        <f t="shared" si="5"/>
        <v>277.13287800000001</v>
      </c>
      <c r="D65">
        <f>MeteoJ!B65</f>
        <v>13.116666666666665</v>
      </c>
      <c r="E65">
        <f t="shared" si="0"/>
        <v>1.9839338914155302</v>
      </c>
      <c r="F65">
        <f t="shared" si="1"/>
        <v>0.99196694570776511</v>
      </c>
      <c r="H65">
        <f>(1-Initialisation!$C$19/100)*C65</f>
        <v>209.4431725485</v>
      </c>
      <c r="I65">
        <f t="shared" si="2"/>
        <v>13.116666666666665</v>
      </c>
      <c r="J65">
        <f t="shared" si="3"/>
        <v>1.57342210927309</v>
      </c>
      <c r="K65">
        <f t="shared" si="4"/>
        <v>0.786711054636545</v>
      </c>
      <c r="M65">
        <f>IF(ETR!A65&lt;=Initialisation!$C$24,Initialisation!$D$23,IF(ETR!A65&lt;=Initialisation!$C$25,Initialisation!$D$24,IF(ETR!A65&lt;=Initialisation!$C$26,Initialisation!$D$25,IF(ETR!A65&lt;=Initialisation!$C$27,Initialisation!$D$26,IF(ETR!A66&lt;=Initialisation!$C$28,Initialisation!$D$27,IF(ETR!A66&lt;=Initialisation!$C$29,Initialisation!$D$28,0))))))</f>
        <v>0.5</v>
      </c>
    </row>
    <row r="66" spans="1:13" x14ac:dyDescent="0.35">
      <c r="A66" s="5">
        <f>IF(MeteoJ!A66=$BP$5,A65,MeteoJ!A66)</f>
        <v>42114</v>
      </c>
      <c r="B66">
        <f>MeteoJ!D66</f>
        <v>5042</v>
      </c>
      <c r="C66">
        <f t="shared" si="5"/>
        <v>433.54141199999998</v>
      </c>
      <c r="D66">
        <f>MeteoJ!B66</f>
        <v>14.108333333333336</v>
      </c>
      <c r="E66">
        <f t="shared" si="0"/>
        <v>3.0467400334119672</v>
      </c>
      <c r="F66">
        <f t="shared" si="1"/>
        <v>1.5233700167059836</v>
      </c>
      <c r="H66">
        <f>(1-Initialisation!$C$19/100)*C66</f>
        <v>327.64892211900002</v>
      </c>
      <c r="I66">
        <f t="shared" si="2"/>
        <v>14.108333333333336</v>
      </c>
      <c r="J66">
        <f t="shared" si="3"/>
        <v>2.3795233687137336</v>
      </c>
      <c r="K66">
        <f t="shared" si="4"/>
        <v>1.1897616843568668</v>
      </c>
      <c r="M66">
        <f>IF(ETR!A66&lt;=Initialisation!$C$24,Initialisation!$D$23,IF(ETR!A66&lt;=Initialisation!$C$25,Initialisation!$D$24,IF(ETR!A66&lt;=Initialisation!$C$26,Initialisation!$D$25,IF(ETR!A66&lt;=Initialisation!$C$27,Initialisation!$D$26,IF(ETR!A67&lt;=Initialisation!$C$28,Initialisation!$D$27,IF(ETR!A67&lt;=Initialisation!$C$29,Initialisation!$D$28,0))))))</f>
        <v>0.5</v>
      </c>
    </row>
    <row r="67" spans="1:13" x14ac:dyDescent="0.35">
      <c r="A67" s="5">
        <f>IF(MeteoJ!A67=$BP$5,A66,MeteoJ!A67)</f>
        <v>42115</v>
      </c>
      <c r="B67">
        <f>MeteoJ!D67</f>
        <v>7179</v>
      </c>
      <c r="C67">
        <f t="shared" ref="C67:C130" si="6">B67*0.000023885*3600</f>
        <v>617.29349400000001</v>
      </c>
      <c r="D67">
        <f>MeteoJ!B67</f>
        <v>16.420833333333334</v>
      </c>
      <c r="E67">
        <f t="shared" ref="E67:E130" si="7">0.013*1*(C67+50)*D67/(D67+15)</f>
        <v>4.5335429754809704</v>
      </c>
      <c r="F67">
        <f t="shared" ref="F67:F130" si="8">E67*M67</f>
        <v>2.2667714877404852</v>
      </c>
      <c r="H67">
        <f>(1-Initialisation!$C$19/100)*C67</f>
        <v>466.51955809050003</v>
      </c>
      <c r="I67">
        <f t="shared" ref="I67:I130" si="9">D67</f>
        <v>16.420833333333334</v>
      </c>
      <c r="J67">
        <f t="shared" ref="J67:J130" si="10">0.013*1*(H67+50)*I67/(I67+15)</f>
        <v>3.509195931527727</v>
      </c>
      <c r="K67">
        <f t="shared" ref="K67:K130" si="11">J67*M67</f>
        <v>1.7545979657638635</v>
      </c>
      <c r="M67">
        <f>IF(ETR!A67&lt;=Initialisation!$C$24,Initialisation!$D$23,IF(ETR!A67&lt;=Initialisation!$C$25,Initialisation!$D$24,IF(ETR!A67&lt;=Initialisation!$C$26,Initialisation!$D$25,IF(ETR!A67&lt;=Initialisation!$C$27,Initialisation!$D$26,IF(ETR!A68&lt;=Initialisation!$C$28,Initialisation!$D$27,IF(ETR!A68&lt;=Initialisation!$C$29,Initialisation!$D$28,0))))))</f>
        <v>0.5</v>
      </c>
    </row>
    <row r="68" spans="1:13" x14ac:dyDescent="0.35">
      <c r="A68" s="5">
        <f>IF(MeteoJ!A68=$BP$5,A67,MeteoJ!A68)</f>
        <v>42116</v>
      </c>
      <c r="B68">
        <f>MeteoJ!D68</f>
        <v>6099</v>
      </c>
      <c r="C68">
        <f t="shared" si="6"/>
        <v>524.42861400000004</v>
      </c>
      <c r="D68">
        <f>MeteoJ!B68</f>
        <v>17.033333333333331</v>
      </c>
      <c r="E68">
        <f t="shared" si="7"/>
        <v>3.970790096568158</v>
      </c>
      <c r="F68">
        <f t="shared" si="8"/>
        <v>1.985395048284079</v>
      </c>
      <c r="H68">
        <f>(1-Initialisation!$C$19/100)*C68</f>
        <v>396.33692503050003</v>
      </c>
      <c r="I68">
        <f t="shared" si="9"/>
        <v>17.033333333333331</v>
      </c>
      <c r="J68">
        <f t="shared" si="10"/>
        <v>3.0853446336915833</v>
      </c>
      <c r="K68">
        <f t="shared" si="11"/>
        <v>1.5426723168457916</v>
      </c>
      <c r="M68">
        <f>IF(ETR!A68&lt;=Initialisation!$C$24,Initialisation!$D$23,IF(ETR!A68&lt;=Initialisation!$C$25,Initialisation!$D$24,IF(ETR!A68&lt;=Initialisation!$C$26,Initialisation!$D$25,IF(ETR!A68&lt;=Initialisation!$C$27,Initialisation!$D$26,IF(ETR!A69&lt;=Initialisation!$C$28,Initialisation!$D$27,IF(ETR!A69&lt;=Initialisation!$C$29,Initialisation!$D$28,0))))))</f>
        <v>0.5</v>
      </c>
    </row>
    <row r="69" spans="1:13" x14ac:dyDescent="0.35">
      <c r="A69" s="5">
        <f>IF(MeteoJ!A69=$BP$5,A68,MeteoJ!A69)</f>
        <v>42117</v>
      </c>
      <c r="B69">
        <f>MeteoJ!D69</f>
        <v>3783</v>
      </c>
      <c r="C69">
        <f t="shared" si="6"/>
        <v>325.28503799999999</v>
      </c>
      <c r="D69">
        <f>MeteoJ!B69</f>
        <v>15.0625</v>
      </c>
      <c r="E69">
        <f t="shared" si="7"/>
        <v>2.444424166432432</v>
      </c>
      <c r="F69">
        <f t="shared" si="8"/>
        <v>1.222212083216216</v>
      </c>
      <c r="H69">
        <f>(1-Initialisation!$C$19/100)*C69</f>
        <v>245.8341674685</v>
      </c>
      <c r="I69">
        <f t="shared" si="9"/>
        <v>15.0625</v>
      </c>
      <c r="J69">
        <f t="shared" si="10"/>
        <v>1.9269198475650946</v>
      </c>
      <c r="K69">
        <f t="shared" si="11"/>
        <v>0.9634599237825473</v>
      </c>
      <c r="M69">
        <f>IF(ETR!A69&lt;=Initialisation!$C$24,Initialisation!$D$23,IF(ETR!A69&lt;=Initialisation!$C$25,Initialisation!$D$24,IF(ETR!A69&lt;=Initialisation!$C$26,Initialisation!$D$25,IF(ETR!A69&lt;=Initialisation!$C$27,Initialisation!$D$26,IF(ETR!A70&lt;=Initialisation!$C$28,Initialisation!$D$27,IF(ETR!A70&lt;=Initialisation!$C$29,Initialisation!$D$28,0))))))</f>
        <v>0.5</v>
      </c>
    </row>
    <row r="70" spans="1:13" x14ac:dyDescent="0.35">
      <c r="A70" s="5">
        <f>IF(MeteoJ!A70=$BP$5,A69,MeteoJ!A70)</f>
        <v>42118</v>
      </c>
      <c r="B70">
        <f>MeteoJ!D70</f>
        <v>5616</v>
      </c>
      <c r="C70">
        <f t="shared" si="6"/>
        <v>482.89737600000001</v>
      </c>
      <c r="D70">
        <f>MeteoJ!B70</f>
        <v>15.108333333333334</v>
      </c>
      <c r="E70">
        <f t="shared" si="7"/>
        <v>3.4762962233445887</v>
      </c>
      <c r="F70">
        <f t="shared" si="8"/>
        <v>1.7381481116722943</v>
      </c>
      <c r="H70">
        <f>(1-Initialisation!$C$19/100)*C70</f>
        <v>364.94969191200005</v>
      </c>
      <c r="I70">
        <f t="shared" si="9"/>
        <v>15.108333333333334</v>
      </c>
      <c r="J70">
        <f t="shared" si="10"/>
        <v>2.7068777438898226</v>
      </c>
      <c r="K70">
        <f t="shared" si="11"/>
        <v>1.3534388719449113</v>
      </c>
      <c r="M70">
        <f>IF(ETR!A70&lt;=Initialisation!$C$24,Initialisation!$D$23,IF(ETR!A70&lt;=Initialisation!$C$25,Initialisation!$D$24,IF(ETR!A70&lt;=Initialisation!$C$26,Initialisation!$D$25,IF(ETR!A70&lt;=Initialisation!$C$27,Initialisation!$D$26,IF(ETR!A71&lt;=Initialisation!$C$28,Initialisation!$D$27,IF(ETR!A71&lt;=Initialisation!$C$29,Initialisation!$D$28,0))))))</f>
        <v>0.5</v>
      </c>
    </row>
    <row r="71" spans="1:13" x14ac:dyDescent="0.35">
      <c r="A71" s="5">
        <f>IF(MeteoJ!A71=$BP$5,A70,MeteoJ!A71)</f>
        <v>42119</v>
      </c>
      <c r="B71">
        <f>MeteoJ!D71</f>
        <v>6367</v>
      </c>
      <c r="C71">
        <f t="shared" si="6"/>
        <v>547.47286199999996</v>
      </c>
      <c r="D71">
        <f>MeteoJ!B71</f>
        <v>17.533333333333335</v>
      </c>
      <c r="E71">
        <f t="shared" si="7"/>
        <v>4.1859830229057371</v>
      </c>
      <c r="F71">
        <f t="shared" si="8"/>
        <v>2.0929915114528685</v>
      </c>
      <c r="H71">
        <f>(1-Initialisation!$C$19/100)*C71</f>
        <v>413.7526154565</v>
      </c>
      <c r="I71">
        <f t="shared" si="9"/>
        <v>17.533333333333335</v>
      </c>
      <c r="J71">
        <f t="shared" si="10"/>
        <v>3.2491192464052738</v>
      </c>
      <c r="K71">
        <f t="shared" si="11"/>
        <v>1.6245596232026369</v>
      </c>
      <c r="M71">
        <f>IF(ETR!A71&lt;=Initialisation!$C$24,Initialisation!$D$23,IF(ETR!A71&lt;=Initialisation!$C$25,Initialisation!$D$24,IF(ETR!A71&lt;=Initialisation!$C$26,Initialisation!$D$25,IF(ETR!A71&lt;=Initialisation!$C$27,Initialisation!$D$26,IF(ETR!A72&lt;=Initialisation!$C$28,Initialisation!$D$27,IF(ETR!A72&lt;=Initialisation!$C$29,Initialisation!$D$28,0))))))</f>
        <v>0.5</v>
      </c>
    </row>
    <row r="72" spans="1:13" x14ac:dyDescent="0.35">
      <c r="A72" s="5">
        <f>IF(MeteoJ!A72=$BP$5,A71,MeteoJ!A72)</f>
        <v>42120</v>
      </c>
      <c r="B72">
        <f>MeteoJ!D72</f>
        <v>3505</v>
      </c>
      <c r="C72">
        <f t="shared" si="6"/>
        <v>301.38092999999998</v>
      </c>
      <c r="D72">
        <f>MeteoJ!B72</f>
        <v>15.866666666666669</v>
      </c>
      <c r="E72">
        <f t="shared" si="7"/>
        <v>2.3481049620302374</v>
      </c>
      <c r="F72">
        <f t="shared" si="8"/>
        <v>1.1740524810151187</v>
      </c>
      <c r="H72">
        <f>(1-Initialisation!$C$19/100)*C72</f>
        <v>227.7686378475</v>
      </c>
      <c r="I72">
        <f t="shared" si="9"/>
        <v>15.866666666666669</v>
      </c>
      <c r="J72">
        <f t="shared" si="10"/>
        <v>1.856190422246577</v>
      </c>
      <c r="K72">
        <f t="shared" si="11"/>
        <v>0.92809521112328852</v>
      </c>
      <c r="M72">
        <f>IF(ETR!A72&lt;=Initialisation!$C$24,Initialisation!$D$23,IF(ETR!A72&lt;=Initialisation!$C$25,Initialisation!$D$24,IF(ETR!A72&lt;=Initialisation!$C$26,Initialisation!$D$25,IF(ETR!A72&lt;=Initialisation!$C$27,Initialisation!$D$26,IF(ETR!A73&lt;=Initialisation!$C$28,Initialisation!$D$27,IF(ETR!A73&lt;=Initialisation!$C$29,Initialisation!$D$28,0))))))</f>
        <v>0.5</v>
      </c>
    </row>
    <row r="73" spans="1:13" x14ac:dyDescent="0.35">
      <c r="A73" s="5">
        <f>IF(MeteoJ!A73=$BP$5,A72,MeteoJ!A73)</f>
        <v>42121</v>
      </c>
      <c r="B73">
        <f>MeteoJ!D73</f>
        <v>4279</v>
      </c>
      <c r="C73">
        <f t="shared" si="6"/>
        <v>367.93409399999996</v>
      </c>
      <c r="D73">
        <f>MeteoJ!B73</f>
        <v>14.025000000000004</v>
      </c>
      <c r="E73">
        <f t="shared" si="7"/>
        <v>2.6253172674780361</v>
      </c>
      <c r="F73">
        <f t="shared" si="8"/>
        <v>1.312658633739018</v>
      </c>
      <c r="H73">
        <f>(1-Initialisation!$C$19/100)*C73</f>
        <v>278.06619154049997</v>
      </c>
      <c r="I73">
        <f t="shared" si="9"/>
        <v>14.025000000000004</v>
      </c>
      <c r="J73">
        <f t="shared" si="10"/>
        <v>2.0607982212789544</v>
      </c>
      <c r="K73">
        <f t="shared" si="11"/>
        <v>1.0303991106394772</v>
      </c>
      <c r="M73">
        <f>IF(ETR!A73&lt;=Initialisation!$C$24,Initialisation!$D$23,IF(ETR!A73&lt;=Initialisation!$C$25,Initialisation!$D$24,IF(ETR!A73&lt;=Initialisation!$C$26,Initialisation!$D$25,IF(ETR!A73&lt;=Initialisation!$C$27,Initialisation!$D$26,IF(ETR!A74&lt;=Initialisation!$C$28,Initialisation!$D$27,IF(ETR!A74&lt;=Initialisation!$C$29,Initialisation!$D$28,0))))))</f>
        <v>0.5</v>
      </c>
    </row>
    <row r="74" spans="1:13" x14ac:dyDescent="0.35">
      <c r="A74" s="5">
        <f>IF(MeteoJ!A74=$BP$5,A73,MeteoJ!A74)</f>
        <v>42122</v>
      </c>
      <c r="B74">
        <f>MeteoJ!D74</f>
        <v>4709</v>
      </c>
      <c r="C74">
        <f t="shared" si="6"/>
        <v>404.908074</v>
      </c>
      <c r="D74">
        <f>MeteoJ!B74</f>
        <v>12.254166666666663</v>
      </c>
      <c r="E74">
        <f t="shared" si="7"/>
        <v>2.6589971553649283</v>
      </c>
      <c r="F74">
        <f t="shared" si="8"/>
        <v>1.3294985776824642</v>
      </c>
      <c r="H74">
        <f>(1-Initialisation!$C$19/100)*C74</f>
        <v>306.00927692549999</v>
      </c>
      <c r="I74">
        <f t="shared" si="9"/>
        <v>12.254166666666663</v>
      </c>
      <c r="J74">
        <f t="shared" si="10"/>
        <v>2.0809207590112582</v>
      </c>
      <c r="K74">
        <f t="shared" si="11"/>
        <v>1.0404603795056291</v>
      </c>
      <c r="M74">
        <f>IF(ETR!A74&lt;=Initialisation!$C$24,Initialisation!$D$23,IF(ETR!A74&lt;=Initialisation!$C$25,Initialisation!$D$24,IF(ETR!A74&lt;=Initialisation!$C$26,Initialisation!$D$25,IF(ETR!A74&lt;=Initialisation!$C$27,Initialisation!$D$26,IF(ETR!A75&lt;=Initialisation!$C$28,Initialisation!$D$27,IF(ETR!A75&lt;=Initialisation!$C$29,Initialisation!$D$28,0))))))</f>
        <v>0.5</v>
      </c>
    </row>
    <row r="75" spans="1:13" x14ac:dyDescent="0.35">
      <c r="A75" s="5">
        <f>IF(MeteoJ!A75=$BP$5,A74,MeteoJ!A75)</f>
        <v>42123</v>
      </c>
      <c r="B75">
        <f>MeteoJ!D75</f>
        <v>6568</v>
      </c>
      <c r="C75">
        <f t="shared" si="6"/>
        <v>564.75604799999996</v>
      </c>
      <c r="D75">
        <f>MeteoJ!B75</f>
        <v>12.033333333333337</v>
      </c>
      <c r="E75">
        <f t="shared" si="7"/>
        <v>3.5573984380567198</v>
      </c>
      <c r="F75">
        <f t="shared" si="8"/>
        <v>1.7786992190283599</v>
      </c>
      <c r="H75">
        <f>(1-Initialisation!$C$19/100)*C75</f>
        <v>426.814383276</v>
      </c>
      <c r="I75">
        <f t="shared" si="9"/>
        <v>12.033333333333337</v>
      </c>
      <c r="J75">
        <f t="shared" si="10"/>
        <v>2.759173737008962</v>
      </c>
      <c r="K75">
        <f t="shared" si="11"/>
        <v>1.379586868504481</v>
      </c>
      <c r="M75">
        <f>IF(ETR!A75&lt;=Initialisation!$C$24,Initialisation!$D$23,IF(ETR!A75&lt;=Initialisation!$C$25,Initialisation!$D$24,IF(ETR!A75&lt;=Initialisation!$C$26,Initialisation!$D$25,IF(ETR!A75&lt;=Initialisation!$C$27,Initialisation!$D$26,IF(ETR!A76&lt;=Initialisation!$C$28,Initialisation!$D$27,IF(ETR!A76&lt;=Initialisation!$C$29,Initialisation!$D$28,0))))))</f>
        <v>0.5</v>
      </c>
    </row>
    <row r="76" spans="1:13" x14ac:dyDescent="0.35">
      <c r="A76" s="5">
        <f>IF(MeteoJ!A76=$BP$5,A75,MeteoJ!A76)</f>
        <v>42124</v>
      </c>
      <c r="B76">
        <f>MeteoJ!D76</f>
        <v>3980</v>
      </c>
      <c r="C76">
        <f t="shared" si="6"/>
        <v>342.22428000000002</v>
      </c>
      <c r="D76">
        <f>MeteoJ!B76</f>
        <v>12.554166666666667</v>
      </c>
      <c r="E76">
        <f t="shared" si="7"/>
        <v>2.3231563319703619</v>
      </c>
      <c r="F76">
        <f t="shared" si="8"/>
        <v>1.1615781659851809</v>
      </c>
      <c r="H76">
        <f>(1-Initialisation!$C$19/100)*C76</f>
        <v>258.63599961000006</v>
      </c>
      <c r="I76">
        <f t="shared" si="9"/>
        <v>12.554166666666667</v>
      </c>
      <c r="J76">
        <f t="shared" si="10"/>
        <v>1.8280604065815953</v>
      </c>
      <c r="K76">
        <f t="shared" si="11"/>
        <v>0.91403020329079765</v>
      </c>
      <c r="M76">
        <f>IF(ETR!A76&lt;=Initialisation!$C$24,Initialisation!$D$23,IF(ETR!A76&lt;=Initialisation!$C$25,Initialisation!$D$24,IF(ETR!A76&lt;=Initialisation!$C$26,Initialisation!$D$25,IF(ETR!A76&lt;=Initialisation!$C$27,Initialisation!$D$26,IF(ETR!A77&lt;=Initialisation!$C$28,Initialisation!$D$27,IF(ETR!A77&lt;=Initialisation!$C$29,Initialisation!$D$28,0))))))</f>
        <v>0.5</v>
      </c>
    </row>
    <row r="77" spans="1:13" x14ac:dyDescent="0.35">
      <c r="A77" s="5">
        <f>IF(MeteoJ!A77=$BP$5,A76,MeteoJ!A77)</f>
        <v>42125</v>
      </c>
      <c r="B77">
        <f>MeteoJ!D77</f>
        <v>1221</v>
      </c>
      <c r="C77">
        <f t="shared" si="6"/>
        <v>104.988906</v>
      </c>
      <c r="D77">
        <f>MeteoJ!B77</f>
        <v>14.750000000000002</v>
      </c>
      <c r="E77">
        <f t="shared" si="7"/>
        <v>0.99896210842016808</v>
      </c>
      <c r="F77">
        <f t="shared" si="8"/>
        <v>0.49948105421008404</v>
      </c>
      <c r="H77">
        <f>(1-Initialisation!$C$19/100)*C77</f>
        <v>79.345365709500001</v>
      </c>
      <c r="I77">
        <f t="shared" si="9"/>
        <v>14.750000000000002</v>
      </c>
      <c r="J77">
        <f t="shared" si="10"/>
        <v>0.83367979411081106</v>
      </c>
      <c r="K77">
        <f t="shared" si="11"/>
        <v>0.41683989705540553</v>
      </c>
      <c r="M77">
        <f>IF(ETR!A77&lt;=Initialisation!$C$24,Initialisation!$D$23,IF(ETR!A77&lt;=Initialisation!$C$25,Initialisation!$D$24,IF(ETR!A77&lt;=Initialisation!$C$26,Initialisation!$D$25,IF(ETR!A77&lt;=Initialisation!$C$27,Initialisation!$D$26,IF(ETR!A78&lt;=Initialisation!$C$28,Initialisation!$D$27,IF(ETR!A78&lt;=Initialisation!$C$29,Initialisation!$D$28,0))))))</f>
        <v>0.5</v>
      </c>
    </row>
    <row r="78" spans="1:13" x14ac:dyDescent="0.35">
      <c r="A78" s="5">
        <f>IF(MeteoJ!A78=$BP$5,A77,MeteoJ!A78)</f>
        <v>42126</v>
      </c>
      <c r="B78">
        <f>MeteoJ!D78</f>
        <v>1414</v>
      </c>
      <c r="C78">
        <f t="shared" si="6"/>
        <v>121.584204</v>
      </c>
      <c r="D78">
        <f>MeteoJ!B78</f>
        <v>15.295833333333334</v>
      </c>
      <c r="E78">
        <f t="shared" si="7"/>
        <v>1.1261880026807864</v>
      </c>
      <c r="F78">
        <f t="shared" si="8"/>
        <v>0.56309400134039322</v>
      </c>
      <c r="H78">
        <f>(1-Initialisation!$C$19/100)*C78</f>
        <v>91.887262173000011</v>
      </c>
      <c r="I78">
        <f t="shared" si="9"/>
        <v>15.295833333333334</v>
      </c>
      <c r="J78">
        <f t="shared" si="10"/>
        <v>0.93127297657572261</v>
      </c>
      <c r="K78">
        <f t="shared" si="11"/>
        <v>0.46563648828786131</v>
      </c>
      <c r="M78">
        <f>IF(ETR!A78&lt;=Initialisation!$C$24,Initialisation!$D$23,IF(ETR!A78&lt;=Initialisation!$C$25,Initialisation!$D$24,IF(ETR!A78&lt;=Initialisation!$C$26,Initialisation!$D$25,IF(ETR!A78&lt;=Initialisation!$C$27,Initialisation!$D$26,IF(ETR!A79&lt;=Initialisation!$C$28,Initialisation!$D$27,IF(ETR!A79&lt;=Initialisation!$C$29,Initialisation!$D$28,0))))))</f>
        <v>0.5</v>
      </c>
    </row>
    <row r="79" spans="1:13" x14ac:dyDescent="0.35">
      <c r="A79" s="5">
        <f>IF(MeteoJ!A79=$BP$5,A78,MeteoJ!A79)</f>
        <v>42127</v>
      </c>
      <c r="B79">
        <f>MeteoJ!D79</f>
        <v>4077</v>
      </c>
      <c r="C79">
        <f t="shared" si="6"/>
        <v>350.56492200000002</v>
      </c>
      <c r="D79">
        <f>MeteoJ!B79</f>
        <v>18.158333333333331</v>
      </c>
      <c r="E79">
        <f t="shared" si="7"/>
        <v>2.8516719139215883</v>
      </c>
      <c r="F79">
        <f t="shared" si="8"/>
        <v>1.4258359569607941</v>
      </c>
      <c r="H79">
        <f>(1-Initialisation!$C$19/100)*C79</f>
        <v>264.93943980150004</v>
      </c>
      <c r="I79">
        <f t="shared" si="9"/>
        <v>18.158333333333331</v>
      </c>
      <c r="J79">
        <f t="shared" si="10"/>
        <v>2.2420933679962531</v>
      </c>
      <c r="K79">
        <f t="shared" si="11"/>
        <v>1.1210466839981266</v>
      </c>
      <c r="M79">
        <f>IF(ETR!A79&lt;=Initialisation!$C$24,Initialisation!$D$23,IF(ETR!A79&lt;=Initialisation!$C$25,Initialisation!$D$24,IF(ETR!A79&lt;=Initialisation!$C$26,Initialisation!$D$25,IF(ETR!A79&lt;=Initialisation!$C$27,Initialisation!$D$26,IF(ETR!A80&lt;=Initialisation!$C$28,Initialisation!$D$27,IF(ETR!A80&lt;=Initialisation!$C$29,Initialisation!$D$28,0))))))</f>
        <v>0.5</v>
      </c>
    </row>
    <row r="80" spans="1:13" x14ac:dyDescent="0.35">
      <c r="A80" s="5">
        <f>IF(MeteoJ!A80=$BP$5,A79,MeteoJ!A80)</f>
        <v>42128</v>
      </c>
      <c r="B80">
        <f>MeteoJ!D80</f>
        <v>3500</v>
      </c>
      <c r="C80">
        <f t="shared" si="6"/>
        <v>300.95099999999996</v>
      </c>
      <c r="D80">
        <f>MeteoJ!B80</f>
        <v>19.325000000000003</v>
      </c>
      <c r="E80">
        <f t="shared" si="7"/>
        <v>2.5686136919155134</v>
      </c>
      <c r="F80">
        <f t="shared" si="8"/>
        <v>1.2843068459577567</v>
      </c>
      <c r="H80">
        <f>(1-Initialisation!$C$19/100)*C80</f>
        <v>227.44371824999999</v>
      </c>
      <c r="I80">
        <f t="shared" si="9"/>
        <v>19.325000000000003</v>
      </c>
      <c r="J80">
        <f t="shared" si="10"/>
        <v>2.030613200796977</v>
      </c>
      <c r="K80">
        <f t="shared" si="11"/>
        <v>1.0153066003984885</v>
      </c>
      <c r="M80">
        <f>IF(ETR!A80&lt;=Initialisation!$C$24,Initialisation!$D$23,IF(ETR!A80&lt;=Initialisation!$C$25,Initialisation!$D$24,IF(ETR!A80&lt;=Initialisation!$C$26,Initialisation!$D$25,IF(ETR!A80&lt;=Initialisation!$C$27,Initialisation!$D$26,IF(ETR!A81&lt;=Initialisation!$C$28,Initialisation!$D$27,IF(ETR!A81&lt;=Initialisation!$C$29,Initialisation!$D$28,0))))))</f>
        <v>0.5</v>
      </c>
    </row>
    <row r="81" spans="1:13" x14ac:dyDescent="0.35">
      <c r="A81" s="5">
        <f>IF(MeteoJ!A81=$BP$5,A80,MeteoJ!A81)</f>
        <v>42129</v>
      </c>
      <c r="B81">
        <f>MeteoJ!D81</f>
        <v>3870</v>
      </c>
      <c r="C81">
        <f t="shared" si="6"/>
        <v>332.76582000000002</v>
      </c>
      <c r="D81">
        <f>MeteoJ!B81</f>
        <v>16.091666666666665</v>
      </c>
      <c r="E81">
        <f t="shared" si="7"/>
        <v>2.575333792404181</v>
      </c>
      <c r="F81">
        <f t="shared" si="8"/>
        <v>1.2876668962020905</v>
      </c>
      <c r="H81">
        <f>(1-Initialisation!$C$19/100)*C81</f>
        <v>251.48776846500002</v>
      </c>
      <c r="I81">
        <f t="shared" si="9"/>
        <v>16.091666666666665</v>
      </c>
      <c r="J81">
        <f t="shared" si="10"/>
        <v>2.0284769369544078</v>
      </c>
      <c r="K81">
        <f t="shared" si="11"/>
        <v>1.0142384684772039</v>
      </c>
      <c r="M81">
        <f>IF(ETR!A81&lt;=Initialisation!$C$24,Initialisation!$D$23,IF(ETR!A81&lt;=Initialisation!$C$25,Initialisation!$D$24,IF(ETR!A81&lt;=Initialisation!$C$26,Initialisation!$D$25,IF(ETR!A81&lt;=Initialisation!$C$27,Initialisation!$D$26,IF(ETR!A82&lt;=Initialisation!$C$28,Initialisation!$D$27,IF(ETR!A82&lt;=Initialisation!$C$29,Initialisation!$D$28,0))))))</f>
        <v>0.5</v>
      </c>
    </row>
    <row r="82" spans="1:13" x14ac:dyDescent="0.35">
      <c r="A82" s="5">
        <f>IF(MeteoJ!A82=$BP$5,A81,MeteoJ!A82)</f>
        <v>42130</v>
      </c>
      <c r="B82">
        <f>MeteoJ!D82</f>
        <v>5102</v>
      </c>
      <c r="C82">
        <f t="shared" si="6"/>
        <v>438.70057199999997</v>
      </c>
      <c r="D82">
        <f>MeteoJ!B82</f>
        <v>13.908333333333333</v>
      </c>
      <c r="E82">
        <f t="shared" si="7"/>
        <v>3.0565973798454884</v>
      </c>
      <c r="F82">
        <f t="shared" si="8"/>
        <v>1.5282986899227442</v>
      </c>
      <c r="H82">
        <f>(1-Initialisation!$C$19/100)*C82</f>
        <v>331.54795728900001</v>
      </c>
      <c r="I82">
        <f t="shared" si="9"/>
        <v>13.908333333333333</v>
      </c>
      <c r="J82">
        <f t="shared" si="10"/>
        <v>2.3864070421733734</v>
      </c>
      <c r="K82">
        <f t="shared" si="11"/>
        <v>1.1932035210866867</v>
      </c>
      <c r="M82">
        <f>IF(ETR!A82&lt;=Initialisation!$C$24,Initialisation!$D$23,IF(ETR!A82&lt;=Initialisation!$C$25,Initialisation!$D$24,IF(ETR!A82&lt;=Initialisation!$C$26,Initialisation!$D$25,IF(ETR!A82&lt;=Initialisation!$C$27,Initialisation!$D$26,IF(ETR!A83&lt;=Initialisation!$C$28,Initialisation!$D$27,IF(ETR!A83&lt;=Initialisation!$C$29,Initialisation!$D$28,0))))))</f>
        <v>0.5</v>
      </c>
    </row>
    <row r="83" spans="1:13" x14ac:dyDescent="0.35">
      <c r="A83" s="5">
        <f>IF(MeteoJ!A83=$BP$5,A82,MeteoJ!A83)</f>
        <v>42131</v>
      </c>
      <c r="B83">
        <f>MeteoJ!D83</f>
        <v>6270</v>
      </c>
      <c r="C83">
        <f t="shared" si="6"/>
        <v>539.13221999999996</v>
      </c>
      <c r="D83">
        <f>MeteoJ!B83</f>
        <v>14.629166666666665</v>
      </c>
      <c r="E83">
        <f t="shared" si="7"/>
        <v>3.7814318545155392</v>
      </c>
      <c r="F83">
        <f t="shared" si="8"/>
        <v>1.8907159272577696</v>
      </c>
      <c r="H83">
        <f>(1-Initialisation!$C$19/100)*C83</f>
        <v>407.44917526500001</v>
      </c>
      <c r="I83">
        <f t="shared" si="9"/>
        <v>14.629166666666665</v>
      </c>
      <c r="J83">
        <f t="shared" si="10"/>
        <v>2.9362048525693143</v>
      </c>
      <c r="K83">
        <f t="shared" si="11"/>
        <v>1.4681024262846571</v>
      </c>
      <c r="M83">
        <f>IF(ETR!A83&lt;=Initialisation!$C$24,Initialisation!$D$23,IF(ETR!A83&lt;=Initialisation!$C$25,Initialisation!$D$24,IF(ETR!A83&lt;=Initialisation!$C$26,Initialisation!$D$25,IF(ETR!A83&lt;=Initialisation!$C$27,Initialisation!$D$26,IF(ETR!A84&lt;=Initialisation!$C$28,Initialisation!$D$27,IF(ETR!A84&lt;=Initialisation!$C$29,Initialisation!$D$28,0))))))</f>
        <v>0.5</v>
      </c>
    </row>
    <row r="84" spans="1:13" x14ac:dyDescent="0.35">
      <c r="A84" s="5">
        <f>IF(MeteoJ!A84=$BP$5,A83,MeteoJ!A84)</f>
        <v>42132</v>
      </c>
      <c r="B84">
        <f>MeteoJ!D84</f>
        <v>6191</v>
      </c>
      <c r="C84">
        <f t="shared" si="6"/>
        <v>532.33932599999991</v>
      </c>
      <c r="D84">
        <f>MeteoJ!B84</f>
        <v>16.458333333333332</v>
      </c>
      <c r="E84">
        <f t="shared" si="7"/>
        <v>3.9606787271655621</v>
      </c>
      <c r="F84">
        <f t="shared" si="8"/>
        <v>1.9803393635827811</v>
      </c>
      <c r="H84">
        <f>(1-Initialisation!$C$19/100)*C84</f>
        <v>402.31544562449994</v>
      </c>
      <c r="I84">
        <f t="shared" si="9"/>
        <v>16.458333333333332</v>
      </c>
      <c r="J84">
        <f t="shared" si="10"/>
        <v>3.0763441235520621</v>
      </c>
      <c r="K84">
        <f t="shared" si="11"/>
        <v>1.5381720617760311</v>
      </c>
      <c r="M84">
        <f>IF(ETR!A84&lt;=Initialisation!$C$24,Initialisation!$D$23,IF(ETR!A84&lt;=Initialisation!$C$25,Initialisation!$D$24,IF(ETR!A84&lt;=Initialisation!$C$26,Initialisation!$D$25,IF(ETR!A84&lt;=Initialisation!$C$27,Initialisation!$D$26,IF(ETR!A85&lt;=Initialisation!$C$28,Initialisation!$D$27,IF(ETR!A85&lt;=Initialisation!$C$29,Initialisation!$D$28,0))))))</f>
        <v>0.5</v>
      </c>
    </row>
    <row r="85" spans="1:13" x14ac:dyDescent="0.35">
      <c r="A85" s="5">
        <f>IF(MeteoJ!A85=$BP$5,A84,MeteoJ!A85)</f>
        <v>42133</v>
      </c>
      <c r="B85">
        <f>MeteoJ!D85</f>
        <v>4795</v>
      </c>
      <c r="C85">
        <f t="shared" si="6"/>
        <v>412.30286999999998</v>
      </c>
      <c r="D85">
        <f>MeteoJ!B85</f>
        <v>15.762500000000001</v>
      </c>
      <c r="E85">
        <f t="shared" si="7"/>
        <v>3.0794518276757414</v>
      </c>
      <c r="F85">
        <f t="shared" si="8"/>
        <v>1.5397259138378707</v>
      </c>
      <c r="H85">
        <f>(1-Initialisation!$C$19/100)*C85</f>
        <v>311.59789400250003</v>
      </c>
      <c r="I85">
        <f t="shared" si="9"/>
        <v>15.762500000000001</v>
      </c>
      <c r="J85">
        <f t="shared" si="10"/>
        <v>2.4086445657793507</v>
      </c>
      <c r="K85">
        <f t="shared" si="11"/>
        <v>1.2043222828896754</v>
      </c>
      <c r="M85">
        <f>IF(ETR!A85&lt;=Initialisation!$C$24,Initialisation!$D$23,IF(ETR!A85&lt;=Initialisation!$C$25,Initialisation!$D$24,IF(ETR!A85&lt;=Initialisation!$C$26,Initialisation!$D$25,IF(ETR!A85&lt;=Initialisation!$C$27,Initialisation!$D$26,IF(ETR!A86&lt;=Initialisation!$C$28,Initialisation!$D$27,IF(ETR!A86&lt;=Initialisation!$C$29,Initialisation!$D$28,0))))))</f>
        <v>0.5</v>
      </c>
    </row>
    <row r="86" spans="1:13" x14ac:dyDescent="0.35">
      <c r="A86" s="5">
        <f>IF(MeteoJ!A86=$BP$5,A85,MeteoJ!A86)</f>
        <v>42134</v>
      </c>
      <c r="B86">
        <f>MeteoJ!D86</f>
        <v>7630</v>
      </c>
      <c r="C86">
        <f t="shared" si="6"/>
        <v>656.07317999999998</v>
      </c>
      <c r="D86">
        <f>MeteoJ!B86</f>
        <v>17.745833333333334</v>
      </c>
      <c r="E86">
        <f t="shared" si="7"/>
        <v>4.9743165488051906</v>
      </c>
      <c r="F86">
        <f t="shared" si="8"/>
        <v>2.4871582744025953</v>
      </c>
      <c r="H86">
        <f>(1-Initialisation!$C$19/100)*C86</f>
        <v>495.82730578500002</v>
      </c>
      <c r="I86">
        <f t="shared" si="9"/>
        <v>17.745833333333334</v>
      </c>
      <c r="J86">
        <f t="shared" si="10"/>
        <v>3.8453773303725778</v>
      </c>
      <c r="K86">
        <f t="shared" si="11"/>
        <v>1.9226886651862889</v>
      </c>
      <c r="M86">
        <f>IF(ETR!A86&lt;=Initialisation!$C$24,Initialisation!$D$23,IF(ETR!A86&lt;=Initialisation!$C$25,Initialisation!$D$24,IF(ETR!A86&lt;=Initialisation!$C$26,Initialisation!$D$25,IF(ETR!A86&lt;=Initialisation!$C$27,Initialisation!$D$26,IF(ETR!A87&lt;=Initialisation!$C$28,Initialisation!$D$27,IF(ETR!A87&lt;=Initialisation!$C$29,Initialisation!$D$28,0))))))</f>
        <v>0.5</v>
      </c>
    </row>
    <row r="87" spans="1:13" x14ac:dyDescent="0.35">
      <c r="A87" s="5">
        <f>IF(MeteoJ!A87=$BP$5,A86,MeteoJ!A87)</f>
        <v>42135</v>
      </c>
      <c r="B87">
        <f>MeteoJ!D87</f>
        <v>7145</v>
      </c>
      <c r="C87">
        <f t="shared" si="6"/>
        <v>614.36996999999997</v>
      </c>
      <c r="D87">
        <f>MeteoJ!B87</f>
        <v>20.558333333333334</v>
      </c>
      <c r="E87">
        <f t="shared" si="7"/>
        <v>4.9934401940168724</v>
      </c>
      <c r="F87">
        <f t="shared" si="8"/>
        <v>2.4967200970084362</v>
      </c>
      <c r="H87">
        <f>(1-Initialisation!$C$19/100)*C87</f>
        <v>464.31010482749997</v>
      </c>
      <c r="I87">
        <f t="shared" si="9"/>
        <v>20.558333333333334</v>
      </c>
      <c r="J87">
        <f t="shared" si="10"/>
        <v>3.8655822291827402</v>
      </c>
      <c r="K87">
        <f t="shared" si="11"/>
        <v>1.9327911145913701</v>
      </c>
      <c r="M87">
        <f>IF(ETR!A87&lt;=Initialisation!$C$24,Initialisation!$D$23,IF(ETR!A87&lt;=Initialisation!$C$25,Initialisation!$D$24,IF(ETR!A87&lt;=Initialisation!$C$26,Initialisation!$D$25,IF(ETR!A87&lt;=Initialisation!$C$27,Initialisation!$D$26,IF(ETR!A88&lt;=Initialisation!$C$28,Initialisation!$D$27,IF(ETR!A88&lt;=Initialisation!$C$29,Initialisation!$D$28,0))))))</f>
        <v>0.5</v>
      </c>
    </row>
    <row r="88" spans="1:13" x14ac:dyDescent="0.35">
      <c r="A88" s="5">
        <f>IF(MeteoJ!A88=$BP$5,A87,MeteoJ!A88)</f>
        <v>42136</v>
      </c>
      <c r="B88">
        <f>MeteoJ!D88</f>
        <v>7334</v>
      </c>
      <c r="C88">
        <f t="shared" si="6"/>
        <v>630.62132399999996</v>
      </c>
      <c r="D88">
        <f>MeteoJ!B88</f>
        <v>19.066666666666666</v>
      </c>
      <c r="E88">
        <f t="shared" si="7"/>
        <v>4.9521528035851272</v>
      </c>
      <c r="F88">
        <f t="shared" si="8"/>
        <v>2.4760764017925636</v>
      </c>
      <c r="H88">
        <f>(1-Initialisation!$C$19/100)*C88</f>
        <v>476.59206561299999</v>
      </c>
      <c r="I88">
        <f t="shared" si="9"/>
        <v>19.066666666666666</v>
      </c>
      <c r="J88">
        <f t="shared" si="10"/>
        <v>3.8314467709376401</v>
      </c>
      <c r="K88">
        <f t="shared" si="11"/>
        <v>1.91572338546882</v>
      </c>
      <c r="M88">
        <f>IF(ETR!A88&lt;=Initialisation!$C$24,Initialisation!$D$23,IF(ETR!A88&lt;=Initialisation!$C$25,Initialisation!$D$24,IF(ETR!A88&lt;=Initialisation!$C$26,Initialisation!$D$25,IF(ETR!A88&lt;=Initialisation!$C$27,Initialisation!$D$26,IF(ETR!A89&lt;=Initialisation!$C$28,Initialisation!$D$27,IF(ETR!A89&lt;=Initialisation!$C$29,Initialisation!$D$28,0))))))</f>
        <v>0.5</v>
      </c>
    </row>
    <row r="89" spans="1:13" x14ac:dyDescent="0.35">
      <c r="A89" s="5">
        <f>IF(MeteoJ!A89=$BP$5,A88,MeteoJ!A89)</f>
        <v>42137</v>
      </c>
      <c r="B89">
        <f>MeteoJ!D89</f>
        <v>7510</v>
      </c>
      <c r="C89">
        <f t="shared" si="6"/>
        <v>645.75486000000001</v>
      </c>
      <c r="D89">
        <f>MeteoJ!B89</f>
        <v>19.8</v>
      </c>
      <c r="E89">
        <f t="shared" si="7"/>
        <v>5.1461868093103451</v>
      </c>
      <c r="F89">
        <f t="shared" si="8"/>
        <v>2.5730934046551726</v>
      </c>
      <c r="H89">
        <f>(1-Initialisation!$C$19/100)*C89</f>
        <v>488.02923544500004</v>
      </c>
      <c r="I89">
        <f t="shared" si="9"/>
        <v>19.8</v>
      </c>
      <c r="J89">
        <f t="shared" si="10"/>
        <v>3.9795610690673286</v>
      </c>
      <c r="K89">
        <f t="shared" si="11"/>
        <v>1.9897805345336643</v>
      </c>
      <c r="M89">
        <f>IF(ETR!A89&lt;=Initialisation!$C$24,Initialisation!$D$23,IF(ETR!A89&lt;=Initialisation!$C$25,Initialisation!$D$24,IF(ETR!A89&lt;=Initialisation!$C$26,Initialisation!$D$25,IF(ETR!A89&lt;=Initialisation!$C$27,Initialisation!$D$26,IF(ETR!A90&lt;=Initialisation!$C$28,Initialisation!$D$27,IF(ETR!A90&lt;=Initialisation!$C$29,Initialisation!$D$28,0))))))</f>
        <v>0.5</v>
      </c>
    </row>
    <row r="90" spans="1:13" x14ac:dyDescent="0.35">
      <c r="A90" s="5">
        <f>IF(MeteoJ!A90=$BP$5,A89,MeteoJ!A90)</f>
        <v>42138</v>
      </c>
      <c r="B90">
        <f>MeteoJ!D90</f>
        <v>2957</v>
      </c>
      <c r="C90">
        <f t="shared" si="6"/>
        <v>254.26060199999998</v>
      </c>
      <c r="D90">
        <f>MeteoJ!B90</f>
        <v>14.512500000000001</v>
      </c>
      <c r="E90">
        <f t="shared" si="7"/>
        <v>1.9450255256188052</v>
      </c>
      <c r="F90">
        <f t="shared" si="8"/>
        <v>0.97251276280940258</v>
      </c>
      <c r="H90">
        <f>(1-Initialisation!$C$19/100)*C90</f>
        <v>192.15744996149999</v>
      </c>
      <c r="I90">
        <f t="shared" si="9"/>
        <v>14.512500000000001</v>
      </c>
      <c r="J90">
        <f t="shared" si="10"/>
        <v>1.5480230378097921</v>
      </c>
      <c r="K90">
        <f t="shared" si="11"/>
        <v>0.77401151890489606</v>
      </c>
      <c r="M90">
        <f>IF(ETR!A90&lt;=Initialisation!$C$24,Initialisation!$D$23,IF(ETR!A90&lt;=Initialisation!$C$25,Initialisation!$D$24,IF(ETR!A90&lt;=Initialisation!$C$26,Initialisation!$D$25,IF(ETR!A90&lt;=Initialisation!$C$27,Initialisation!$D$26,IF(ETR!A91&lt;=Initialisation!$C$28,Initialisation!$D$27,IF(ETR!A91&lt;=Initialisation!$C$29,Initialisation!$D$28,0))))))</f>
        <v>0.5</v>
      </c>
    </row>
    <row r="91" spans="1:13" x14ac:dyDescent="0.35">
      <c r="A91" s="5">
        <f>IF(MeteoJ!A91=$BP$5,A90,MeteoJ!A91)</f>
        <v>42139</v>
      </c>
      <c r="B91">
        <f>MeteoJ!D91</f>
        <v>4743</v>
      </c>
      <c r="C91">
        <f t="shared" si="6"/>
        <v>407.83159799999999</v>
      </c>
      <c r="D91">
        <f>MeteoJ!B91</f>
        <v>13.225</v>
      </c>
      <c r="E91">
        <f t="shared" si="7"/>
        <v>2.7887581040265719</v>
      </c>
      <c r="F91">
        <f t="shared" si="8"/>
        <v>1.3943790520132859</v>
      </c>
      <c r="H91">
        <f>(1-Initialisation!$C$19/100)*C91</f>
        <v>308.21873018849999</v>
      </c>
      <c r="I91">
        <f t="shared" si="9"/>
        <v>13.225</v>
      </c>
      <c r="J91">
        <f t="shared" si="10"/>
        <v>2.1819930978798174</v>
      </c>
      <c r="K91">
        <f t="shared" si="11"/>
        <v>1.0909965489399087</v>
      </c>
      <c r="M91">
        <f>IF(ETR!A91&lt;=Initialisation!$C$24,Initialisation!$D$23,IF(ETR!A91&lt;=Initialisation!$C$25,Initialisation!$D$24,IF(ETR!A91&lt;=Initialisation!$C$26,Initialisation!$D$25,IF(ETR!A91&lt;=Initialisation!$C$27,Initialisation!$D$26,IF(ETR!A92&lt;=Initialisation!$C$28,Initialisation!$D$27,IF(ETR!A92&lt;=Initialisation!$C$29,Initialisation!$D$28,0))))))</f>
        <v>0.5</v>
      </c>
    </row>
    <row r="92" spans="1:13" x14ac:dyDescent="0.35">
      <c r="A92" s="5">
        <f>IF(MeteoJ!A92=$BP$5,A91,MeteoJ!A92)</f>
        <v>42140</v>
      </c>
      <c r="B92">
        <f>MeteoJ!D92</f>
        <v>3459</v>
      </c>
      <c r="C92">
        <f t="shared" si="6"/>
        <v>297.42557399999998</v>
      </c>
      <c r="D92">
        <f>MeteoJ!B92</f>
        <v>14.712499999999999</v>
      </c>
      <c r="E92">
        <f t="shared" si="7"/>
        <v>2.2364151063416067</v>
      </c>
      <c r="F92">
        <f t="shared" si="8"/>
        <v>1.1182075531708033</v>
      </c>
      <c r="H92">
        <f>(1-Initialisation!$C$19/100)*C92</f>
        <v>224.77937755049999</v>
      </c>
      <c r="I92">
        <f t="shared" si="9"/>
        <v>14.712499999999999</v>
      </c>
      <c r="J92">
        <f t="shared" si="10"/>
        <v>1.768783868700126</v>
      </c>
      <c r="K92">
        <f t="shared" si="11"/>
        <v>0.88439193435006302</v>
      </c>
      <c r="M92">
        <f>IF(ETR!A92&lt;=Initialisation!$C$24,Initialisation!$D$23,IF(ETR!A92&lt;=Initialisation!$C$25,Initialisation!$D$24,IF(ETR!A92&lt;=Initialisation!$C$26,Initialisation!$D$25,IF(ETR!A92&lt;=Initialisation!$C$27,Initialisation!$D$26,IF(ETR!A93&lt;=Initialisation!$C$28,Initialisation!$D$27,IF(ETR!A93&lt;=Initialisation!$C$29,Initialisation!$D$28,0))))))</f>
        <v>0.5</v>
      </c>
    </row>
    <row r="93" spans="1:13" x14ac:dyDescent="0.35">
      <c r="A93" s="5">
        <f>IF(MeteoJ!A93=$BP$5,A92,MeteoJ!A93)</f>
        <v>42141</v>
      </c>
      <c r="B93">
        <f>MeteoJ!D93</f>
        <v>6318</v>
      </c>
      <c r="C93">
        <f t="shared" si="6"/>
        <v>543.259548</v>
      </c>
      <c r="D93">
        <f>MeteoJ!B93</f>
        <v>16.254166666666666</v>
      </c>
      <c r="E93">
        <f t="shared" si="7"/>
        <v>4.0109280706204506</v>
      </c>
      <c r="F93">
        <f t="shared" si="8"/>
        <v>2.0054640353102253</v>
      </c>
      <c r="H93">
        <f>(1-Initialisation!$C$19/100)*C93</f>
        <v>410.56840340100001</v>
      </c>
      <c r="I93">
        <f t="shared" si="9"/>
        <v>16.254166666666666</v>
      </c>
      <c r="J93">
        <f t="shared" si="10"/>
        <v>3.1138255488168123</v>
      </c>
      <c r="K93">
        <f t="shared" si="11"/>
        <v>1.5569127744084061</v>
      </c>
      <c r="M93">
        <f>IF(ETR!A93&lt;=Initialisation!$C$24,Initialisation!$D$23,IF(ETR!A93&lt;=Initialisation!$C$25,Initialisation!$D$24,IF(ETR!A93&lt;=Initialisation!$C$26,Initialisation!$D$25,IF(ETR!A93&lt;=Initialisation!$C$27,Initialisation!$D$26,IF(ETR!A94&lt;=Initialisation!$C$28,Initialisation!$D$27,IF(ETR!A94&lt;=Initialisation!$C$29,Initialisation!$D$28,0))))))</f>
        <v>0.5</v>
      </c>
    </row>
    <row r="94" spans="1:13" x14ac:dyDescent="0.35">
      <c r="A94" s="5">
        <f>IF(MeteoJ!A94=$BP$5,A93,MeteoJ!A94)</f>
        <v>42142</v>
      </c>
      <c r="B94">
        <f>MeteoJ!D94</f>
        <v>7904</v>
      </c>
      <c r="C94">
        <f t="shared" si="6"/>
        <v>679.63334399999997</v>
      </c>
      <c r="D94">
        <f>MeteoJ!B94</f>
        <v>14.716666666666663</v>
      </c>
      <c r="E94">
        <f t="shared" si="7"/>
        <v>4.6973982926393711</v>
      </c>
      <c r="F94">
        <f t="shared" si="8"/>
        <v>2.3486991463196856</v>
      </c>
      <c r="H94">
        <f>(1-Initialisation!$C$19/100)*C94</f>
        <v>513.63289972799998</v>
      </c>
      <c r="I94">
        <f t="shared" si="9"/>
        <v>14.716666666666663</v>
      </c>
      <c r="J94">
        <f t="shared" si="10"/>
        <v>3.6286831497351155</v>
      </c>
      <c r="K94">
        <f t="shared" si="11"/>
        <v>1.8143415748675578</v>
      </c>
      <c r="M94">
        <f>IF(ETR!A94&lt;=Initialisation!$C$24,Initialisation!$D$23,IF(ETR!A94&lt;=Initialisation!$C$25,Initialisation!$D$24,IF(ETR!A94&lt;=Initialisation!$C$26,Initialisation!$D$25,IF(ETR!A94&lt;=Initialisation!$C$27,Initialisation!$D$26,IF(ETR!A95&lt;=Initialisation!$C$28,Initialisation!$D$27,IF(ETR!A95&lt;=Initialisation!$C$29,Initialisation!$D$28,0))))))</f>
        <v>0.5</v>
      </c>
    </row>
    <row r="95" spans="1:13" x14ac:dyDescent="0.35">
      <c r="A95" s="5">
        <f>IF(MeteoJ!A95=$BP$5,A94,MeteoJ!A95)</f>
        <v>42143</v>
      </c>
      <c r="B95">
        <f>MeteoJ!D95</f>
        <v>3898</v>
      </c>
      <c r="C95">
        <f t="shared" si="6"/>
        <v>335.173428</v>
      </c>
      <c r="D95">
        <f>MeteoJ!B95</f>
        <v>13.420833333333333</v>
      </c>
      <c r="E95">
        <f t="shared" si="7"/>
        <v>2.3645164859469285</v>
      </c>
      <c r="F95">
        <f t="shared" si="8"/>
        <v>1.1822582429734643</v>
      </c>
      <c r="H95">
        <f>(1-Initialisation!$C$19/100)*C95</f>
        <v>253.30731821100002</v>
      </c>
      <c r="I95">
        <f t="shared" si="9"/>
        <v>13.420833333333333</v>
      </c>
      <c r="J95">
        <f t="shared" si="10"/>
        <v>1.8619538682669994</v>
      </c>
      <c r="K95">
        <f t="shared" si="11"/>
        <v>0.93097693413349969</v>
      </c>
      <c r="M95">
        <f>IF(ETR!A95&lt;=Initialisation!$C$24,Initialisation!$D$23,IF(ETR!A95&lt;=Initialisation!$C$25,Initialisation!$D$24,IF(ETR!A95&lt;=Initialisation!$C$26,Initialisation!$D$25,IF(ETR!A95&lt;=Initialisation!$C$27,Initialisation!$D$26,IF(ETR!A96&lt;=Initialisation!$C$28,Initialisation!$D$27,IF(ETR!A96&lt;=Initialisation!$C$29,Initialisation!$D$28,0))))))</f>
        <v>0.5</v>
      </c>
    </row>
    <row r="96" spans="1:13" x14ac:dyDescent="0.35">
      <c r="A96" s="5">
        <f>IF(MeteoJ!A96=$BP$5,A95,MeteoJ!A96)</f>
        <v>42144</v>
      </c>
      <c r="B96">
        <f>MeteoJ!D96</f>
        <v>6539</v>
      </c>
      <c r="C96">
        <f t="shared" si="6"/>
        <v>562.26245399999993</v>
      </c>
      <c r="D96">
        <f>MeteoJ!B96</f>
        <v>12.529166666666667</v>
      </c>
      <c r="E96">
        <f t="shared" si="7"/>
        <v>3.6225142408527309</v>
      </c>
      <c r="F96">
        <f t="shared" si="8"/>
        <v>1.8112571204263654</v>
      </c>
      <c r="H96">
        <f>(1-Initialisation!$C$19/100)*C96</f>
        <v>424.92984961049996</v>
      </c>
      <c r="I96">
        <f t="shared" si="9"/>
        <v>12.529166666666667</v>
      </c>
      <c r="J96">
        <f t="shared" si="10"/>
        <v>2.8099716590168082</v>
      </c>
      <c r="K96">
        <f t="shared" si="11"/>
        <v>1.4049858295084041</v>
      </c>
      <c r="M96">
        <f>IF(ETR!A96&lt;=Initialisation!$C$24,Initialisation!$D$23,IF(ETR!A96&lt;=Initialisation!$C$25,Initialisation!$D$24,IF(ETR!A96&lt;=Initialisation!$C$26,Initialisation!$D$25,IF(ETR!A96&lt;=Initialisation!$C$27,Initialisation!$D$26,IF(ETR!A97&lt;=Initialisation!$C$28,Initialisation!$D$27,IF(ETR!A97&lt;=Initialisation!$C$29,Initialisation!$D$28,0))))))</f>
        <v>0.5</v>
      </c>
    </row>
    <row r="97" spans="1:13" x14ac:dyDescent="0.35">
      <c r="A97" s="5">
        <f>IF(MeteoJ!A97=$BP$5,A96,MeteoJ!A97)</f>
        <v>42144</v>
      </c>
      <c r="B97">
        <f>MeteoJ!D97</f>
        <v>0</v>
      </c>
      <c r="C97">
        <f t="shared" si="6"/>
        <v>0</v>
      </c>
      <c r="D97">
        <f>MeteoJ!B97</f>
        <v>0</v>
      </c>
      <c r="E97">
        <f t="shared" si="7"/>
        <v>0</v>
      </c>
      <c r="F97">
        <f t="shared" si="8"/>
        <v>0</v>
      </c>
      <c r="H97">
        <f>(1-Initialisation!$C$19/100)*C97</f>
        <v>0</v>
      </c>
      <c r="I97">
        <f t="shared" si="9"/>
        <v>0</v>
      </c>
      <c r="J97">
        <f t="shared" si="10"/>
        <v>0</v>
      </c>
      <c r="K97">
        <f t="shared" si="11"/>
        <v>0</v>
      </c>
      <c r="M97">
        <f>IF(ETR!A97&lt;=Initialisation!$C$24,Initialisation!$D$23,IF(ETR!A97&lt;=Initialisation!$C$25,Initialisation!$D$24,IF(ETR!A97&lt;=Initialisation!$C$26,Initialisation!$D$25,IF(ETR!A97&lt;=Initialisation!$C$27,Initialisation!$D$26,IF(ETR!A98&lt;=Initialisation!$C$28,Initialisation!$D$27,IF(ETR!A98&lt;=Initialisation!$C$29,Initialisation!$D$28,0))))))</f>
        <v>0.5</v>
      </c>
    </row>
    <row r="98" spans="1:13" x14ac:dyDescent="0.35">
      <c r="A98" s="5">
        <f>IF(MeteoJ!A98=$BP$5,A97,MeteoJ!A98+1)</f>
        <v>42144</v>
      </c>
      <c r="B98">
        <f>MeteoJ!D98</f>
        <v>0</v>
      </c>
      <c r="C98">
        <f t="shared" si="6"/>
        <v>0</v>
      </c>
      <c r="D98">
        <f>MeteoJ!B98</f>
        <v>0</v>
      </c>
      <c r="E98">
        <f t="shared" si="7"/>
        <v>0</v>
      </c>
      <c r="F98">
        <f t="shared" si="8"/>
        <v>0</v>
      </c>
      <c r="H98">
        <f>(1-Initialisation!$C$19/100)*C98</f>
        <v>0</v>
      </c>
      <c r="I98">
        <f t="shared" si="9"/>
        <v>0</v>
      </c>
      <c r="J98">
        <f t="shared" si="10"/>
        <v>0</v>
      </c>
      <c r="K98">
        <f t="shared" si="11"/>
        <v>0</v>
      </c>
      <c r="M98">
        <f>IF(ETR!A98&lt;=Initialisation!$C$24,Initialisation!$D$23,IF(ETR!A98&lt;=Initialisation!$C$25,Initialisation!$D$24,IF(ETR!A98&lt;=Initialisation!$C$26,Initialisation!$D$25,IF(ETR!A98&lt;=Initialisation!$C$27,Initialisation!$D$26,IF(ETR!A99&lt;=Initialisation!$C$28,Initialisation!$D$27,IF(ETR!A99&lt;=Initialisation!$C$29,Initialisation!$D$28,0))))))</f>
        <v>0.5</v>
      </c>
    </row>
    <row r="99" spans="1:13" x14ac:dyDescent="0.35">
      <c r="A99" s="5">
        <f>IF(MeteoJ!A99=$BP$5,A98,MeteoJ!A99)</f>
        <v>42144</v>
      </c>
      <c r="B99">
        <f>MeteoJ!D99</f>
        <v>0</v>
      </c>
      <c r="C99">
        <f t="shared" si="6"/>
        <v>0</v>
      </c>
      <c r="D99">
        <f>MeteoJ!B99</f>
        <v>0</v>
      </c>
      <c r="E99">
        <f t="shared" si="7"/>
        <v>0</v>
      </c>
      <c r="F99">
        <f t="shared" si="8"/>
        <v>0</v>
      </c>
      <c r="H99">
        <f>(1-Initialisation!$C$19/100)*C99</f>
        <v>0</v>
      </c>
      <c r="I99">
        <f t="shared" si="9"/>
        <v>0</v>
      </c>
      <c r="J99">
        <f t="shared" si="10"/>
        <v>0</v>
      </c>
      <c r="K99">
        <f t="shared" si="11"/>
        <v>0</v>
      </c>
      <c r="M99">
        <f>IF(ETR!A99&lt;=Initialisation!$C$24,Initialisation!$D$23,IF(ETR!A99&lt;=Initialisation!$C$25,Initialisation!$D$24,IF(ETR!A99&lt;=Initialisation!$C$26,Initialisation!$D$25,IF(ETR!A99&lt;=Initialisation!$C$27,Initialisation!$D$26,IF(ETR!A100&lt;=Initialisation!$C$28,Initialisation!$D$27,IF(ETR!A100&lt;=Initialisation!$C$29,Initialisation!$D$28,0))))))</f>
        <v>0.5</v>
      </c>
    </row>
    <row r="100" spans="1:13" x14ac:dyDescent="0.35">
      <c r="A100" s="5">
        <f>IF(MeteoJ!A100=$BP$5,A99,MeteoJ!A100)</f>
        <v>42144</v>
      </c>
      <c r="B100">
        <f>MeteoJ!D100</f>
        <v>0</v>
      </c>
      <c r="C100">
        <f t="shared" si="6"/>
        <v>0</v>
      </c>
      <c r="D100">
        <f>MeteoJ!B100</f>
        <v>0</v>
      </c>
      <c r="E100">
        <f t="shared" si="7"/>
        <v>0</v>
      </c>
      <c r="F100">
        <f t="shared" si="8"/>
        <v>0</v>
      </c>
      <c r="H100">
        <f>(1-Initialisation!$C$19/100)*C100</f>
        <v>0</v>
      </c>
      <c r="I100">
        <f t="shared" si="9"/>
        <v>0</v>
      </c>
      <c r="J100">
        <f t="shared" si="10"/>
        <v>0</v>
      </c>
      <c r="K100">
        <f t="shared" si="11"/>
        <v>0</v>
      </c>
      <c r="M100">
        <f>IF(ETR!A100&lt;=Initialisation!$C$24,Initialisation!$D$23,IF(ETR!A100&lt;=Initialisation!$C$25,Initialisation!$D$24,IF(ETR!A100&lt;=Initialisation!$C$26,Initialisation!$D$25,IF(ETR!A100&lt;=Initialisation!$C$27,Initialisation!$D$26,IF(ETR!A101&lt;=Initialisation!$C$28,Initialisation!$D$27,IF(ETR!A101&lt;=Initialisation!$C$29,Initialisation!$D$28,0))))))</f>
        <v>0.5</v>
      </c>
    </row>
    <row r="101" spans="1:13" x14ac:dyDescent="0.35">
      <c r="A101" s="5">
        <f>IF(MeteoJ!A101=$BP$5,A100,MeteoJ!A101)</f>
        <v>42144</v>
      </c>
      <c r="B101">
        <f>MeteoJ!D101</f>
        <v>0</v>
      </c>
      <c r="C101">
        <f t="shared" si="6"/>
        <v>0</v>
      </c>
      <c r="D101">
        <f>MeteoJ!B101</f>
        <v>0</v>
      </c>
      <c r="E101">
        <f t="shared" si="7"/>
        <v>0</v>
      </c>
      <c r="F101">
        <f t="shared" si="8"/>
        <v>0</v>
      </c>
      <c r="H101">
        <f>(1-Initialisation!$C$19/100)*C101</f>
        <v>0</v>
      </c>
      <c r="I101">
        <f t="shared" si="9"/>
        <v>0</v>
      </c>
      <c r="J101">
        <f t="shared" si="10"/>
        <v>0</v>
      </c>
      <c r="K101">
        <f t="shared" si="11"/>
        <v>0</v>
      </c>
      <c r="M101">
        <f>IF(ETR!A101&lt;=Initialisation!$C$24,Initialisation!$D$23,IF(ETR!A101&lt;=Initialisation!$C$25,Initialisation!$D$24,IF(ETR!A101&lt;=Initialisation!$C$26,Initialisation!$D$25,IF(ETR!A101&lt;=Initialisation!$C$27,Initialisation!$D$26,IF(ETR!A102&lt;=Initialisation!$C$28,Initialisation!$D$27,IF(ETR!A102&lt;=Initialisation!$C$29,Initialisation!$D$28,0))))))</f>
        <v>0.5</v>
      </c>
    </row>
    <row r="102" spans="1:13" x14ac:dyDescent="0.35">
      <c r="A102" s="5">
        <f>IF(MeteoJ!A102=$BP$5,A101,MeteoJ!A102)</f>
        <v>42144</v>
      </c>
      <c r="B102">
        <f>MeteoJ!D102</f>
        <v>0</v>
      </c>
      <c r="C102">
        <f t="shared" si="6"/>
        <v>0</v>
      </c>
      <c r="D102">
        <f>MeteoJ!B102</f>
        <v>0</v>
      </c>
      <c r="E102">
        <f t="shared" si="7"/>
        <v>0</v>
      </c>
      <c r="F102">
        <f t="shared" si="8"/>
        <v>0</v>
      </c>
      <c r="H102">
        <f>(1-Initialisation!$C$19/100)*C102</f>
        <v>0</v>
      </c>
      <c r="I102">
        <f t="shared" si="9"/>
        <v>0</v>
      </c>
      <c r="J102">
        <f t="shared" si="10"/>
        <v>0</v>
      </c>
      <c r="K102">
        <f t="shared" si="11"/>
        <v>0</v>
      </c>
      <c r="M102">
        <f>IF(ETR!A102&lt;=Initialisation!$C$24,Initialisation!$D$23,IF(ETR!A102&lt;=Initialisation!$C$25,Initialisation!$D$24,IF(ETR!A102&lt;=Initialisation!$C$26,Initialisation!$D$25,IF(ETR!A102&lt;=Initialisation!$C$27,Initialisation!$D$26,IF(ETR!A103&lt;=Initialisation!$C$28,Initialisation!$D$27,IF(ETR!A103&lt;=Initialisation!$C$29,Initialisation!$D$28,0))))))</f>
        <v>0.5</v>
      </c>
    </row>
    <row r="103" spans="1:13" x14ac:dyDescent="0.35">
      <c r="A103" s="5">
        <f>IF(MeteoJ!A103=$BP$5,A102,MeteoJ!A103)</f>
        <v>42144</v>
      </c>
      <c r="B103">
        <f>MeteoJ!D103</f>
        <v>0</v>
      </c>
      <c r="C103">
        <f t="shared" si="6"/>
        <v>0</v>
      </c>
      <c r="D103">
        <f>MeteoJ!B103</f>
        <v>0</v>
      </c>
      <c r="E103">
        <f t="shared" si="7"/>
        <v>0</v>
      </c>
      <c r="F103">
        <f t="shared" si="8"/>
        <v>0</v>
      </c>
      <c r="H103">
        <f>(1-Initialisation!$C$19/100)*C103</f>
        <v>0</v>
      </c>
      <c r="I103">
        <f t="shared" si="9"/>
        <v>0</v>
      </c>
      <c r="J103">
        <f t="shared" si="10"/>
        <v>0</v>
      </c>
      <c r="K103">
        <f t="shared" si="11"/>
        <v>0</v>
      </c>
      <c r="M103">
        <f>IF(ETR!A103&lt;=Initialisation!$C$24,Initialisation!$D$23,IF(ETR!A103&lt;=Initialisation!$C$25,Initialisation!$D$24,IF(ETR!A103&lt;=Initialisation!$C$26,Initialisation!$D$25,IF(ETR!A103&lt;=Initialisation!$C$27,Initialisation!$D$26,IF(ETR!A104&lt;=Initialisation!$C$28,Initialisation!$D$27,IF(ETR!A104&lt;=Initialisation!$C$29,Initialisation!$D$28,0))))))</f>
        <v>0.5</v>
      </c>
    </row>
    <row r="104" spans="1:13" x14ac:dyDescent="0.35">
      <c r="A104" s="5">
        <f>IF(MeteoJ!A104=$BP$5,A103,MeteoJ!A104)</f>
        <v>42144</v>
      </c>
      <c r="B104">
        <f>MeteoJ!D104</f>
        <v>0</v>
      </c>
      <c r="C104">
        <f t="shared" si="6"/>
        <v>0</v>
      </c>
      <c r="D104">
        <f>MeteoJ!B104</f>
        <v>0</v>
      </c>
      <c r="E104">
        <f t="shared" si="7"/>
        <v>0</v>
      </c>
      <c r="F104">
        <f t="shared" si="8"/>
        <v>0</v>
      </c>
      <c r="H104">
        <f>(1-Initialisation!$C$19/100)*C104</f>
        <v>0</v>
      </c>
      <c r="I104">
        <f t="shared" si="9"/>
        <v>0</v>
      </c>
      <c r="J104">
        <f t="shared" si="10"/>
        <v>0</v>
      </c>
      <c r="K104">
        <f t="shared" si="11"/>
        <v>0</v>
      </c>
      <c r="M104">
        <f>IF(ETR!A104&lt;=Initialisation!$C$24,Initialisation!$D$23,IF(ETR!A104&lt;=Initialisation!$C$25,Initialisation!$D$24,IF(ETR!A104&lt;=Initialisation!$C$26,Initialisation!$D$25,IF(ETR!A104&lt;=Initialisation!$C$27,Initialisation!$D$26,IF(ETR!A105&lt;=Initialisation!$C$28,Initialisation!$D$27,IF(ETR!A105&lt;=Initialisation!$C$29,Initialisation!$D$28,0))))))</f>
        <v>0.5</v>
      </c>
    </row>
    <row r="105" spans="1:13" x14ac:dyDescent="0.35">
      <c r="A105" s="5">
        <f>IF(MeteoJ!A105=$BP$5,A104,MeteoJ!A105)</f>
        <v>42144</v>
      </c>
      <c r="B105">
        <f>MeteoJ!D105</f>
        <v>0</v>
      </c>
      <c r="C105">
        <f t="shared" si="6"/>
        <v>0</v>
      </c>
      <c r="D105">
        <f>MeteoJ!B105</f>
        <v>0</v>
      </c>
      <c r="E105">
        <f t="shared" si="7"/>
        <v>0</v>
      </c>
      <c r="F105">
        <f t="shared" si="8"/>
        <v>0</v>
      </c>
      <c r="H105">
        <f>(1-Initialisation!$C$19/100)*C105</f>
        <v>0</v>
      </c>
      <c r="I105">
        <f t="shared" si="9"/>
        <v>0</v>
      </c>
      <c r="J105">
        <f t="shared" si="10"/>
        <v>0</v>
      </c>
      <c r="K105">
        <f t="shared" si="11"/>
        <v>0</v>
      </c>
      <c r="M105">
        <f>IF(ETR!A105&lt;=Initialisation!$C$24,Initialisation!$D$23,IF(ETR!A105&lt;=Initialisation!$C$25,Initialisation!$D$24,IF(ETR!A105&lt;=Initialisation!$C$26,Initialisation!$D$25,IF(ETR!A105&lt;=Initialisation!$C$27,Initialisation!$D$26,IF(ETR!A106&lt;=Initialisation!$C$28,Initialisation!$D$27,IF(ETR!A106&lt;=Initialisation!$C$29,Initialisation!$D$28,0))))))</f>
        <v>0.5</v>
      </c>
    </row>
    <row r="106" spans="1:13" x14ac:dyDescent="0.35">
      <c r="A106" s="5">
        <f>IF(MeteoJ!A106=$BP$5,A105,MeteoJ!A106)</f>
        <v>42144</v>
      </c>
      <c r="B106">
        <f>MeteoJ!D106</f>
        <v>0</v>
      </c>
      <c r="C106">
        <f t="shared" si="6"/>
        <v>0</v>
      </c>
      <c r="D106">
        <f>MeteoJ!B106</f>
        <v>0</v>
      </c>
      <c r="E106">
        <f t="shared" si="7"/>
        <v>0</v>
      </c>
      <c r="F106">
        <f t="shared" si="8"/>
        <v>0</v>
      </c>
      <c r="H106">
        <f>(1-Initialisation!$C$19/100)*C106</f>
        <v>0</v>
      </c>
      <c r="I106">
        <f t="shared" si="9"/>
        <v>0</v>
      </c>
      <c r="J106">
        <f t="shared" si="10"/>
        <v>0</v>
      </c>
      <c r="K106">
        <f t="shared" si="11"/>
        <v>0</v>
      </c>
      <c r="M106">
        <f>IF(ETR!A106&lt;=Initialisation!$C$24,Initialisation!$D$23,IF(ETR!A106&lt;=Initialisation!$C$25,Initialisation!$D$24,IF(ETR!A106&lt;=Initialisation!$C$26,Initialisation!$D$25,IF(ETR!A106&lt;=Initialisation!$C$27,Initialisation!$D$26,IF(ETR!A107&lt;=Initialisation!$C$28,Initialisation!$D$27,IF(ETR!A107&lt;=Initialisation!$C$29,Initialisation!$D$28,0))))))</f>
        <v>0.5</v>
      </c>
    </row>
    <row r="107" spans="1:13" x14ac:dyDescent="0.35">
      <c r="A107" s="5">
        <f>IF(MeteoJ!A107=$BP$5,A106,MeteoJ!A107)</f>
        <v>42144</v>
      </c>
      <c r="B107">
        <f>MeteoJ!D107</f>
        <v>0</v>
      </c>
      <c r="C107">
        <f t="shared" si="6"/>
        <v>0</v>
      </c>
      <c r="D107">
        <f>MeteoJ!B107</f>
        <v>0</v>
      </c>
      <c r="E107">
        <f t="shared" si="7"/>
        <v>0</v>
      </c>
      <c r="F107">
        <f t="shared" si="8"/>
        <v>0</v>
      </c>
      <c r="H107">
        <f>(1-Initialisation!$C$19/100)*C107</f>
        <v>0</v>
      </c>
      <c r="I107">
        <f t="shared" si="9"/>
        <v>0</v>
      </c>
      <c r="J107">
        <f t="shared" si="10"/>
        <v>0</v>
      </c>
      <c r="K107">
        <f t="shared" si="11"/>
        <v>0</v>
      </c>
      <c r="M107">
        <f>IF(ETR!A107&lt;=Initialisation!$C$24,Initialisation!$D$23,IF(ETR!A107&lt;=Initialisation!$C$25,Initialisation!$D$24,IF(ETR!A107&lt;=Initialisation!$C$26,Initialisation!$D$25,IF(ETR!A107&lt;=Initialisation!$C$27,Initialisation!$D$26,IF(ETR!A108&lt;=Initialisation!$C$28,Initialisation!$D$27,IF(ETR!A108&lt;=Initialisation!$C$29,Initialisation!$D$28,0))))))</f>
        <v>0.5</v>
      </c>
    </row>
    <row r="108" spans="1:13" x14ac:dyDescent="0.35">
      <c r="A108" s="5">
        <f>IF(MeteoJ!A108=$BP$5,A107,MeteoJ!A108)</f>
        <v>42144</v>
      </c>
      <c r="B108">
        <f>MeteoJ!D108</f>
        <v>0</v>
      </c>
      <c r="C108">
        <f t="shared" si="6"/>
        <v>0</v>
      </c>
      <c r="D108">
        <f>MeteoJ!B108</f>
        <v>0</v>
      </c>
      <c r="E108">
        <f t="shared" si="7"/>
        <v>0</v>
      </c>
      <c r="F108">
        <f t="shared" si="8"/>
        <v>0</v>
      </c>
      <c r="H108">
        <f>(1-Initialisation!$C$19/100)*C108</f>
        <v>0</v>
      </c>
      <c r="I108">
        <f t="shared" si="9"/>
        <v>0</v>
      </c>
      <c r="J108">
        <f t="shared" si="10"/>
        <v>0</v>
      </c>
      <c r="K108">
        <f t="shared" si="11"/>
        <v>0</v>
      </c>
      <c r="M108">
        <f>IF(ETR!A108&lt;=Initialisation!$C$24,Initialisation!$D$23,IF(ETR!A108&lt;=Initialisation!$C$25,Initialisation!$D$24,IF(ETR!A108&lt;=Initialisation!$C$26,Initialisation!$D$25,IF(ETR!A108&lt;=Initialisation!$C$27,Initialisation!$D$26,IF(ETR!A109&lt;=Initialisation!$C$28,Initialisation!$D$27,IF(ETR!A109&lt;=Initialisation!$C$29,Initialisation!$D$28,0))))))</f>
        <v>0.5</v>
      </c>
    </row>
    <row r="109" spans="1:13" x14ac:dyDescent="0.35">
      <c r="A109" s="5">
        <f>IF(MeteoJ!A109=$BP$5,A108,MeteoJ!A109)</f>
        <v>42144</v>
      </c>
      <c r="B109">
        <f>MeteoJ!D109</f>
        <v>0</v>
      </c>
      <c r="C109">
        <f t="shared" si="6"/>
        <v>0</v>
      </c>
      <c r="D109">
        <f>MeteoJ!B109</f>
        <v>0</v>
      </c>
      <c r="E109">
        <f t="shared" si="7"/>
        <v>0</v>
      </c>
      <c r="F109">
        <f t="shared" si="8"/>
        <v>0</v>
      </c>
      <c r="H109">
        <f>(1-Initialisation!$C$19/100)*C109</f>
        <v>0</v>
      </c>
      <c r="I109">
        <f t="shared" si="9"/>
        <v>0</v>
      </c>
      <c r="J109">
        <f t="shared" si="10"/>
        <v>0</v>
      </c>
      <c r="K109">
        <f t="shared" si="11"/>
        <v>0</v>
      </c>
      <c r="M109">
        <f>IF(ETR!A109&lt;=Initialisation!$C$24,Initialisation!$D$23,IF(ETR!A109&lt;=Initialisation!$C$25,Initialisation!$D$24,IF(ETR!A109&lt;=Initialisation!$C$26,Initialisation!$D$25,IF(ETR!A109&lt;=Initialisation!$C$27,Initialisation!$D$26,IF(ETR!A110&lt;=Initialisation!$C$28,Initialisation!$D$27,IF(ETR!A110&lt;=Initialisation!$C$29,Initialisation!$D$28,0))))))</f>
        <v>0.5</v>
      </c>
    </row>
    <row r="110" spans="1:13" x14ac:dyDescent="0.35">
      <c r="A110" s="5">
        <f>IF(MeteoJ!A110=$BP$5,A109,MeteoJ!A110)</f>
        <v>42144</v>
      </c>
      <c r="B110">
        <f>MeteoJ!D110</f>
        <v>0</v>
      </c>
      <c r="C110">
        <f t="shared" si="6"/>
        <v>0</v>
      </c>
      <c r="D110">
        <f>MeteoJ!B110</f>
        <v>0</v>
      </c>
      <c r="E110">
        <f t="shared" si="7"/>
        <v>0</v>
      </c>
      <c r="F110">
        <f t="shared" si="8"/>
        <v>0</v>
      </c>
      <c r="H110">
        <f>(1-Initialisation!$C$19/100)*C110</f>
        <v>0</v>
      </c>
      <c r="I110">
        <f t="shared" si="9"/>
        <v>0</v>
      </c>
      <c r="J110">
        <f t="shared" si="10"/>
        <v>0</v>
      </c>
      <c r="K110">
        <f t="shared" si="11"/>
        <v>0</v>
      </c>
      <c r="M110">
        <f>IF(ETR!A110&lt;=Initialisation!$C$24,Initialisation!$D$23,IF(ETR!A110&lt;=Initialisation!$C$25,Initialisation!$D$24,IF(ETR!A110&lt;=Initialisation!$C$26,Initialisation!$D$25,IF(ETR!A110&lt;=Initialisation!$C$27,Initialisation!$D$26,IF(ETR!A111&lt;=Initialisation!$C$28,Initialisation!$D$27,IF(ETR!A111&lt;=Initialisation!$C$29,Initialisation!$D$28,0))))))</f>
        <v>0.5</v>
      </c>
    </row>
    <row r="111" spans="1:13" x14ac:dyDescent="0.35">
      <c r="A111" s="5">
        <f>IF(MeteoJ!A111=$BP$5,A110,MeteoJ!A111)</f>
        <v>42144</v>
      </c>
      <c r="B111">
        <f>MeteoJ!D111</f>
        <v>0</v>
      </c>
      <c r="C111">
        <f t="shared" si="6"/>
        <v>0</v>
      </c>
      <c r="D111">
        <f>MeteoJ!B111</f>
        <v>0</v>
      </c>
      <c r="E111">
        <f t="shared" si="7"/>
        <v>0</v>
      </c>
      <c r="F111">
        <f t="shared" si="8"/>
        <v>0</v>
      </c>
      <c r="H111">
        <f>(1-Initialisation!$C$19/100)*C111</f>
        <v>0</v>
      </c>
      <c r="I111">
        <f t="shared" si="9"/>
        <v>0</v>
      </c>
      <c r="J111">
        <f t="shared" si="10"/>
        <v>0</v>
      </c>
      <c r="K111">
        <f t="shared" si="11"/>
        <v>0</v>
      </c>
      <c r="M111">
        <f>IF(ETR!A111&lt;=Initialisation!$C$24,Initialisation!$D$23,IF(ETR!A111&lt;=Initialisation!$C$25,Initialisation!$D$24,IF(ETR!A111&lt;=Initialisation!$C$26,Initialisation!$D$25,IF(ETR!A111&lt;=Initialisation!$C$27,Initialisation!$D$26,IF(ETR!A112&lt;=Initialisation!$C$28,Initialisation!$D$27,IF(ETR!A112&lt;=Initialisation!$C$29,Initialisation!$D$28,0))))))</f>
        <v>0.5</v>
      </c>
    </row>
    <row r="112" spans="1:13" x14ac:dyDescent="0.35">
      <c r="A112" s="5">
        <f>IF(MeteoJ!A112=$BP$5,A111,MeteoJ!A112)</f>
        <v>42144</v>
      </c>
      <c r="B112">
        <f>MeteoJ!D112</f>
        <v>0</v>
      </c>
      <c r="C112">
        <f t="shared" si="6"/>
        <v>0</v>
      </c>
      <c r="D112">
        <f>MeteoJ!B112</f>
        <v>0</v>
      </c>
      <c r="E112">
        <f t="shared" si="7"/>
        <v>0</v>
      </c>
      <c r="F112">
        <f t="shared" si="8"/>
        <v>0</v>
      </c>
      <c r="H112">
        <f>(1-Initialisation!$C$19/100)*C112</f>
        <v>0</v>
      </c>
      <c r="I112">
        <f t="shared" si="9"/>
        <v>0</v>
      </c>
      <c r="J112">
        <f t="shared" si="10"/>
        <v>0</v>
      </c>
      <c r="K112">
        <f t="shared" si="11"/>
        <v>0</v>
      </c>
      <c r="M112">
        <f>IF(ETR!A112&lt;=Initialisation!$C$24,Initialisation!$D$23,IF(ETR!A112&lt;=Initialisation!$C$25,Initialisation!$D$24,IF(ETR!A112&lt;=Initialisation!$C$26,Initialisation!$D$25,IF(ETR!A112&lt;=Initialisation!$C$27,Initialisation!$D$26,IF(ETR!A113&lt;=Initialisation!$C$28,Initialisation!$D$27,IF(ETR!A113&lt;=Initialisation!$C$29,Initialisation!$D$28,0))))))</f>
        <v>0.5</v>
      </c>
    </row>
    <row r="113" spans="1:13" x14ac:dyDescent="0.35">
      <c r="A113" s="5">
        <f>IF(MeteoJ!A113=$BP$5,A112,MeteoJ!A113)</f>
        <v>42144</v>
      </c>
      <c r="B113">
        <f>MeteoJ!D113</f>
        <v>0</v>
      </c>
      <c r="C113">
        <f t="shared" si="6"/>
        <v>0</v>
      </c>
      <c r="D113">
        <f>MeteoJ!B113</f>
        <v>0</v>
      </c>
      <c r="E113">
        <f t="shared" si="7"/>
        <v>0</v>
      </c>
      <c r="F113">
        <f t="shared" si="8"/>
        <v>0</v>
      </c>
      <c r="H113">
        <f>(1-Initialisation!$C$19/100)*C113</f>
        <v>0</v>
      </c>
      <c r="I113">
        <f t="shared" si="9"/>
        <v>0</v>
      </c>
      <c r="J113">
        <f t="shared" si="10"/>
        <v>0</v>
      </c>
      <c r="K113">
        <f t="shared" si="11"/>
        <v>0</v>
      </c>
      <c r="M113">
        <f>IF(ETR!A113&lt;=Initialisation!$C$24,Initialisation!$D$23,IF(ETR!A113&lt;=Initialisation!$C$25,Initialisation!$D$24,IF(ETR!A113&lt;=Initialisation!$C$26,Initialisation!$D$25,IF(ETR!A113&lt;=Initialisation!$C$27,Initialisation!$D$26,IF(ETR!A114&lt;=Initialisation!$C$28,Initialisation!$D$27,IF(ETR!A114&lt;=Initialisation!$C$29,Initialisation!$D$28,0))))))</f>
        <v>0.5</v>
      </c>
    </row>
    <row r="114" spans="1:13" x14ac:dyDescent="0.35">
      <c r="A114" s="5">
        <f>IF(MeteoJ!A114=$BP$5,A113,MeteoJ!A114)</f>
        <v>42144</v>
      </c>
      <c r="B114">
        <f>MeteoJ!D114</f>
        <v>0</v>
      </c>
      <c r="C114">
        <f t="shared" si="6"/>
        <v>0</v>
      </c>
      <c r="D114">
        <f>MeteoJ!B114</f>
        <v>0</v>
      </c>
      <c r="E114">
        <f t="shared" si="7"/>
        <v>0</v>
      </c>
      <c r="F114">
        <f t="shared" si="8"/>
        <v>0</v>
      </c>
      <c r="H114">
        <f>(1-Initialisation!$C$19/100)*C114</f>
        <v>0</v>
      </c>
      <c r="I114">
        <f t="shared" si="9"/>
        <v>0</v>
      </c>
      <c r="J114">
        <f t="shared" si="10"/>
        <v>0</v>
      </c>
      <c r="K114">
        <f t="shared" si="11"/>
        <v>0</v>
      </c>
      <c r="M114">
        <f>IF(ETR!A114&lt;=Initialisation!$C$24,Initialisation!$D$23,IF(ETR!A114&lt;=Initialisation!$C$25,Initialisation!$D$24,IF(ETR!A114&lt;=Initialisation!$C$26,Initialisation!$D$25,IF(ETR!A114&lt;=Initialisation!$C$27,Initialisation!$D$26,IF(ETR!A115&lt;=Initialisation!$C$28,Initialisation!$D$27,IF(ETR!A115&lt;=Initialisation!$C$29,Initialisation!$D$28,0))))))</f>
        <v>0.5</v>
      </c>
    </row>
    <row r="115" spans="1:13" x14ac:dyDescent="0.35">
      <c r="A115" s="5">
        <f>IF(MeteoJ!A115=$BP$5,A114,MeteoJ!A115)</f>
        <v>42144</v>
      </c>
      <c r="B115">
        <f>MeteoJ!D115</f>
        <v>0</v>
      </c>
      <c r="C115">
        <f t="shared" si="6"/>
        <v>0</v>
      </c>
      <c r="D115">
        <f>MeteoJ!B115</f>
        <v>0</v>
      </c>
      <c r="E115">
        <f t="shared" si="7"/>
        <v>0</v>
      </c>
      <c r="F115">
        <f t="shared" si="8"/>
        <v>0</v>
      </c>
      <c r="H115">
        <f>(1-Initialisation!$C$19/100)*C115</f>
        <v>0</v>
      </c>
      <c r="I115">
        <f t="shared" si="9"/>
        <v>0</v>
      </c>
      <c r="J115">
        <f t="shared" si="10"/>
        <v>0</v>
      </c>
      <c r="K115">
        <f t="shared" si="11"/>
        <v>0</v>
      </c>
      <c r="M115">
        <f>IF(ETR!A115&lt;=Initialisation!$C$24,Initialisation!$D$23,IF(ETR!A115&lt;=Initialisation!$C$25,Initialisation!$D$24,IF(ETR!A115&lt;=Initialisation!$C$26,Initialisation!$D$25,IF(ETR!A115&lt;=Initialisation!$C$27,Initialisation!$D$26,IF(ETR!A116&lt;=Initialisation!$C$28,Initialisation!$D$27,IF(ETR!A116&lt;=Initialisation!$C$29,Initialisation!$D$28,0))))))</f>
        <v>0.5</v>
      </c>
    </row>
    <row r="116" spans="1:13" x14ac:dyDescent="0.35">
      <c r="A116" s="5">
        <f>IF(MeteoJ!A116=$BP$5,A115,MeteoJ!A116)</f>
        <v>42144</v>
      </c>
      <c r="B116">
        <f>MeteoJ!D116</f>
        <v>0</v>
      </c>
      <c r="C116">
        <f t="shared" si="6"/>
        <v>0</v>
      </c>
      <c r="D116">
        <f>MeteoJ!B116</f>
        <v>0</v>
      </c>
      <c r="E116">
        <f t="shared" si="7"/>
        <v>0</v>
      </c>
      <c r="F116">
        <f t="shared" si="8"/>
        <v>0</v>
      </c>
      <c r="H116">
        <f>(1-Initialisation!$C$19/100)*C116</f>
        <v>0</v>
      </c>
      <c r="I116">
        <f t="shared" si="9"/>
        <v>0</v>
      </c>
      <c r="J116">
        <f t="shared" si="10"/>
        <v>0</v>
      </c>
      <c r="K116">
        <f t="shared" si="11"/>
        <v>0</v>
      </c>
      <c r="M116">
        <f>IF(ETR!A116&lt;=Initialisation!$C$24,Initialisation!$D$23,IF(ETR!A116&lt;=Initialisation!$C$25,Initialisation!$D$24,IF(ETR!A116&lt;=Initialisation!$C$26,Initialisation!$D$25,IF(ETR!A116&lt;=Initialisation!$C$27,Initialisation!$D$26,IF(ETR!A117&lt;=Initialisation!$C$28,Initialisation!$D$27,IF(ETR!A117&lt;=Initialisation!$C$29,Initialisation!$D$28,0))))))</f>
        <v>0.5</v>
      </c>
    </row>
    <row r="117" spans="1:13" x14ac:dyDescent="0.35">
      <c r="A117" s="5">
        <f>IF(MeteoJ!A117=$BP$5,A116,MeteoJ!A117)</f>
        <v>42144</v>
      </c>
      <c r="B117">
        <f>MeteoJ!D117</f>
        <v>0</v>
      </c>
      <c r="C117">
        <f t="shared" si="6"/>
        <v>0</v>
      </c>
      <c r="D117">
        <f>MeteoJ!B117</f>
        <v>0</v>
      </c>
      <c r="E117">
        <f t="shared" si="7"/>
        <v>0</v>
      </c>
      <c r="F117">
        <f t="shared" si="8"/>
        <v>0</v>
      </c>
      <c r="H117">
        <f>(1-Initialisation!$C$19/100)*C117</f>
        <v>0</v>
      </c>
      <c r="I117">
        <f t="shared" si="9"/>
        <v>0</v>
      </c>
      <c r="J117">
        <f t="shared" si="10"/>
        <v>0</v>
      </c>
      <c r="K117">
        <f t="shared" si="11"/>
        <v>0</v>
      </c>
      <c r="M117">
        <f>IF(ETR!A117&lt;=Initialisation!$C$24,Initialisation!$D$23,IF(ETR!A117&lt;=Initialisation!$C$25,Initialisation!$D$24,IF(ETR!A117&lt;=Initialisation!$C$26,Initialisation!$D$25,IF(ETR!A117&lt;=Initialisation!$C$27,Initialisation!$D$26,IF(ETR!A118&lt;=Initialisation!$C$28,Initialisation!$D$27,IF(ETR!A118&lt;=Initialisation!$C$29,Initialisation!$D$28,0))))))</f>
        <v>0.5</v>
      </c>
    </row>
    <row r="118" spans="1:13" x14ac:dyDescent="0.35">
      <c r="A118" s="5">
        <f>IF(MeteoJ!A118=$BP$5,A117,MeteoJ!A118)</f>
        <v>42144</v>
      </c>
      <c r="B118">
        <f>MeteoJ!D118</f>
        <v>0</v>
      </c>
      <c r="C118">
        <f t="shared" si="6"/>
        <v>0</v>
      </c>
      <c r="D118">
        <f>MeteoJ!B118</f>
        <v>0</v>
      </c>
      <c r="E118">
        <f t="shared" si="7"/>
        <v>0</v>
      </c>
      <c r="F118">
        <f t="shared" si="8"/>
        <v>0</v>
      </c>
      <c r="H118">
        <f>(1-Initialisation!$C$19/100)*C118</f>
        <v>0</v>
      </c>
      <c r="I118">
        <f t="shared" si="9"/>
        <v>0</v>
      </c>
      <c r="J118">
        <f t="shared" si="10"/>
        <v>0</v>
      </c>
      <c r="K118">
        <f t="shared" si="11"/>
        <v>0</v>
      </c>
      <c r="M118">
        <f>IF(ETR!A118&lt;=Initialisation!$C$24,Initialisation!$D$23,IF(ETR!A118&lt;=Initialisation!$C$25,Initialisation!$D$24,IF(ETR!A118&lt;=Initialisation!$C$26,Initialisation!$D$25,IF(ETR!A118&lt;=Initialisation!$C$27,Initialisation!$D$26,IF(ETR!A119&lt;=Initialisation!$C$28,Initialisation!$D$27,IF(ETR!A119&lt;=Initialisation!$C$29,Initialisation!$D$28,0))))))</f>
        <v>0.5</v>
      </c>
    </row>
    <row r="119" spans="1:13" x14ac:dyDescent="0.35">
      <c r="A119" s="5">
        <f>IF(MeteoJ!A119=$BP$5,A118,MeteoJ!A119)</f>
        <v>42144</v>
      </c>
      <c r="B119">
        <f>MeteoJ!D119</f>
        <v>0</v>
      </c>
      <c r="C119">
        <f t="shared" si="6"/>
        <v>0</v>
      </c>
      <c r="D119">
        <f>MeteoJ!B119</f>
        <v>0</v>
      </c>
      <c r="E119">
        <f t="shared" si="7"/>
        <v>0</v>
      </c>
      <c r="F119">
        <f t="shared" si="8"/>
        <v>0</v>
      </c>
      <c r="H119">
        <f>(1-Initialisation!$C$19/100)*C119</f>
        <v>0</v>
      </c>
      <c r="I119">
        <f t="shared" si="9"/>
        <v>0</v>
      </c>
      <c r="J119">
        <f t="shared" si="10"/>
        <v>0</v>
      </c>
      <c r="K119">
        <f t="shared" si="11"/>
        <v>0</v>
      </c>
      <c r="M119">
        <f>IF(ETR!A119&lt;=Initialisation!$C$24,Initialisation!$D$23,IF(ETR!A119&lt;=Initialisation!$C$25,Initialisation!$D$24,IF(ETR!A119&lt;=Initialisation!$C$26,Initialisation!$D$25,IF(ETR!A119&lt;=Initialisation!$C$27,Initialisation!$D$26,IF(ETR!A120&lt;=Initialisation!$C$28,Initialisation!$D$27,IF(ETR!A120&lt;=Initialisation!$C$29,Initialisation!$D$28,0))))))</f>
        <v>0.5</v>
      </c>
    </row>
    <row r="120" spans="1:13" x14ac:dyDescent="0.35">
      <c r="A120" s="5">
        <f>IF(MeteoJ!A120=$BP$5,A119,MeteoJ!A120)</f>
        <v>42144</v>
      </c>
      <c r="B120">
        <f>MeteoJ!D120</f>
        <v>0</v>
      </c>
      <c r="C120">
        <f t="shared" si="6"/>
        <v>0</v>
      </c>
      <c r="D120">
        <f>MeteoJ!B120</f>
        <v>0</v>
      </c>
      <c r="E120">
        <f t="shared" si="7"/>
        <v>0</v>
      </c>
      <c r="F120">
        <f t="shared" si="8"/>
        <v>0</v>
      </c>
      <c r="H120">
        <f>(1-Initialisation!$C$19/100)*C120</f>
        <v>0</v>
      </c>
      <c r="I120">
        <f t="shared" si="9"/>
        <v>0</v>
      </c>
      <c r="J120">
        <f t="shared" si="10"/>
        <v>0</v>
      </c>
      <c r="K120">
        <f t="shared" si="11"/>
        <v>0</v>
      </c>
      <c r="M120">
        <f>IF(ETR!A120&lt;=Initialisation!$C$24,Initialisation!$D$23,IF(ETR!A120&lt;=Initialisation!$C$25,Initialisation!$D$24,IF(ETR!A120&lt;=Initialisation!$C$26,Initialisation!$D$25,IF(ETR!A120&lt;=Initialisation!$C$27,Initialisation!$D$26,IF(ETR!A121&lt;=Initialisation!$C$28,Initialisation!$D$27,IF(ETR!A121&lt;=Initialisation!$C$29,Initialisation!$D$28,0))))))</f>
        <v>0.5</v>
      </c>
    </row>
    <row r="121" spans="1:13" x14ac:dyDescent="0.35">
      <c r="A121" s="5">
        <f>IF(MeteoJ!A121=$BP$5,A120,MeteoJ!A121)</f>
        <v>42144</v>
      </c>
      <c r="B121">
        <f>MeteoJ!D121</f>
        <v>0</v>
      </c>
      <c r="C121">
        <f t="shared" si="6"/>
        <v>0</v>
      </c>
      <c r="D121">
        <f>MeteoJ!B121</f>
        <v>0</v>
      </c>
      <c r="E121">
        <f t="shared" si="7"/>
        <v>0</v>
      </c>
      <c r="F121">
        <f t="shared" si="8"/>
        <v>0</v>
      </c>
      <c r="H121">
        <f>(1-Initialisation!$C$19/100)*C121</f>
        <v>0</v>
      </c>
      <c r="I121">
        <f t="shared" si="9"/>
        <v>0</v>
      </c>
      <c r="J121">
        <f t="shared" si="10"/>
        <v>0</v>
      </c>
      <c r="K121">
        <f t="shared" si="11"/>
        <v>0</v>
      </c>
      <c r="M121">
        <f>IF(ETR!A121&lt;=Initialisation!$C$24,Initialisation!$D$23,IF(ETR!A121&lt;=Initialisation!$C$25,Initialisation!$D$24,IF(ETR!A121&lt;=Initialisation!$C$26,Initialisation!$D$25,IF(ETR!A121&lt;=Initialisation!$C$27,Initialisation!$D$26,IF(ETR!A122&lt;=Initialisation!$C$28,Initialisation!$D$27,IF(ETR!A122&lt;=Initialisation!$C$29,Initialisation!$D$28,0))))))</f>
        <v>0.5</v>
      </c>
    </row>
    <row r="122" spans="1:13" x14ac:dyDescent="0.35">
      <c r="A122" s="5">
        <f>IF(MeteoJ!A122=$BP$5,A121,MeteoJ!A122)</f>
        <v>42144</v>
      </c>
      <c r="B122">
        <f>MeteoJ!D122</f>
        <v>0</v>
      </c>
      <c r="C122">
        <f t="shared" si="6"/>
        <v>0</v>
      </c>
      <c r="D122">
        <f>MeteoJ!B122</f>
        <v>0</v>
      </c>
      <c r="E122">
        <f t="shared" si="7"/>
        <v>0</v>
      </c>
      <c r="F122">
        <f t="shared" si="8"/>
        <v>0</v>
      </c>
      <c r="H122">
        <f>(1-Initialisation!$C$19/100)*C122</f>
        <v>0</v>
      </c>
      <c r="I122">
        <f t="shared" si="9"/>
        <v>0</v>
      </c>
      <c r="J122">
        <f t="shared" si="10"/>
        <v>0</v>
      </c>
      <c r="K122">
        <f t="shared" si="11"/>
        <v>0</v>
      </c>
      <c r="M122">
        <f>IF(ETR!A122&lt;=Initialisation!$C$24,Initialisation!$D$23,IF(ETR!A122&lt;=Initialisation!$C$25,Initialisation!$D$24,IF(ETR!A122&lt;=Initialisation!$C$26,Initialisation!$D$25,IF(ETR!A122&lt;=Initialisation!$C$27,Initialisation!$D$26,IF(ETR!A123&lt;=Initialisation!$C$28,Initialisation!$D$27,IF(ETR!A123&lt;=Initialisation!$C$29,Initialisation!$D$28,0))))))</f>
        <v>0.5</v>
      </c>
    </row>
    <row r="123" spans="1:13" x14ac:dyDescent="0.35">
      <c r="A123" s="5">
        <f>IF(MeteoJ!A123=$BP$5,A122,MeteoJ!A123)</f>
        <v>42144</v>
      </c>
      <c r="B123">
        <f>MeteoJ!D123</f>
        <v>0</v>
      </c>
      <c r="C123">
        <f t="shared" si="6"/>
        <v>0</v>
      </c>
      <c r="D123">
        <f>MeteoJ!B123</f>
        <v>0</v>
      </c>
      <c r="E123">
        <f t="shared" si="7"/>
        <v>0</v>
      </c>
      <c r="F123">
        <f t="shared" si="8"/>
        <v>0</v>
      </c>
      <c r="H123">
        <f>(1-Initialisation!$C$19/100)*C123</f>
        <v>0</v>
      </c>
      <c r="I123">
        <f t="shared" si="9"/>
        <v>0</v>
      </c>
      <c r="J123">
        <f t="shared" si="10"/>
        <v>0</v>
      </c>
      <c r="K123">
        <f t="shared" si="11"/>
        <v>0</v>
      </c>
      <c r="M123">
        <f>IF(ETR!A123&lt;=Initialisation!$C$24,Initialisation!$D$23,IF(ETR!A123&lt;=Initialisation!$C$25,Initialisation!$D$24,IF(ETR!A123&lt;=Initialisation!$C$26,Initialisation!$D$25,IF(ETR!A123&lt;=Initialisation!$C$27,Initialisation!$D$26,IF(ETR!A124&lt;=Initialisation!$C$28,Initialisation!$D$27,IF(ETR!A124&lt;=Initialisation!$C$29,Initialisation!$D$28,0))))))</f>
        <v>0.5</v>
      </c>
    </row>
    <row r="124" spans="1:13" x14ac:dyDescent="0.35">
      <c r="A124" s="5">
        <f>IF(MeteoJ!A124=$BP$5,A123,MeteoJ!A124)</f>
        <v>42144</v>
      </c>
      <c r="B124">
        <f>MeteoJ!D124</f>
        <v>0</v>
      </c>
      <c r="C124">
        <f t="shared" si="6"/>
        <v>0</v>
      </c>
      <c r="D124">
        <f>MeteoJ!B124</f>
        <v>0</v>
      </c>
      <c r="E124">
        <f t="shared" si="7"/>
        <v>0</v>
      </c>
      <c r="F124">
        <f t="shared" si="8"/>
        <v>0</v>
      </c>
      <c r="H124">
        <f>(1-Initialisation!$C$19/100)*C124</f>
        <v>0</v>
      </c>
      <c r="I124">
        <f t="shared" si="9"/>
        <v>0</v>
      </c>
      <c r="J124">
        <f t="shared" si="10"/>
        <v>0</v>
      </c>
      <c r="K124">
        <f t="shared" si="11"/>
        <v>0</v>
      </c>
      <c r="M124">
        <f>IF(ETR!A124&lt;=Initialisation!$C$24,Initialisation!$D$23,IF(ETR!A124&lt;=Initialisation!$C$25,Initialisation!$D$24,IF(ETR!A124&lt;=Initialisation!$C$26,Initialisation!$D$25,IF(ETR!A124&lt;=Initialisation!$C$27,Initialisation!$D$26,IF(ETR!A125&lt;=Initialisation!$C$28,Initialisation!$D$27,IF(ETR!A125&lt;=Initialisation!$C$29,Initialisation!$D$28,0))))))</f>
        <v>0.5</v>
      </c>
    </row>
    <row r="125" spans="1:13" x14ac:dyDescent="0.35">
      <c r="A125" s="5">
        <f>IF(MeteoJ!A125=$BP$5,A124,MeteoJ!A125)</f>
        <v>42144</v>
      </c>
      <c r="B125">
        <f>MeteoJ!D125</f>
        <v>0</v>
      </c>
      <c r="C125">
        <f t="shared" si="6"/>
        <v>0</v>
      </c>
      <c r="D125">
        <f>MeteoJ!B125</f>
        <v>0</v>
      </c>
      <c r="E125">
        <f t="shared" si="7"/>
        <v>0</v>
      </c>
      <c r="F125">
        <f t="shared" si="8"/>
        <v>0</v>
      </c>
      <c r="H125">
        <f>(1-Initialisation!$C$19/100)*C125</f>
        <v>0</v>
      </c>
      <c r="I125">
        <f t="shared" si="9"/>
        <v>0</v>
      </c>
      <c r="J125">
        <f t="shared" si="10"/>
        <v>0</v>
      </c>
      <c r="K125">
        <f t="shared" si="11"/>
        <v>0</v>
      </c>
      <c r="M125">
        <f>IF(ETR!A125&lt;=Initialisation!$C$24,Initialisation!$D$23,IF(ETR!A125&lt;=Initialisation!$C$25,Initialisation!$D$24,IF(ETR!A125&lt;=Initialisation!$C$26,Initialisation!$D$25,IF(ETR!A125&lt;=Initialisation!$C$27,Initialisation!$D$26,IF(ETR!A126&lt;=Initialisation!$C$28,Initialisation!$D$27,IF(ETR!A126&lt;=Initialisation!$C$29,Initialisation!$D$28,0))))))</f>
        <v>0.5</v>
      </c>
    </row>
    <row r="126" spans="1:13" x14ac:dyDescent="0.35">
      <c r="A126" s="5">
        <f>IF(MeteoJ!A126=$BP$5,A125,MeteoJ!A126)</f>
        <v>42144</v>
      </c>
      <c r="B126">
        <f>MeteoJ!D126</f>
        <v>0</v>
      </c>
      <c r="C126">
        <f t="shared" si="6"/>
        <v>0</v>
      </c>
      <c r="D126">
        <f>MeteoJ!B126</f>
        <v>0</v>
      </c>
      <c r="E126">
        <f t="shared" si="7"/>
        <v>0</v>
      </c>
      <c r="F126">
        <f t="shared" si="8"/>
        <v>0</v>
      </c>
      <c r="H126">
        <f>(1-Initialisation!$C$19/100)*C126</f>
        <v>0</v>
      </c>
      <c r="I126">
        <f t="shared" si="9"/>
        <v>0</v>
      </c>
      <c r="J126">
        <f t="shared" si="10"/>
        <v>0</v>
      </c>
      <c r="K126">
        <f t="shared" si="11"/>
        <v>0</v>
      </c>
      <c r="M126">
        <f>IF(ETR!A126&lt;=Initialisation!$C$24,Initialisation!$D$23,IF(ETR!A126&lt;=Initialisation!$C$25,Initialisation!$D$24,IF(ETR!A126&lt;=Initialisation!$C$26,Initialisation!$D$25,IF(ETR!A126&lt;=Initialisation!$C$27,Initialisation!$D$26,IF(ETR!A127&lt;=Initialisation!$C$28,Initialisation!$D$27,IF(ETR!A127&lt;=Initialisation!$C$29,Initialisation!$D$28,0))))))</f>
        <v>0.5</v>
      </c>
    </row>
    <row r="127" spans="1:13" x14ac:dyDescent="0.35">
      <c r="A127" s="5">
        <f>IF(MeteoJ!A127=$BP$5,A126,MeteoJ!A127)</f>
        <v>42144</v>
      </c>
      <c r="B127">
        <f>MeteoJ!D127</f>
        <v>0</v>
      </c>
      <c r="C127">
        <f t="shared" si="6"/>
        <v>0</v>
      </c>
      <c r="D127">
        <f>MeteoJ!B127</f>
        <v>0</v>
      </c>
      <c r="E127">
        <f t="shared" si="7"/>
        <v>0</v>
      </c>
      <c r="F127">
        <f t="shared" si="8"/>
        <v>0</v>
      </c>
      <c r="H127">
        <f>(1-Initialisation!$C$19/100)*C127</f>
        <v>0</v>
      </c>
      <c r="I127">
        <f t="shared" si="9"/>
        <v>0</v>
      </c>
      <c r="J127">
        <f t="shared" si="10"/>
        <v>0</v>
      </c>
      <c r="K127">
        <f t="shared" si="11"/>
        <v>0</v>
      </c>
      <c r="M127">
        <f>IF(ETR!A127&lt;=Initialisation!$C$24,Initialisation!$D$23,IF(ETR!A127&lt;=Initialisation!$C$25,Initialisation!$D$24,IF(ETR!A127&lt;=Initialisation!$C$26,Initialisation!$D$25,IF(ETR!A127&lt;=Initialisation!$C$27,Initialisation!$D$26,IF(ETR!A128&lt;=Initialisation!$C$28,Initialisation!$D$27,IF(ETR!A128&lt;=Initialisation!$C$29,Initialisation!$D$28,0))))))</f>
        <v>0.5</v>
      </c>
    </row>
    <row r="128" spans="1:13" x14ac:dyDescent="0.35">
      <c r="A128" s="5">
        <f>IF(MeteoJ!A128=$BP$5,A127,MeteoJ!A128)</f>
        <v>42144</v>
      </c>
      <c r="B128">
        <f>MeteoJ!D128</f>
        <v>0</v>
      </c>
      <c r="C128">
        <f t="shared" si="6"/>
        <v>0</v>
      </c>
      <c r="D128">
        <f>MeteoJ!B128</f>
        <v>0</v>
      </c>
      <c r="E128">
        <f t="shared" si="7"/>
        <v>0</v>
      </c>
      <c r="F128">
        <f t="shared" si="8"/>
        <v>0</v>
      </c>
      <c r="H128">
        <f>(1-Initialisation!$C$19/100)*C128</f>
        <v>0</v>
      </c>
      <c r="I128">
        <f t="shared" si="9"/>
        <v>0</v>
      </c>
      <c r="J128">
        <f t="shared" si="10"/>
        <v>0</v>
      </c>
      <c r="K128">
        <f t="shared" si="11"/>
        <v>0</v>
      </c>
      <c r="M128">
        <f>IF(ETR!A128&lt;=Initialisation!$C$24,Initialisation!$D$23,IF(ETR!A128&lt;=Initialisation!$C$25,Initialisation!$D$24,IF(ETR!A128&lt;=Initialisation!$C$26,Initialisation!$D$25,IF(ETR!A128&lt;=Initialisation!$C$27,Initialisation!$D$26,IF(ETR!A129&lt;=Initialisation!$C$28,Initialisation!$D$27,IF(ETR!A129&lt;=Initialisation!$C$29,Initialisation!$D$28,0))))))</f>
        <v>0.5</v>
      </c>
    </row>
    <row r="129" spans="1:13" x14ac:dyDescent="0.35">
      <c r="A129" s="5">
        <f>IF(MeteoJ!A129=$BP$5,A128,MeteoJ!A129)</f>
        <v>42144</v>
      </c>
      <c r="B129">
        <f>MeteoJ!D129</f>
        <v>0</v>
      </c>
      <c r="C129">
        <f t="shared" si="6"/>
        <v>0</v>
      </c>
      <c r="D129">
        <f>MeteoJ!B129</f>
        <v>0</v>
      </c>
      <c r="E129">
        <f t="shared" si="7"/>
        <v>0</v>
      </c>
      <c r="F129">
        <f t="shared" si="8"/>
        <v>0</v>
      </c>
      <c r="H129">
        <f>(1-Initialisation!$C$19/100)*C129</f>
        <v>0</v>
      </c>
      <c r="I129">
        <f t="shared" si="9"/>
        <v>0</v>
      </c>
      <c r="J129">
        <f t="shared" si="10"/>
        <v>0</v>
      </c>
      <c r="K129">
        <f t="shared" si="11"/>
        <v>0</v>
      </c>
      <c r="M129">
        <f>IF(ETR!A129&lt;=Initialisation!$C$24,Initialisation!$D$23,IF(ETR!A129&lt;=Initialisation!$C$25,Initialisation!$D$24,IF(ETR!A129&lt;=Initialisation!$C$26,Initialisation!$D$25,IF(ETR!A129&lt;=Initialisation!$C$27,Initialisation!$D$26,IF(ETR!A130&lt;=Initialisation!$C$28,Initialisation!$D$27,IF(ETR!A130&lt;=Initialisation!$C$29,Initialisation!$D$28,0))))))</f>
        <v>0.5</v>
      </c>
    </row>
    <row r="130" spans="1:13" x14ac:dyDescent="0.35">
      <c r="A130" s="5">
        <f>IF(MeteoJ!A130=$BP$5,A129,MeteoJ!A130)</f>
        <v>42144</v>
      </c>
      <c r="B130">
        <f>MeteoJ!D130</f>
        <v>0</v>
      </c>
      <c r="C130">
        <f t="shared" si="6"/>
        <v>0</v>
      </c>
      <c r="D130">
        <f>MeteoJ!B130</f>
        <v>0</v>
      </c>
      <c r="E130">
        <f t="shared" si="7"/>
        <v>0</v>
      </c>
      <c r="F130">
        <f t="shared" si="8"/>
        <v>0</v>
      </c>
      <c r="H130">
        <f>(1-Initialisation!$C$19/100)*C130</f>
        <v>0</v>
      </c>
      <c r="I130">
        <f t="shared" si="9"/>
        <v>0</v>
      </c>
      <c r="J130">
        <f t="shared" si="10"/>
        <v>0</v>
      </c>
      <c r="K130">
        <f t="shared" si="11"/>
        <v>0</v>
      </c>
      <c r="M130">
        <f>IF(ETR!A130&lt;=Initialisation!$C$24,Initialisation!$D$23,IF(ETR!A130&lt;=Initialisation!$C$25,Initialisation!$D$24,IF(ETR!A130&lt;=Initialisation!$C$26,Initialisation!$D$25,IF(ETR!A130&lt;=Initialisation!$C$27,Initialisation!$D$26,IF(ETR!A131&lt;=Initialisation!$C$28,Initialisation!$D$27,IF(ETR!A131&lt;=Initialisation!$C$29,Initialisation!$D$28,0))))))</f>
        <v>0.5</v>
      </c>
    </row>
    <row r="131" spans="1:13" x14ac:dyDescent="0.35">
      <c r="A131" s="5">
        <f>IF(MeteoJ!A131=$BP$5,A130,MeteoJ!A131)</f>
        <v>42144</v>
      </c>
      <c r="B131">
        <f>MeteoJ!D131</f>
        <v>0</v>
      </c>
      <c r="C131">
        <f t="shared" ref="C131:C194" si="12">B131*0.000023885*3600</f>
        <v>0</v>
      </c>
      <c r="D131">
        <f>MeteoJ!B131</f>
        <v>0</v>
      </c>
      <c r="E131">
        <f t="shared" ref="E131:E194" si="13">0.013*1*(C131+50)*D131/(D131+15)</f>
        <v>0</v>
      </c>
      <c r="F131">
        <f t="shared" ref="F131:F194" si="14">E131*M131</f>
        <v>0</v>
      </c>
      <c r="H131">
        <f>(1-Initialisation!$C$19/100)*C131</f>
        <v>0</v>
      </c>
      <c r="I131">
        <f t="shared" ref="I131:I194" si="15">D131</f>
        <v>0</v>
      </c>
      <c r="J131">
        <f t="shared" ref="J131:J194" si="16">0.013*1*(H131+50)*I131/(I131+15)</f>
        <v>0</v>
      </c>
      <c r="K131">
        <f t="shared" ref="K131:K194" si="17">J131*M131</f>
        <v>0</v>
      </c>
      <c r="M131">
        <f>IF(ETR!A131&lt;=Initialisation!$C$24,Initialisation!$D$23,IF(ETR!A131&lt;=Initialisation!$C$25,Initialisation!$D$24,IF(ETR!A131&lt;=Initialisation!$C$26,Initialisation!$D$25,IF(ETR!A131&lt;=Initialisation!$C$27,Initialisation!$D$26,IF(ETR!A132&lt;=Initialisation!$C$28,Initialisation!$D$27,IF(ETR!A132&lt;=Initialisation!$C$29,Initialisation!$D$28,0))))))</f>
        <v>0.5</v>
      </c>
    </row>
    <row r="132" spans="1:13" x14ac:dyDescent="0.35">
      <c r="A132" s="5">
        <f>IF(MeteoJ!A132=$BP$5,A131,MeteoJ!A132)</f>
        <v>42144</v>
      </c>
      <c r="B132">
        <f>MeteoJ!D132</f>
        <v>0</v>
      </c>
      <c r="C132">
        <f t="shared" si="12"/>
        <v>0</v>
      </c>
      <c r="D132">
        <f>MeteoJ!B132</f>
        <v>0</v>
      </c>
      <c r="E132">
        <f t="shared" si="13"/>
        <v>0</v>
      </c>
      <c r="F132">
        <f t="shared" si="14"/>
        <v>0</v>
      </c>
      <c r="H132">
        <f>(1-Initialisation!$C$19/100)*C132</f>
        <v>0</v>
      </c>
      <c r="I132">
        <f t="shared" si="15"/>
        <v>0</v>
      </c>
      <c r="J132">
        <f t="shared" si="16"/>
        <v>0</v>
      </c>
      <c r="K132">
        <f t="shared" si="17"/>
        <v>0</v>
      </c>
      <c r="M132">
        <f>IF(ETR!A132&lt;=Initialisation!$C$24,Initialisation!$D$23,IF(ETR!A132&lt;=Initialisation!$C$25,Initialisation!$D$24,IF(ETR!A132&lt;=Initialisation!$C$26,Initialisation!$D$25,IF(ETR!A132&lt;=Initialisation!$C$27,Initialisation!$D$26,IF(ETR!A133&lt;=Initialisation!$C$28,Initialisation!$D$27,IF(ETR!A133&lt;=Initialisation!$C$29,Initialisation!$D$28,0))))))</f>
        <v>0.5</v>
      </c>
    </row>
    <row r="133" spans="1:13" x14ac:dyDescent="0.35">
      <c r="A133" s="5">
        <f>IF(MeteoJ!A133=$BP$5,A132,MeteoJ!A133)</f>
        <v>42144</v>
      </c>
      <c r="B133">
        <f>MeteoJ!D133</f>
        <v>0</v>
      </c>
      <c r="C133">
        <f t="shared" si="12"/>
        <v>0</v>
      </c>
      <c r="D133">
        <f>MeteoJ!B133</f>
        <v>0</v>
      </c>
      <c r="E133">
        <f t="shared" si="13"/>
        <v>0</v>
      </c>
      <c r="F133">
        <f t="shared" si="14"/>
        <v>0</v>
      </c>
      <c r="H133">
        <f>(1-Initialisation!$C$19/100)*C133</f>
        <v>0</v>
      </c>
      <c r="I133">
        <f t="shared" si="15"/>
        <v>0</v>
      </c>
      <c r="J133">
        <f t="shared" si="16"/>
        <v>0</v>
      </c>
      <c r="K133">
        <f t="shared" si="17"/>
        <v>0</v>
      </c>
      <c r="M133">
        <f>IF(ETR!A133&lt;=Initialisation!$C$24,Initialisation!$D$23,IF(ETR!A133&lt;=Initialisation!$C$25,Initialisation!$D$24,IF(ETR!A133&lt;=Initialisation!$C$26,Initialisation!$D$25,IF(ETR!A133&lt;=Initialisation!$C$27,Initialisation!$D$26,IF(ETR!A134&lt;=Initialisation!$C$28,Initialisation!$D$27,IF(ETR!A134&lt;=Initialisation!$C$29,Initialisation!$D$28,0))))))</f>
        <v>0.5</v>
      </c>
    </row>
    <row r="134" spans="1:13" x14ac:dyDescent="0.35">
      <c r="A134" s="5">
        <f>IF(MeteoJ!A134=$BP$5,A133,MeteoJ!A134)</f>
        <v>42144</v>
      </c>
      <c r="B134">
        <f>MeteoJ!D134</f>
        <v>0</v>
      </c>
      <c r="C134">
        <f t="shared" si="12"/>
        <v>0</v>
      </c>
      <c r="D134">
        <f>MeteoJ!B134</f>
        <v>0</v>
      </c>
      <c r="E134">
        <f t="shared" si="13"/>
        <v>0</v>
      </c>
      <c r="F134">
        <f t="shared" si="14"/>
        <v>0</v>
      </c>
      <c r="H134">
        <f>(1-Initialisation!$C$19/100)*C134</f>
        <v>0</v>
      </c>
      <c r="I134">
        <f t="shared" si="15"/>
        <v>0</v>
      </c>
      <c r="J134">
        <f t="shared" si="16"/>
        <v>0</v>
      </c>
      <c r="K134">
        <f t="shared" si="17"/>
        <v>0</v>
      </c>
      <c r="M134">
        <f>IF(ETR!A134&lt;=Initialisation!$C$24,Initialisation!$D$23,IF(ETR!A134&lt;=Initialisation!$C$25,Initialisation!$D$24,IF(ETR!A134&lt;=Initialisation!$C$26,Initialisation!$D$25,IF(ETR!A134&lt;=Initialisation!$C$27,Initialisation!$D$26,IF(ETR!A135&lt;=Initialisation!$C$28,Initialisation!$D$27,IF(ETR!A135&lt;=Initialisation!$C$29,Initialisation!$D$28,0))))))</f>
        <v>0.5</v>
      </c>
    </row>
    <row r="135" spans="1:13" x14ac:dyDescent="0.35">
      <c r="A135" s="5">
        <f>IF(MeteoJ!A135=$BP$5,A134,MeteoJ!A135)</f>
        <v>42144</v>
      </c>
      <c r="B135">
        <f>MeteoJ!D135</f>
        <v>0</v>
      </c>
      <c r="C135">
        <f t="shared" si="12"/>
        <v>0</v>
      </c>
      <c r="D135">
        <f>MeteoJ!B135</f>
        <v>0</v>
      </c>
      <c r="E135">
        <f t="shared" si="13"/>
        <v>0</v>
      </c>
      <c r="F135">
        <f t="shared" si="14"/>
        <v>0</v>
      </c>
      <c r="H135">
        <f>(1-Initialisation!$C$19/100)*C135</f>
        <v>0</v>
      </c>
      <c r="I135">
        <f t="shared" si="15"/>
        <v>0</v>
      </c>
      <c r="J135">
        <f t="shared" si="16"/>
        <v>0</v>
      </c>
      <c r="K135">
        <f t="shared" si="17"/>
        <v>0</v>
      </c>
      <c r="M135">
        <f>IF(ETR!A135&lt;=Initialisation!$C$24,Initialisation!$D$23,IF(ETR!A135&lt;=Initialisation!$C$25,Initialisation!$D$24,IF(ETR!A135&lt;=Initialisation!$C$26,Initialisation!$D$25,IF(ETR!A135&lt;=Initialisation!$C$27,Initialisation!$D$26,IF(ETR!A136&lt;=Initialisation!$C$28,Initialisation!$D$27,IF(ETR!A136&lt;=Initialisation!$C$29,Initialisation!$D$28,0))))))</f>
        <v>0.5</v>
      </c>
    </row>
    <row r="136" spans="1:13" x14ac:dyDescent="0.35">
      <c r="A136" s="5">
        <f>IF(MeteoJ!A136=$BP$5,A135,MeteoJ!A136)</f>
        <v>42144</v>
      </c>
      <c r="B136">
        <f>MeteoJ!D136</f>
        <v>0</v>
      </c>
      <c r="C136">
        <f t="shared" si="12"/>
        <v>0</v>
      </c>
      <c r="D136">
        <f>MeteoJ!B136</f>
        <v>0</v>
      </c>
      <c r="E136">
        <f t="shared" si="13"/>
        <v>0</v>
      </c>
      <c r="F136">
        <f t="shared" si="14"/>
        <v>0</v>
      </c>
      <c r="H136">
        <f>(1-Initialisation!$C$19/100)*C136</f>
        <v>0</v>
      </c>
      <c r="I136">
        <f t="shared" si="15"/>
        <v>0</v>
      </c>
      <c r="J136">
        <f t="shared" si="16"/>
        <v>0</v>
      </c>
      <c r="K136">
        <f t="shared" si="17"/>
        <v>0</v>
      </c>
      <c r="M136">
        <f>IF(ETR!A136&lt;=Initialisation!$C$24,Initialisation!$D$23,IF(ETR!A136&lt;=Initialisation!$C$25,Initialisation!$D$24,IF(ETR!A136&lt;=Initialisation!$C$26,Initialisation!$D$25,IF(ETR!A136&lt;=Initialisation!$C$27,Initialisation!$D$26,IF(ETR!A137&lt;=Initialisation!$C$28,Initialisation!$D$27,IF(ETR!A137&lt;=Initialisation!$C$29,Initialisation!$D$28,0))))))</f>
        <v>0.5</v>
      </c>
    </row>
    <row r="137" spans="1:13" x14ac:dyDescent="0.35">
      <c r="A137" s="5">
        <f>IF(MeteoJ!A137=$BP$5,A136,MeteoJ!A137)</f>
        <v>42144</v>
      </c>
      <c r="B137">
        <f>MeteoJ!D137</f>
        <v>0</v>
      </c>
      <c r="C137">
        <f t="shared" si="12"/>
        <v>0</v>
      </c>
      <c r="D137">
        <f>MeteoJ!B137</f>
        <v>0</v>
      </c>
      <c r="E137">
        <f t="shared" si="13"/>
        <v>0</v>
      </c>
      <c r="F137">
        <f t="shared" si="14"/>
        <v>0</v>
      </c>
      <c r="H137">
        <f>(1-Initialisation!$C$19/100)*C137</f>
        <v>0</v>
      </c>
      <c r="I137">
        <f t="shared" si="15"/>
        <v>0</v>
      </c>
      <c r="J137">
        <f t="shared" si="16"/>
        <v>0</v>
      </c>
      <c r="K137">
        <f t="shared" si="17"/>
        <v>0</v>
      </c>
      <c r="M137">
        <f>IF(ETR!A137&lt;=Initialisation!$C$24,Initialisation!$D$23,IF(ETR!A137&lt;=Initialisation!$C$25,Initialisation!$D$24,IF(ETR!A137&lt;=Initialisation!$C$26,Initialisation!$D$25,IF(ETR!A137&lt;=Initialisation!$C$27,Initialisation!$D$26,IF(ETR!A138&lt;=Initialisation!$C$28,Initialisation!$D$27,IF(ETR!A138&lt;=Initialisation!$C$29,Initialisation!$D$28,0))))))</f>
        <v>0.5</v>
      </c>
    </row>
    <row r="138" spans="1:13" x14ac:dyDescent="0.35">
      <c r="A138" s="5">
        <f>IF(MeteoJ!A138=$BP$5,A137,MeteoJ!A138)</f>
        <v>42144</v>
      </c>
      <c r="B138">
        <f>MeteoJ!D138</f>
        <v>0</v>
      </c>
      <c r="C138">
        <f t="shared" si="12"/>
        <v>0</v>
      </c>
      <c r="D138">
        <f>MeteoJ!B138</f>
        <v>0</v>
      </c>
      <c r="E138">
        <f t="shared" si="13"/>
        <v>0</v>
      </c>
      <c r="F138">
        <f t="shared" si="14"/>
        <v>0</v>
      </c>
      <c r="H138">
        <f>(1-Initialisation!$C$19/100)*C138</f>
        <v>0</v>
      </c>
      <c r="I138">
        <f t="shared" si="15"/>
        <v>0</v>
      </c>
      <c r="J138">
        <f t="shared" si="16"/>
        <v>0</v>
      </c>
      <c r="K138">
        <f t="shared" si="17"/>
        <v>0</v>
      </c>
      <c r="M138">
        <f>IF(ETR!A138&lt;=Initialisation!$C$24,Initialisation!$D$23,IF(ETR!A138&lt;=Initialisation!$C$25,Initialisation!$D$24,IF(ETR!A138&lt;=Initialisation!$C$26,Initialisation!$D$25,IF(ETR!A138&lt;=Initialisation!$C$27,Initialisation!$D$26,IF(ETR!A139&lt;=Initialisation!$C$28,Initialisation!$D$27,IF(ETR!A139&lt;=Initialisation!$C$29,Initialisation!$D$28,0))))))</f>
        <v>0.5</v>
      </c>
    </row>
    <row r="139" spans="1:13" x14ac:dyDescent="0.35">
      <c r="A139" s="5">
        <f>IF(MeteoJ!A139=$BP$5,A138,MeteoJ!A139)</f>
        <v>42144</v>
      </c>
      <c r="B139">
        <f>MeteoJ!D139</f>
        <v>0</v>
      </c>
      <c r="C139">
        <f t="shared" si="12"/>
        <v>0</v>
      </c>
      <c r="D139">
        <f>MeteoJ!B139</f>
        <v>0</v>
      </c>
      <c r="E139">
        <f t="shared" si="13"/>
        <v>0</v>
      </c>
      <c r="F139">
        <f t="shared" si="14"/>
        <v>0</v>
      </c>
      <c r="H139">
        <f>(1-Initialisation!$C$19/100)*C139</f>
        <v>0</v>
      </c>
      <c r="I139">
        <f t="shared" si="15"/>
        <v>0</v>
      </c>
      <c r="J139">
        <f t="shared" si="16"/>
        <v>0</v>
      </c>
      <c r="K139">
        <f t="shared" si="17"/>
        <v>0</v>
      </c>
      <c r="M139">
        <f>IF(ETR!A139&lt;=Initialisation!$C$24,Initialisation!$D$23,IF(ETR!A139&lt;=Initialisation!$C$25,Initialisation!$D$24,IF(ETR!A139&lt;=Initialisation!$C$26,Initialisation!$D$25,IF(ETR!A139&lt;=Initialisation!$C$27,Initialisation!$D$26,IF(ETR!A140&lt;=Initialisation!$C$28,Initialisation!$D$27,IF(ETR!A140&lt;=Initialisation!$C$29,Initialisation!$D$28,0))))))</f>
        <v>0.5</v>
      </c>
    </row>
    <row r="140" spans="1:13" x14ac:dyDescent="0.35">
      <c r="A140" s="5">
        <f>IF(MeteoJ!A140=$BP$5,A139,MeteoJ!A140)</f>
        <v>42144</v>
      </c>
      <c r="B140">
        <f>MeteoJ!D140</f>
        <v>0</v>
      </c>
      <c r="C140">
        <f t="shared" si="12"/>
        <v>0</v>
      </c>
      <c r="D140">
        <f>MeteoJ!B140</f>
        <v>0</v>
      </c>
      <c r="E140">
        <f t="shared" si="13"/>
        <v>0</v>
      </c>
      <c r="F140">
        <f t="shared" si="14"/>
        <v>0</v>
      </c>
      <c r="H140">
        <f>(1-Initialisation!$C$19/100)*C140</f>
        <v>0</v>
      </c>
      <c r="I140">
        <f t="shared" si="15"/>
        <v>0</v>
      </c>
      <c r="J140">
        <f t="shared" si="16"/>
        <v>0</v>
      </c>
      <c r="K140">
        <f t="shared" si="17"/>
        <v>0</v>
      </c>
      <c r="M140">
        <f>IF(ETR!A140&lt;=Initialisation!$C$24,Initialisation!$D$23,IF(ETR!A140&lt;=Initialisation!$C$25,Initialisation!$D$24,IF(ETR!A140&lt;=Initialisation!$C$26,Initialisation!$D$25,IF(ETR!A140&lt;=Initialisation!$C$27,Initialisation!$D$26,IF(ETR!A141&lt;=Initialisation!$C$28,Initialisation!$D$27,IF(ETR!A141&lt;=Initialisation!$C$29,Initialisation!$D$28,0))))))</f>
        <v>0.5</v>
      </c>
    </row>
    <row r="141" spans="1:13" x14ac:dyDescent="0.35">
      <c r="A141" s="5">
        <f>IF(MeteoJ!A141=$BP$5,A140,MeteoJ!A141)</f>
        <v>42144</v>
      </c>
      <c r="B141">
        <f>MeteoJ!D141</f>
        <v>0</v>
      </c>
      <c r="C141">
        <f t="shared" si="12"/>
        <v>0</v>
      </c>
      <c r="D141">
        <f>MeteoJ!B141</f>
        <v>0</v>
      </c>
      <c r="E141">
        <f t="shared" si="13"/>
        <v>0</v>
      </c>
      <c r="F141">
        <f t="shared" si="14"/>
        <v>0</v>
      </c>
      <c r="H141">
        <f>(1-Initialisation!$C$19/100)*C141</f>
        <v>0</v>
      </c>
      <c r="I141">
        <f t="shared" si="15"/>
        <v>0</v>
      </c>
      <c r="J141">
        <f t="shared" si="16"/>
        <v>0</v>
      </c>
      <c r="K141">
        <f t="shared" si="17"/>
        <v>0</v>
      </c>
      <c r="M141">
        <f>IF(ETR!A141&lt;=Initialisation!$C$24,Initialisation!$D$23,IF(ETR!A141&lt;=Initialisation!$C$25,Initialisation!$D$24,IF(ETR!A141&lt;=Initialisation!$C$26,Initialisation!$D$25,IF(ETR!A141&lt;=Initialisation!$C$27,Initialisation!$D$26,IF(ETR!A142&lt;=Initialisation!$C$28,Initialisation!$D$27,IF(ETR!A142&lt;=Initialisation!$C$29,Initialisation!$D$28,0))))))</f>
        <v>0.5</v>
      </c>
    </row>
    <row r="142" spans="1:13" x14ac:dyDescent="0.35">
      <c r="A142" s="5">
        <f>IF(MeteoJ!A142=$BP$5,A141,MeteoJ!A142)</f>
        <v>42144</v>
      </c>
      <c r="B142">
        <f>MeteoJ!D142</f>
        <v>0</v>
      </c>
      <c r="C142">
        <f t="shared" si="12"/>
        <v>0</v>
      </c>
      <c r="D142">
        <f>MeteoJ!B142</f>
        <v>0</v>
      </c>
      <c r="E142">
        <f t="shared" si="13"/>
        <v>0</v>
      </c>
      <c r="F142">
        <f t="shared" si="14"/>
        <v>0</v>
      </c>
      <c r="H142">
        <f>(1-Initialisation!$C$19/100)*C142</f>
        <v>0</v>
      </c>
      <c r="I142">
        <f t="shared" si="15"/>
        <v>0</v>
      </c>
      <c r="J142">
        <f t="shared" si="16"/>
        <v>0</v>
      </c>
      <c r="K142">
        <f t="shared" si="17"/>
        <v>0</v>
      </c>
      <c r="M142">
        <f>IF(ETR!A142&lt;=Initialisation!$C$24,Initialisation!$D$23,IF(ETR!A142&lt;=Initialisation!$C$25,Initialisation!$D$24,IF(ETR!A142&lt;=Initialisation!$C$26,Initialisation!$D$25,IF(ETR!A142&lt;=Initialisation!$C$27,Initialisation!$D$26,IF(ETR!A143&lt;=Initialisation!$C$28,Initialisation!$D$27,IF(ETR!A143&lt;=Initialisation!$C$29,Initialisation!$D$28,0))))))</f>
        <v>0.5</v>
      </c>
    </row>
    <row r="143" spans="1:13" x14ac:dyDescent="0.35">
      <c r="A143" s="5">
        <f>IF(MeteoJ!A143=$BP$5,A142,MeteoJ!A143)</f>
        <v>42144</v>
      </c>
      <c r="B143">
        <f>MeteoJ!D143</f>
        <v>0</v>
      </c>
      <c r="C143">
        <f t="shared" si="12"/>
        <v>0</v>
      </c>
      <c r="D143">
        <f>MeteoJ!B143</f>
        <v>0</v>
      </c>
      <c r="E143">
        <f t="shared" si="13"/>
        <v>0</v>
      </c>
      <c r="F143">
        <f t="shared" si="14"/>
        <v>0</v>
      </c>
      <c r="H143">
        <f>(1-Initialisation!$C$19/100)*C143</f>
        <v>0</v>
      </c>
      <c r="I143">
        <f t="shared" si="15"/>
        <v>0</v>
      </c>
      <c r="J143">
        <f t="shared" si="16"/>
        <v>0</v>
      </c>
      <c r="K143">
        <f t="shared" si="17"/>
        <v>0</v>
      </c>
      <c r="M143">
        <f>IF(ETR!A143&lt;=Initialisation!$C$24,Initialisation!$D$23,IF(ETR!A143&lt;=Initialisation!$C$25,Initialisation!$D$24,IF(ETR!A143&lt;=Initialisation!$C$26,Initialisation!$D$25,IF(ETR!A143&lt;=Initialisation!$C$27,Initialisation!$D$26,IF(ETR!A144&lt;=Initialisation!$C$28,Initialisation!$D$27,IF(ETR!A144&lt;=Initialisation!$C$29,Initialisation!$D$28,0))))))</f>
        <v>0.5</v>
      </c>
    </row>
    <row r="144" spans="1:13" x14ac:dyDescent="0.35">
      <c r="A144" s="5">
        <f>IF(MeteoJ!A144=$BP$5,A143,MeteoJ!A144)</f>
        <v>42144</v>
      </c>
      <c r="B144">
        <f>MeteoJ!D144</f>
        <v>0</v>
      </c>
      <c r="C144">
        <f t="shared" si="12"/>
        <v>0</v>
      </c>
      <c r="D144">
        <f>MeteoJ!B144</f>
        <v>0</v>
      </c>
      <c r="E144">
        <f t="shared" si="13"/>
        <v>0</v>
      </c>
      <c r="F144">
        <f t="shared" si="14"/>
        <v>0</v>
      </c>
      <c r="H144">
        <f>(1-Initialisation!$C$19/100)*C144</f>
        <v>0</v>
      </c>
      <c r="I144">
        <f t="shared" si="15"/>
        <v>0</v>
      </c>
      <c r="J144">
        <f t="shared" si="16"/>
        <v>0</v>
      </c>
      <c r="K144">
        <f t="shared" si="17"/>
        <v>0</v>
      </c>
      <c r="M144">
        <f>IF(ETR!A144&lt;=Initialisation!$C$24,Initialisation!$D$23,IF(ETR!A144&lt;=Initialisation!$C$25,Initialisation!$D$24,IF(ETR!A144&lt;=Initialisation!$C$26,Initialisation!$D$25,IF(ETR!A144&lt;=Initialisation!$C$27,Initialisation!$D$26,IF(ETR!A145&lt;=Initialisation!$C$28,Initialisation!$D$27,IF(ETR!A145&lt;=Initialisation!$C$29,Initialisation!$D$28,0))))))</f>
        <v>0.5</v>
      </c>
    </row>
    <row r="145" spans="1:13" x14ac:dyDescent="0.35">
      <c r="A145" s="5">
        <f>IF(MeteoJ!A145=$BP$5,A144,MeteoJ!A145)</f>
        <v>42144</v>
      </c>
      <c r="B145">
        <f>MeteoJ!D145</f>
        <v>0</v>
      </c>
      <c r="C145">
        <f t="shared" si="12"/>
        <v>0</v>
      </c>
      <c r="D145">
        <f>MeteoJ!B145</f>
        <v>0</v>
      </c>
      <c r="E145">
        <f t="shared" si="13"/>
        <v>0</v>
      </c>
      <c r="F145">
        <f t="shared" si="14"/>
        <v>0</v>
      </c>
      <c r="H145">
        <f>(1-Initialisation!$C$19/100)*C145</f>
        <v>0</v>
      </c>
      <c r="I145">
        <f t="shared" si="15"/>
        <v>0</v>
      </c>
      <c r="J145">
        <f t="shared" si="16"/>
        <v>0</v>
      </c>
      <c r="K145">
        <f t="shared" si="17"/>
        <v>0</v>
      </c>
      <c r="M145">
        <f>IF(ETR!A145&lt;=Initialisation!$C$24,Initialisation!$D$23,IF(ETR!A145&lt;=Initialisation!$C$25,Initialisation!$D$24,IF(ETR!A145&lt;=Initialisation!$C$26,Initialisation!$D$25,IF(ETR!A145&lt;=Initialisation!$C$27,Initialisation!$D$26,IF(ETR!A146&lt;=Initialisation!$C$28,Initialisation!$D$27,IF(ETR!A146&lt;=Initialisation!$C$29,Initialisation!$D$28,0))))))</f>
        <v>0.5</v>
      </c>
    </row>
    <row r="146" spans="1:13" x14ac:dyDescent="0.35">
      <c r="A146" s="5">
        <f>IF(MeteoJ!A146=$BP$5,A145,MeteoJ!A146)</f>
        <v>42144</v>
      </c>
      <c r="B146">
        <f>MeteoJ!D146</f>
        <v>0</v>
      </c>
      <c r="C146">
        <f t="shared" si="12"/>
        <v>0</v>
      </c>
      <c r="D146">
        <f>MeteoJ!B146</f>
        <v>0</v>
      </c>
      <c r="E146">
        <f t="shared" si="13"/>
        <v>0</v>
      </c>
      <c r="F146">
        <f t="shared" si="14"/>
        <v>0</v>
      </c>
      <c r="H146">
        <f>(1-Initialisation!$C$19/100)*C146</f>
        <v>0</v>
      </c>
      <c r="I146">
        <f t="shared" si="15"/>
        <v>0</v>
      </c>
      <c r="J146">
        <f t="shared" si="16"/>
        <v>0</v>
      </c>
      <c r="K146">
        <f t="shared" si="17"/>
        <v>0</v>
      </c>
      <c r="M146">
        <f>IF(ETR!A146&lt;=Initialisation!$C$24,Initialisation!$D$23,IF(ETR!A146&lt;=Initialisation!$C$25,Initialisation!$D$24,IF(ETR!A146&lt;=Initialisation!$C$26,Initialisation!$D$25,IF(ETR!A146&lt;=Initialisation!$C$27,Initialisation!$D$26,IF(ETR!A147&lt;=Initialisation!$C$28,Initialisation!$D$27,IF(ETR!A147&lt;=Initialisation!$C$29,Initialisation!$D$28,0))))))</f>
        <v>0.5</v>
      </c>
    </row>
    <row r="147" spans="1:13" x14ac:dyDescent="0.35">
      <c r="A147" s="5">
        <f>IF(MeteoJ!A147=$BP$5,A146,MeteoJ!A147)</f>
        <v>42144</v>
      </c>
      <c r="B147">
        <f>MeteoJ!D147</f>
        <v>0</v>
      </c>
      <c r="C147">
        <f t="shared" si="12"/>
        <v>0</v>
      </c>
      <c r="D147">
        <f>MeteoJ!B147</f>
        <v>0</v>
      </c>
      <c r="E147">
        <f t="shared" si="13"/>
        <v>0</v>
      </c>
      <c r="F147">
        <f t="shared" si="14"/>
        <v>0</v>
      </c>
      <c r="H147">
        <f>(1-Initialisation!$C$19/100)*C147</f>
        <v>0</v>
      </c>
      <c r="I147">
        <f t="shared" si="15"/>
        <v>0</v>
      </c>
      <c r="J147">
        <f t="shared" si="16"/>
        <v>0</v>
      </c>
      <c r="K147">
        <f t="shared" si="17"/>
        <v>0</v>
      </c>
      <c r="M147">
        <f>IF(ETR!A147&lt;=Initialisation!$C$24,Initialisation!$D$23,IF(ETR!A147&lt;=Initialisation!$C$25,Initialisation!$D$24,IF(ETR!A147&lt;=Initialisation!$C$26,Initialisation!$D$25,IF(ETR!A147&lt;=Initialisation!$C$27,Initialisation!$D$26,IF(ETR!A148&lt;=Initialisation!$C$28,Initialisation!$D$27,IF(ETR!A148&lt;=Initialisation!$C$29,Initialisation!$D$28,0))))))</f>
        <v>0.5</v>
      </c>
    </row>
    <row r="148" spans="1:13" x14ac:dyDescent="0.35">
      <c r="A148" s="5">
        <f>IF(MeteoJ!A148=$BP$5,A147,MeteoJ!A148)</f>
        <v>42144</v>
      </c>
      <c r="B148">
        <f>MeteoJ!D148</f>
        <v>0</v>
      </c>
      <c r="C148">
        <f t="shared" si="12"/>
        <v>0</v>
      </c>
      <c r="D148">
        <f>MeteoJ!B148</f>
        <v>0</v>
      </c>
      <c r="E148">
        <f t="shared" si="13"/>
        <v>0</v>
      </c>
      <c r="F148">
        <f t="shared" si="14"/>
        <v>0</v>
      </c>
      <c r="H148">
        <f>(1-Initialisation!$C$19/100)*C148</f>
        <v>0</v>
      </c>
      <c r="I148">
        <f t="shared" si="15"/>
        <v>0</v>
      </c>
      <c r="J148">
        <f t="shared" si="16"/>
        <v>0</v>
      </c>
      <c r="K148">
        <f t="shared" si="17"/>
        <v>0</v>
      </c>
      <c r="M148">
        <f>IF(ETR!A148&lt;=Initialisation!$C$24,Initialisation!$D$23,IF(ETR!A148&lt;=Initialisation!$C$25,Initialisation!$D$24,IF(ETR!A148&lt;=Initialisation!$C$26,Initialisation!$D$25,IF(ETR!A148&lt;=Initialisation!$C$27,Initialisation!$D$26,IF(ETR!A149&lt;=Initialisation!$C$28,Initialisation!$D$27,IF(ETR!A149&lt;=Initialisation!$C$29,Initialisation!$D$28,0))))))</f>
        <v>0.5</v>
      </c>
    </row>
    <row r="149" spans="1:13" x14ac:dyDescent="0.35">
      <c r="A149" s="5">
        <f>IF(MeteoJ!A149=$BP$5,A148,MeteoJ!A149)</f>
        <v>42144</v>
      </c>
      <c r="B149">
        <f>MeteoJ!D149</f>
        <v>0</v>
      </c>
      <c r="C149">
        <f t="shared" si="12"/>
        <v>0</v>
      </c>
      <c r="D149">
        <f>MeteoJ!B149</f>
        <v>0</v>
      </c>
      <c r="E149">
        <f t="shared" si="13"/>
        <v>0</v>
      </c>
      <c r="F149">
        <f t="shared" si="14"/>
        <v>0</v>
      </c>
      <c r="H149">
        <f>(1-Initialisation!$C$19/100)*C149</f>
        <v>0</v>
      </c>
      <c r="I149">
        <f t="shared" si="15"/>
        <v>0</v>
      </c>
      <c r="J149">
        <f t="shared" si="16"/>
        <v>0</v>
      </c>
      <c r="K149">
        <f t="shared" si="17"/>
        <v>0</v>
      </c>
      <c r="M149">
        <f>IF(ETR!A149&lt;=Initialisation!$C$24,Initialisation!$D$23,IF(ETR!A149&lt;=Initialisation!$C$25,Initialisation!$D$24,IF(ETR!A149&lt;=Initialisation!$C$26,Initialisation!$D$25,IF(ETR!A149&lt;=Initialisation!$C$27,Initialisation!$D$26,IF(ETR!A150&lt;=Initialisation!$C$28,Initialisation!$D$27,IF(ETR!A150&lt;=Initialisation!$C$29,Initialisation!$D$28,0))))))</f>
        <v>0.5</v>
      </c>
    </row>
    <row r="150" spans="1:13" x14ac:dyDescent="0.35">
      <c r="A150" s="5">
        <f>IF(MeteoJ!A150=$BP$5,A149,MeteoJ!A150)</f>
        <v>42144</v>
      </c>
      <c r="B150">
        <f>MeteoJ!D150</f>
        <v>0</v>
      </c>
      <c r="C150">
        <f t="shared" si="12"/>
        <v>0</v>
      </c>
      <c r="D150">
        <f>MeteoJ!B150</f>
        <v>0</v>
      </c>
      <c r="E150">
        <f t="shared" si="13"/>
        <v>0</v>
      </c>
      <c r="F150">
        <f t="shared" si="14"/>
        <v>0</v>
      </c>
      <c r="H150">
        <f>(1-Initialisation!$C$19/100)*C150</f>
        <v>0</v>
      </c>
      <c r="I150">
        <f t="shared" si="15"/>
        <v>0</v>
      </c>
      <c r="J150">
        <f t="shared" si="16"/>
        <v>0</v>
      </c>
      <c r="K150">
        <f t="shared" si="17"/>
        <v>0</v>
      </c>
      <c r="M150">
        <f>IF(ETR!A150&lt;=Initialisation!$C$24,Initialisation!$D$23,IF(ETR!A150&lt;=Initialisation!$C$25,Initialisation!$D$24,IF(ETR!A150&lt;=Initialisation!$C$26,Initialisation!$D$25,IF(ETR!A150&lt;=Initialisation!$C$27,Initialisation!$D$26,IF(ETR!A151&lt;=Initialisation!$C$28,Initialisation!$D$27,IF(ETR!A151&lt;=Initialisation!$C$29,Initialisation!$D$28,0))))))</f>
        <v>0.5</v>
      </c>
    </row>
    <row r="151" spans="1:13" x14ac:dyDescent="0.35">
      <c r="A151" s="5">
        <f>IF(MeteoJ!A151=$BP$5,A150,MeteoJ!A151)</f>
        <v>42144</v>
      </c>
      <c r="B151">
        <f>MeteoJ!D151</f>
        <v>0</v>
      </c>
      <c r="C151">
        <f t="shared" si="12"/>
        <v>0</v>
      </c>
      <c r="D151">
        <f>MeteoJ!B151</f>
        <v>0</v>
      </c>
      <c r="E151">
        <f t="shared" si="13"/>
        <v>0</v>
      </c>
      <c r="F151">
        <f t="shared" si="14"/>
        <v>0</v>
      </c>
      <c r="H151">
        <f>(1-Initialisation!$C$19/100)*C151</f>
        <v>0</v>
      </c>
      <c r="I151">
        <f t="shared" si="15"/>
        <v>0</v>
      </c>
      <c r="J151">
        <f t="shared" si="16"/>
        <v>0</v>
      </c>
      <c r="K151">
        <f t="shared" si="17"/>
        <v>0</v>
      </c>
      <c r="M151">
        <f>IF(ETR!A151&lt;=Initialisation!$C$24,Initialisation!$D$23,IF(ETR!A151&lt;=Initialisation!$C$25,Initialisation!$D$24,IF(ETR!A151&lt;=Initialisation!$C$26,Initialisation!$D$25,IF(ETR!A151&lt;=Initialisation!$C$27,Initialisation!$D$26,IF(ETR!A152&lt;=Initialisation!$C$28,Initialisation!$D$27,IF(ETR!A152&lt;=Initialisation!$C$29,Initialisation!$D$28,0))))))</f>
        <v>0.5</v>
      </c>
    </row>
    <row r="152" spans="1:13" x14ac:dyDescent="0.35">
      <c r="A152" s="5">
        <f>IF(MeteoJ!A152=$BP$5,A151,MeteoJ!A152)</f>
        <v>42144</v>
      </c>
      <c r="B152">
        <f>MeteoJ!D152</f>
        <v>0</v>
      </c>
      <c r="C152">
        <f t="shared" si="12"/>
        <v>0</v>
      </c>
      <c r="D152">
        <f>MeteoJ!B152</f>
        <v>0</v>
      </c>
      <c r="E152">
        <f t="shared" si="13"/>
        <v>0</v>
      </c>
      <c r="F152">
        <f t="shared" si="14"/>
        <v>0</v>
      </c>
      <c r="H152">
        <f>(1-Initialisation!$C$19/100)*C152</f>
        <v>0</v>
      </c>
      <c r="I152">
        <f t="shared" si="15"/>
        <v>0</v>
      </c>
      <c r="J152">
        <f t="shared" si="16"/>
        <v>0</v>
      </c>
      <c r="K152">
        <f t="shared" si="17"/>
        <v>0</v>
      </c>
      <c r="M152">
        <f>IF(ETR!A152&lt;=Initialisation!$C$24,Initialisation!$D$23,IF(ETR!A152&lt;=Initialisation!$C$25,Initialisation!$D$24,IF(ETR!A152&lt;=Initialisation!$C$26,Initialisation!$D$25,IF(ETR!A152&lt;=Initialisation!$C$27,Initialisation!$D$26,IF(ETR!A153&lt;=Initialisation!$C$28,Initialisation!$D$27,IF(ETR!A153&lt;=Initialisation!$C$29,Initialisation!$D$28,0))))))</f>
        <v>0.5</v>
      </c>
    </row>
    <row r="153" spans="1:13" x14ac:dyDescent="0.35">
      <c r="A153" s="5">
        <f>IF(MeteoJ!A153=$BP$5,A152,MeteoJ!A153)</f>
        <v>42144</v>
      </c>
      <c r="B153">
        <f>MeteoJ!D153</f>
        <v>0</v>
      </c>
      <c r="C153">
        <f t="shared" si="12"/>
        <v>0</v>
      </c>
      <c r="D153">
        <f>MeteoJ!B153</f>
        <v>0</v>
      </c>
      <c r="E153">
        <f t="shared" si="13"/>
        <v>0</v>
      </c>
      <c r="F153">
        <f t="shared" si="14"/>
        <v>0</v>
      </c>
      <c r="H153">
        <f>(1-Initialisation!$C$19/100)*C153</f>
        <v>0</v>
      </c>
      <c r="I153">
        <f t="shared" si="15"/>
        <v>0</v>
      </c>
      <c r="J153">
        <f t="shared" si="16"/>
        <v>0</v>
      </c>
      <c r="K153">
        <f t="shared" si="17"/>
        <v>0</v>
      </c>
      <c r="M153">
        <f>IF(ETR!A153&lt;=Initialisation!$C$24,Initialisation!$D$23,IF(ETR!A153&lt;=Initialisation!$C$25,Initialisation!$D$24,IF(ETR!A153&lt;=Initialisation!$C$26,Initialisation!$D$25,IF(ETR!A153&lt;=Initialisation!$C$27,Initialisation!$D$26,IF(ETR!A154&lt;=Initialisation!$C$28,Initialisation!$D$27,IF(ETR!A154&lt;=Initialisation!$C$29,Initialisation!$D$28,0))))))</f>
        <v>0.5</v>
      </c>
    </row>
    <row r="154" spans="1:13" x14ac:dyDescent="0.35">
      <c r="A154" s="5">
        <f>IF(MeteoJ!A154=$BP$5,A153,MeteoJ!A154)</f>
        <v>42144</v>
      </c>
      <c r="B154">
        <f>MeteoJ!D154</f>
        <v>0</v>
      </c>
      <c r="C154">
        <f t="shared" si="12"/>
        <v>0</v>
      </c>
      <c r="D154">
        <f>MeteoJ!B154</f>
        <v>0</v>
      </c>
      <c r="E154">
        <f t="shared" si="13"/>
        <v>0</v>
      </c>
      <c r="F154">
        <f t="shared" si="14"/>
        <v>0</v>
      </c>
      <c r="H154">
        <f>(1-Initialisation!$C$19/100)*C154</f>
        <v>0</v>
      </c>
      <c r="I154">
        <f t="shared" si="15"/>
        <v>0</v>
      </c>
      <c r="J154">
        <f t="shared" si="16"/>
        <v>0</v>
      </c>
      <c r="K154">
        <f t="shared" si="17"/>
        <v>0</v>
      </c>
      <c r="M154">
        <f>IF(ETR!A154&lt;=Initialisation!$C$24,Initialisation!$D$23,IF(ETR!A154&lt;=Initialisation!$C$25,Initialisation!$D$24,IF(ETR!A154&lt;=Initialisation!$C$26,Initialisation!$D$25,IF(ETR!A154&lt;=Initialisation!$C$27,Initialisation!$D$26,IF(ETR!A155&lt;=Initialisation!$C$28,Initialisation!$D$27,IF(ETR!A155&lt;=Initialisation!$C$29,Initialisation!$D$28,0))))))</f>
        <v>0.5</v>
      </c>
    </row>
    <row r="155" spans="1:13" x14ac:dyDescent="0.35">
      <c r="A155" s="5">
        <f>IF(MeteoJ!A155=$BP$5,A154,MeteoJ!A155)</f>
        <v>42144</v>
      </c>
      <c r="B155">
        <f>MeteoJ!D155</f>
        <v>0</v>
      </c>
      <c r="C155">
        <f t="shared" si="12"/>
        <v>0</v>
      </c>
      <c r="D155">
        <f>MeteoJ!B155</f>
        <v>0</v>
      </c>
      <c r="E155">
        <f t="shared" si="13"/>
        <v>0</v>
      </c>
      <c r="F155">
        <f t="shared" si="14"/>
        <v>0</v>
      </c>
      <c r="H155">
        <f>(1-Initialisation!$C$19/100)*C155</f>
        <v>0</v>
      </c>
      <c r="I155">
        <f t="shared" si="15"/>
        <v>0</v>
      </c>
      <c r="J155">
        <f t="shared" si="16"/>
        <v>0</v>
      </c>
      <c r="K155">
        <f t="shared" si="17"/>
        <v>0</v>
      </c>
      <c r="M155">
        <f>IF(ETR!A155&lt;=Initialisation!$C$24,Initialisation!$D$23,IF(ETR!A155&lt;=Initialisation!$C$25,Initialisation!$D$24,IF(ETR!A155&lt;=Initialisation!$C$26,Initialisation!$D$25,IF(ETR!A155&lt;=Initialisation!$C$27,Initialisation!$D$26,IF(ETR!A156&lt;=Initialisation!$C$28,Initialisation!$D$27,IF(ETR!A156&lt;=Initialisation!$C$29,Initialisation!$D$28,0))))))</f>
        <v>0.5</v>
      </c>
    </row>
    <row r="156" spans="1:13" x14ac:dyDescent="0.35">
      <c r="A156" s="5">
        <f>IF(MeteoJ!A156=$BP$5,A155,MeteoJ!A156)</f>
        <v>42144</v>
      </c>
      <c r="B156">
        <f>MeteoJ!D156</f>
        <v>0</v>
      </c>
      <c r="C156">
        <f t="shared" si="12"/>
        <v>0</v>
      </c>
      <c r="D156">
        <f>MeteoJ!B156</f>
        <v>0</v>
      </c>
      <c r="E156">
        <f t="shared" si="13"/>
        <v>0</v>
      </c>
      <c r="F156">
        <f t="shared" si="14"/>
        <v>0</v>
      </c>
      <c r="H156">
        <f>(1-Initialisation!$C$19/100)*C156</f>
        <v>0</v>
      </c>
      <c r="I156">
        <f t="shared" si="15"/>
        <v>0</v>
      </c>
      <c r="J156">
        <f t="shared" si="16"/>
        <v>0</v>
      </c>
      <c r="K156">
        <f t="shared" si="17"/>
        <v>0</v>
      </c>
      <c r="M156">
        <f>IF(ETR!A156&lt;=Initialisation!$C$24,Initialisation!$D$23,IF(ETR!A156&lt;=Initialisation!$C$25,Initialisation!$D$24,IF(ETR!A156&lt;=Initialisation!$C$26,Initialisation!$D$25,IF(ETR!A156&lt;=Initialisation!$C$27,Initialisation!$D$26,IF(ETR!A157&lt;=Initialisation!$C$28,Initialisation!$D$27,IF(ETR!A157&lt;=Initialisation!$C$29,Initialisation!$D$28,0))))))</f>
        <v>0.5</v>
      </c>
    </row>
    <row r="157" spans="1:13" x14ac:dyDescent="0.35">
      <c r="A157" s="5">
        <f>IF(MeteoJ!A157=$BP$5,A156,MeteoJ!A157)</f>
        <v>42144</v>
      </c>
      <c r="B157">
        <f>MeteoJ!D157</f>
        <v>0</v>
      </c>
      <c r="C157">
        <f t="shared" si="12"/>
        <v>0</v>
      </c>
      <c r="D157">
        <f>MeteoJ!B157</f>
        <v>0</v>
      </c>
      <c r="E157">
        <f t="shared" si="13"/>
        <v>0</v>
      </c>
      <c r="F157">
        <f t="shared" si="14"/>
        <v>0</v>
      </c>
      <c r="H157">
        <f>(1-Initialisation!$C$19/100)*C157</f>
        <v>0</v>
      </c>
      <c r="I157">
        <f t="shared" si="15"/>
        <v>0</v>
      </c>
      <c r="J157">
        <f t="shared" si="16"/>
        <v>0</v>
      </c>
      <c r="K157">
        <f t="shared" si="17"/>
        <v>0</v>
      </c>
      <c r="M157">
        <f>IF(ETR!A157&lt;=Initialisation!$C$24,Initialisation!$D$23,IF(ETR!A157&lt;=Initialisation!$C$25,Initialisation!$D$24,IF(ETR!A157&lt;=Initialisation!$C$26,Initialisation!$D$25,IF(ETR!A157&lt;=Initialisation!$C$27,Initialisation!$D$26,IF(ETR!A158&lt;=Initialisation!$C$28,Initialisation!$D$27,IF(ETR!A158&lt;=Initialisation!$C$29,Initialisation!$D$28,0))))))</f>
        <v>0.5</v>
      </c>
    </row>
    <row r="158" spans="1:13" x14ac:dyDescent="0.35">
      <c r="A158" s="5">
        <f>IF(MeteoJ!A158=$BP$5,A157,MeteoJ!A158)</f>
        <v>42144</v>
      </c>
      <c r="B158">
        <f>MeteoJ!D158</f>
        <v>0</v>
      </c>
      <c r="C158">
        <f t="shared" si="12"/>
        <v>0</v>
      </c>
      <c r="D158">
        <f>MeteoJ!B158</f>
        <v>0</v>
      </c>
      <c r="E158">
        <f t="shared" si="13"/>
        <v>0</v>
      </c>
      <c r="F158">
        <f t="shared" si="14"/>
        <v>0</v>
      </c>
      <c r="H158">
        <f>(1-Initialisation!$C$19/100)*C158</f>
        <v>0</v>
      </c>
      <c r="I158">
        <f t="shared" si="15"/>
        <v>0</v>
      </c>
      <c r="J158">
        <f t="shared" si="16"/>
        <v>0</v>
      </c>
      <c r="K158">
        <f t="shared" si="17"/>
        <v>0</v>
      </c>
      <c r="M158">
        <f>IF(ETR!A158&lt;=Initialisation!$C$24,Initialisation!$D$23,IF(ETR!A158&lt;=Initialisation!$C$25,Initialisation!$D$24,IF(ETR!A158&lt;=Initialisation!$C$26,Initialisation!$D$25,IF(ETR!A158&lt;=Initialisation!$C$27,Initialisation!$D$26,IF(ETR!A159&lt;=Initialisation!$C$28,Initialisation!$D$27,IF(ETR!A159&lt;=Initialisation!$C$29,Initialisation!$D$28,0))))))</f>
        <v>0.5</v>
      </c>
    </row>
    <row r="159" spans="1:13" x14ac:dyDescent="0.35">
      <c r="A159" s="5">
        <f>IF(MeteoJ!A159=$BP$5,A158,MeteoJ!A159)</f>
        <v>42144</v>
      </c>
      <c r="B159">
        <f>MeteoJ!D159</f>
        <v>0</v>
      </c>
      <c r="C159">
        <f t="shared" si="12"/>
        <v>0</v>
      </c>
      <c r="D159">
        <f>MeteoJ!B159</f>
        <v>0</v>
      </c>
      <c r="E159">
        <f t="shared" si="13"/>
        <v>0</v>
      </c>
      <c r="F159">
        <f t="shared" si="14"/>
        <v>0</v>
      </c>
      <c r="H159">
        <f>(1-Initialisation!$C$19/100)*C159</f>
        <v>0</v>
      </c>
      <c r="I159">
        <f t="shared" si="15"/>
        <v>0</v>
      </c>
      <c r="J159">
        <f t="shared" si="16"/>
        <v>0</v>
      </c>
      <c r="K159">
        <f t="shared" si="17"/>
        <v>0</v>
      </c>
      <c r="M159">
        <f>IF(ETR!A159&lt;=Initialisation!$C$24,Initialisation!$D$23,IF(ETR!A159&lt;=Initialisation!$C$25,Initialisation!$D$24,IF(ETR!A159&lt;=Initialisation!$C$26,Initialisation!$D$25,IF(ETR!A159&lt;=Initialisation!$C$27,Initialisation!$D$26,IF(ETR!A160&lt;=Initialisation!$C$28,Initialisation!$D$27,IF(ETR!A160&lt;=Initialisation!$C$29,Initialisation!$D$28,0))))))</f>
        <v>0.5</v>
      </c>
    </row>
    <row r="160" spans="1:13" x14ac:dyDescent="0.35">
      <c r="A160" s="5">
        <f>IF(MeteoJ!A160=$BP$5,A159,MeteoJ!A160)</f>
        <v>42144</v>
      </c>
      <c r="B160">
        <f>MeteoJ!D160</f>
        <v>0</v>
      </c>
      <c r="C160">
        <f t="shared" si="12"/>
        <v>0</v>
      </c>
      <c r="D160">
        <f>MeteoJ!B160</f>
        <v>0</v>
      </c>
      <c r="E160">
        <f t="shared" si="13"/>
        <v>0</v>
      </c>
      <c r="F160">
        <f t="shared" si="14"/>
        <v>0</v>
      </c>
      <c r="H160">
        <f>(1-Initialisation!$C$19/100)*C160</f>
        <v>0</v>
      </c>
      <c r="I160">
        <f t="shared" si="15"/>
        <v>0</v>
      </c>
      <c r="J160">
        <f t="shared" si="16"/>
        <v>0</v>
      </c>
      <c r="K160">
        <f t="shared" si="17"/>
        <v>0</v>
      </c>
      <c r="M160">
        <f>IF(ETR!A160&lt;=Initialisation!$C$24,Initialisation!$D$23,IF(ETR!A160&lt;=Initialisation!$C$25,Initialisation!$D$24,IF(ETR!A160&lt;=Initialisation!$C$26,Initialisation!$D$25,IF(ETR!A160&lt;=Initialisation!$C$27,Initialisation!$D$26,IF(ETR!A161&lt;=Initialisation!$C$28,Initialisation!$D$27,IF(ETR!A161&lt;=Initialisation!$C$29,Initialisation!$D$28,0))))))</f>
        <v>0.5</v>
      </c>
    </row>
    <row r="161" spans="1:13" x14ac:dyDescent="0.35">
      <c r="A161" s="5">
        <f>IF(MeteoJ!A161=$BP$5,A160,MeteoJ!A161)</f>
        <v>42144</v>
      </c>
      <c r="B161">
        <f>MeteoJ!D161</f>
        <v>0</v>
      </c>
      <c r="C161">
        <f t="shared" si="12"/>
        <v>0</v>
      </c>
      <c r="D161">
        <f>MeteoJ!B161</f>
        <v>0</v>
      </c>
      <c r="E161">
        <f t="shared" si="13"/>
        <v>0</v>
      </c>
      <c r="F161">
        <f t="shared" si="14"/>
        <v>0</v>
      </c>
      <c r="H161">
        <f>(1-Initialisation!$C$19/100)*C161</f>
        <v>0</v>
      </c>
      <c r="I161">
        <f t="shared" si="15"/>
        <v>0</v>
      </c>
      <c r="J161">
        <f t="shared" si="16"/>
        <v>0</v>
      </c>
      <c r="K161">
        <f t="shared" si="17"/>
        <v>0</v>
      </c>
      <c r="M161">
        <f>IF(ETR!A161&lt;=Initialisation!$C$24,Initialisation!$D$23,IF(ETR!A161&lt;=Initialisation!$C$25,Initialisation!$D$24,IF(ETR!A161&lt;=Initialisation!$C$26,Initialisation!$D$25,IF(ETR!A161&lt;=Initialisation!$C$27,Initialisation!$D$26,IF(ETR!A162&lt;=Initialisation!$C$28,Initialisation!$D$27,IF(ETR!A162&lt;=Initialisation!$C$29,Initialisation!$D$28,0))))))</f>
        <v>0.5</v>
      </c>
    </row>
    <row r="162" spans="1:13" x14ac:dyDescent="0.35">
      <c r="A162" s="5">
        <f>IF(MeteoJ!A162=$BP$5,A161,MeteoJ!A162)</f>
        <v>42144</v>
      </c>
      <c r="B162">
        <f>MeteoJ!D162</f>
        <v>0</v>
      </c>
      <c r="C162">
        <f t="shared" si="12"/>
        <v>0</v>
      </c>
      <c r="D162">
        <f>MeteoJ!B162</f>
        <v>0</v>
      </c>
      <c r="E162">
        <f t="shared" si="13"/>
        <v>0</v>
      </c>
      <c r="F162">
        <f t="shared" si="14"/>
        <v>0</v>
      </c>
      <c r="H162">
        <f>(1-Initialisation!$C$19/100)*C162</f>
        <v>0</v>
      </c>
      <c r="I162">
        <f t="shared" si="15"/>
        <v>0</v>
      </c>
      <c r="J162">
        <f t="shared" si="16"/>
        <v>0</v>
      </c>
      <c r="K162">
        <f t="shared" si="17"/>
        <v>0</v>
      </c>
      <c r="M162">
        <f>IF(ETR!A162&lt;=Initialisation!$C$24,Initialisation!$D$23,IF(ETR!A162&lt;=Initialisation!$C$25,Initialisation!$D$24,IF(ETR!A162&lt;=Initialisation!$C$26,Initialisation!$D$25,IF(ETR!A162&lt;=Initialisation!$C$27,Initialisation!$D$26,IF(ETR!A163&lt;=Initialisation!$C$28,Initialisation!$D$27,IF(ETR!A163&lt;=Initialisation!$C$29,Initialisation!$D$28,0))))))</f>
        <v>0.5</v>
      </c>
    </row>
    <row r="163" spans="1:13" x14ac:dyDescent="0.35">
      <c r="A163" s="5">
        <f>IF(MeteoJ!A163=$BP$5,A162,MeteoJ!A163)</f>
        <v>42144</v>
      </c>
      <c r="B163">
        <f>MeteoJ!D163</f>
        <v>0</v>
      </c>
      <c r="C163">
        <f t="shared" si="12"/>
        <v>0</v>
      </c>
      <c r="D163">
        <f>MeteoJ!B163</f>
        <v>0</v>
      </c>
      <c r="E163">
        <f t="shared" si="13"/>
        <v>0</v>
      </c>
      <c r="F163">
        <f t="shared" si="14"/>
        <v>0</v>
      </c>
      <c r="H163">
        <f>(1-Initialisation!$C$19/100)*C163</f>
        <v>0</v>
      </c>
      <c r="I163">
        <f t="shared" si="15"/>
        <v>0</v>
      </c>
      <c r="J163">
        <f t="shared" si="16"/>
        <v>0</v>
      </c>
      <c r="K163">
        <f t="shared" si="17"/>
        <v>0</v>
      </c>
      <c r="M163">
        <f>IF(ETR!A163&lt;=Initialisation!$C$24,Initialisation!$D$23,IF(ETR!A163&lt;=Initialisation!$C$25,Initialisation!$D$24,IF(ETR!A163&lt;=Initialisation!$C$26,Initialisation!$D$25,IF(ETR!A163&lt;=Initialisation!$C$27,Initialisation!$D$26,IF(ETR!A164&lt;=Initialisation!$C$28,Initialisation!$D$27,IF(ETR!A164&lt;=Initialisation!$C$29,Initialisation!$D$28,0))))))</f>
        <v>0.5</v>
      </c>
    </row>
    <row r="164" spans="1:13" x14ac:dyDescent="0.35">
      <c r="A164" s="5">
        <f>IF(MeteoJ!A164=$BP$5,A163,MeteoJ!A164)</f>
        <v>42144</v>
      </c>
      <c r="B164">
        <f>MeteoJ!D164</f>
        <v>0</v>
      </c>
      <c r="C164">
        <f t="shared" si="12"/>
        <v>0</v>
      </c>
      <c r="D164">
        <f>MeteoJ!B164</f>
        <v>0</v>
      </c>
      <c r="E164">
        <f t="shared" si="13"/>
        <v>0</v>
      </c>
      <c r="F164">
        <f t="shared" si="14"/>
        <v>0</v>
      </c>
      <c r="H164">
        <f>(1-Initialisation!$C$19/100)*C164</f>
        <v>0</v>
      </c>
      <c r="I164">
        <f t="shared" si="15"/>
        <v>0</v>
      </c>
      <c r="J164">
        <f t="shared" si="16"/>
        <v>0</v>
      </c>
      <c r="K164">
        <f t="shared" si="17"/>
        <v>0</v>
      </c>
      <c r="M164">
        <f>IF(ETR!A164&lt;=Initialisation!$C$24,Initialisation!$D$23,IF(ETR!A164&lt;=Initialisation!$C$25,Initialisation!$D$24,IF(ETR!A164&lt;=Initialisation!$C$26,Initialisation!$D$25,IF(ETR!A164&lt;=Initialisation!$C$27,Initialisation!$D$26,IF(ETR!A165&lt;=Initialisation!$C$28,Initialisation!$D$27,IF(ETR!A165&lt;=Initialisation!$C$29,Initialisation!$D$28,0))))))</f>
        <v>0.5</v>
      </c>
    </row>
    <row r="165" spans="1:13" x14ac:dyDescent="0.35">
      <c r="A165" s="5">
        <f>IF(MeteoJ!A165=$BP$5,A164,MeteoJ!A165)</f>
        <v>42144</v>
      </c>
      <c r="B165">
        <f>MeteoJ!D165</f>
        <v>0</v>
      </c>
      <c r="C165">
        <f t="shared" si="12"/>
        <v>0</v>
      </c>
      <c r="D165">
        <f>MeteoJ!B165</f>
        <v>0</v>
      </c>
      <c r="E165">
        <f t="shared" si="13"/>
        <v>0</v>
      </c>
      <c r="F165">
        <f t="shared" si="14"/>
        <v>0</v>
      </c>
      <c r="H165">
        <f>(1-Initialisation!$C$19/100)*C165</f>
        <v>0</v>
      </c>
      <c r="I165">
        <f t="shared" si="15"/>
        <v>0</v>
      </c>
      <c r="J165">
        <f t="shared" si="16"/>
        <v>0</v>
      </c>
      <c r="K165">
        <f t="shared" si="17"/>
        <v>0</v>
      </c>
      <c r="M165">
        <f>IF(ETR!A165&lt;=Initialisation!$C$24,Initialisation!$D$23,IF(ETR!A165&lt;=Initialisation!$C$25,Initialisation!$D$24,IF(ETR!A165&lt;=Initialisation!$C$26,Initialisation!$D$25,IF(ETR!A165&lt;=Initialisation!$C$27,Initialisation!$D$26,IF(ETR!A166&lt;=Initialisation!$C$28,Initialisation!$D$27,IF(ETR!A166&lt;=Initialisation!$C$29,Initialisation!$D$28,0))))))</f>
        <v>0.5</v>
      </c>
    </row>
    <row r="166" spans="1:13" x14ac:dyDescent="0.35">
      <c r="A166" s="5">
        <f>IF(MeteoJ!A166=$BP$5,A165,MeteoJ!A166)</f>
        <v>42144</v>
      </c>
      <c r="B166">
        <f>MeteoJ!D166</f>
        <v>0</v>
      </c>
      <c r="C166">
        <f t="shared" si="12"/>
        <v>0</v>
      </c>
      <c r="D166">
        <f>MeteoJ!B166</f>
        <v>0</v>
      </c>
      <c r="E166">
        <f t="shared" si="13"/>
        <v>0</v>
      </c>
      <c r="F166">
        <f t="shared" si="14"/>
        <v>0</v>
      </c>
      <c r="H166">
        <f>(1-Initialisation!$C$19/100)*C166</f>
        <v>0</v>
      </c>
      <c r="I166">
        <f t="shared" si="15"/>
        <v>0</v>
      </c>
      <c r="J166">
        <f t="shared" si="16"/>
        <v>0</v>
      </c>
      <c r="K166">
        <f t="shared" si="17"/>
        <v>0</v>
      </c>
      <c r="M166">
        <f>IF(ETR!A166&lt;=Initialisation!$C$24,Initialisation!$D$23,IF(ETR!A166&lt;=Initialisation!$C$25,Initialisation!$D$24,IF(ETR!A166&lt;=Initialisation!$C$26,Initialisation!$D$25,IF(ETR!A166&lt;=Initialisation!$C$27,Initialisation!$D$26,IF(ETR!A167&lt;=Initialisation!$C$28,Initialisation!$D$27,IF(ETR!A167&lt;=Initialisation!$C$29,Initialisation!$D$28,0))))))</f>
        <v>0.5</v>
      </c>
    </row>
    <row r="167" spans="1:13" x14ac:dyDescent="0.35">
      <c r="A167" s="5">
        <f>IF(MeteoJ!A167=$BP$5,A166,MeteoJ!A167)</f>
        <v>42144</v>
      </c>
      <c r="B167">
        <f>MeteoJ!D167</f>
        <v>0</v>
      </c>
      <c r="C167">
        <f t="shared" si="12"/>
        <v>0</v>
      </c>
      <c r="D167">
        <f>MeteoJ!B167</f>
        <v>0</v>
      </c>
      <c r="E167">
        <f t="shared" si="13"/>
        <v>0</v>
      </c>
      <c r="F167">
        <f t="shared" si="14"/>
        <v>0</v>
      </c>
      <c r="H167">
        <f>(1-Initialisation!$C$19/100)*C167</f>
        <v>0</v>
      </c>
      <c r="I167">
        <f t="shared" si="15"/>
        <v>0</v>
      </c>
      <c r="J167">
        <f t="shared" si="16"/>
        <v>0</v>
      </c>
      <c r="K167">
        <f t="shared" si="17"/>
        <v>0</v>
      </c>
      <c r="M167">
        <f>IF(ETR!A167&lt;=Initialisation!$C$24,Initialisation!$D$23,IF(ETR!A167&lt;=Initialisation!$C$25,Initialisation!$D$24,IF(ETR!A167&lt;=Initialisation!$C$26,Initialisation!$D$25,IF(ETR!A167&lt;=Initialisation!$C$27,Initialisation!$D$26,IF(ETR!A168&lt;=Initialisation!$C$28,Initialisation!$D$27,IF(ETR!A168&lt;=Initialisation!$C$29,Initialisation!$D$28,0))))))</f>
        <v>0.5</v>
      </c>
    </row>
    <row r="168" spans="1:13" x14ac:dyDescent="0.35">
      <c r="A168" s="5">
        <f>IF(MeteoJ!A168=$BP$5,A167,MeteoJ!A168)</f>
        <v>42144</v>
      </c>
      <c r="B168">
        <f>MeteoJ!D168</f>
        <v>0</v>
      </c>
      <c r="C168">
        <f t="shared" si="12"/>
        <v>0</v>
      </c>
      <c r="D168">
        <f>MeteoJ!B168</f>
        <v>0</v>
      </c>
      <c r="E168">
        <f t="shared" si="13"/>
        <v>0</v>
      </c>
      <c r="F168">
        <f t="shared" si="14"/>
        <v>0</v>
      </c>
      <c r="H168">
        <f>(1-Initialisation!$C$19/100)*C168</f>
        <v>0</v>
      </c>
      <c r="I168">
        <f t="shared" si="15"/>
        <v>0</v>
      </c>
      <c r="J168">
        <f t="shared" si="16"/>
        <v>0</v>
      </c>
      <c r="K168">
        <f t="shared" si="17"/>
        <v>0</v>
      </c>
      <c r="M168">
        <f>IF(ETR!A168&lt;=Initialisation!$C$24,Initialisation!$D$23,IF(ETR!A168&lt;=Initialisation!$C$25,Initialisation!$D$24,IF(ETR!A168&lt;=Initialisation!$C$26,Initialisation!$D$25,IF(ETR!A168&lt;=Initialisation!$C$27,Initialisation!$D$26,IF(ETR!A169&lt;=Initialisation!$C$28,Initialisation!$D$27,IF(ETR!A169&lt;=Initialisation!$C$29,Initialisation!$D$28,0))))))</f>
        <v>0.5</v>
      </c>
    </row>
    <row r="169" spans="1:13" x14ac:dyDescent="0.35">
      <c r="A169" s="5">
        <f>IF(MeteoJ!A169=$BP$5,A168,MeteoJ!A169)</f>
        <v>42144</v>
      </c>
      <c r="B169">
        <f>MeteoJ!D169</f>
        <v>0</v>
      </c>
      <c r="C169">
        <f t="shared" si="12"/>
        <v>0</v>
      </c>
      <c r="D169">
        <f>MeteoJ!B169</f>
        <v>0</v>
      </c>
      <c r="E169">
        <f t="shared" si="13"/>
        <v>0</v>
      </c>
      <c r="F169">
        <f t="shared" si="14"/>
        <v>0</v>
      </c>
      <c r="H169">
        <f>(1-Initialisation!$C$19/100)*C169</f>
        <v>0</v>
      </c>
      <c r="I169">
        <f t="shared" si="15"/>
        <v>0</v>
      </c>
      <c r="J169">
        <f t="shared" si="16"/>
        <v>0</v>
      </c>
      <c r="K169">
        <f t="shared" si="17"/>
        <v>0</v>
      </c>
      <c r="M169">
        <f>IF(ETR!A169&lt;=Initialisation!$C$24,Initialisation!$D$23,IF(ETR!A169&lt;=Initialisation!$C$25,Initialisation!$D$24,IF(ETR!A169&lt;=Initialisation!$C$26,Initialisation!$D$25,IF(ETR!A169&lt;=Initialisation!$C$27,Initialisation!$D$26,IF(ETR!A170&lt;=Initialisation!$C$28,Initialisation!$D$27,IF(ETR!A170&lt;=Initialisation!$C$29,Initialisation!$D$28,0))))))</f>
        <v>0.5</v>
      </c>
    </row>
    <row r="170" spans="1:13" x14ac:dyDescent="0.35">
      <c r="A170" s="5">
        <f>IF(MeteoJ!A170=$BP$5,A169,MeteoJ!A170)</f>
        <v>42144</v>
      </c>
      <c r="B170">
        <f>MeteoJ!D170</f>
        <v>0</v>
      </c>
      <c r="C170">
        <f t="shared" si="12"/>
        <v>0</v>
      </c>
      <c r="D170">
        <f>MeteoJ!B170</f>
        <v>0</v>
      </c>
      <c r="E170">
        <f t="shared" si="13"/>
        <v>0</v>
      </c>
      <c r="F170">
        <f t="shared" si="14"/>
        <v>0</v>
      </c>
      <c r="H170">
        <f>(1-Initialisation!$C$19/100)*C170</f>
        <v>0</v>
      </c>
      <c r="I170">
        <f t="shared" si="15"/>
        <v>0</v>
      </c>
      <c r="J170">
        <f t="shared" si="16"/>
        <v>0</v>
      </c>
      <c r="K170">
        <f t="shared" si="17"/>
        <v>0</v>
      </c>
      <c r="M170">
        <f>IF(ETR!A170&lt;=Initialisation!$C$24,Initialisation!$D$23,IF(ETR!A170&lt;=Initialisation!$C$25,Initialisation!$D$24,IF(ETR!A170&lt;=Initialisation!$C$26,Initialisation!$D$25,IF(ETR!A170&lt;=Initialisation!$C$27,Initialisation!$D$26,IF(ETR!A171&lt;=Initialisation!$C$28,Initialisation!$D$27,IF(ETR!A171&lt;=Initialisation!$C$29,Initialisation!$D$28,0))))))</f>
        <v>0.5</v>
      </c>
    </row>
    <row r="171" spans="1:13" x14ac:dyDescent="0.35">
      <c r="A171" s="5">
        <f>IF(MeteoJ!A171=$BP$5,A170,MeteoJ!A171)</f>
        <v>42144</v>
      </c>
      <c r="B171">
        <f>MeteoJ!D171</f>
        <v>0</v>
      </c>
      <c r="C171">
        <f t="shared" si="12"/>
        <v>0</v>
      </c>
      <c r="D171">
        <f>MeteoJ!B171</f>
        <v>0</v>
      </c>
      <c r="E171">
        <f t="shared" si="13"/>
        <v>0</v>
      </c>
      <c r="F171">
        <f t="shared" si="14"/>
        <v>0</v>
      </c>
      <c r="H171">
        <f>(1-Initialisation!$C$19/100)*C171</f>
        <v>0</v>
      </c>
      <c r="I171">
        <f t="shared" si="15"/>
        <v>0</v>
      </c>
      <c r="J171">
        <f t="shared" si="16"/>
        <v>0</v>
      </c>
      <c r="K171">
        <f t="shared" si="17"/>
        <v>0</v>
      </c>
      <c r="M171">
        <f>IF(ETR!A171&lt;=Initialisation!$C$24,Initialisation!$D$23,IF(ETR!A171&lt;=Initialisation!$C$25,Initialisation!$D$24,IF(ETR!A171&lt;=Initialisation!$C$26,Initialisation!$D$25,IF(ETR!A171&lt;=Initialisation!$C$27,Initialisation!$D$26,IF(ETR!A172&lt;=Initialisation!$C$28,Initialisation!$D$27,IF(ETR!A172&lt;=Initialisation!$C$29,Initialisation!$D$28,0))))))</f>
        <v>0.5</v>
      </c>
    </row>
    <row r="172" spans="1:13" x14ac:dyDescent="0.35">
      <c r="A172" s="5">
        <f>IF(MeteoJ!A172=$BP$5,A171,MeteoJ!A172)</f>
        <v>42144</v>
      </c>
      <c r="B172">
        <f>MeteoJ!D172</f>
        <v>0</v>
      </c>
      <c r="C172">
        <f t="shared" si="12"/>
        <v>0</v>
      </c>
      <c r="D172">
        <f>MeteoJ!B172</f>
        <v>0</v>
      </c>
      <c r="E172">
        <f t="shared" si="13"/>
        <v>0</v>
      </c>
      <c r="F172">
        <f t="shared" si="14"/>
        <v>0</v>
      </c>
      <c r="H172">
        <f>(1-Initialisation!$C$19/100)*C172</f>
        <v>0</v>
      </c>
      <c r="I172">
        <f t="shared" si="15"/>
        <v>0</v>
      </c>
      <c r="J172">
        <f t="shared" si="16"/>
        <v>0</v>
      </c>
      <c r="K172">
        <f t="shared" si="17"/>
        <v>0</v>
      </c>
      <c r="M172">
        <f>IF(ETR!A172&lt;=Initialisation!$C$24,Initialisation!$D$23,IF(ETR!A172&lt;=Initialisation!$C$25,Initialisation!$D$24,IF(ETR!A172&lt;=Initialisation!$C$26,Initialisation!$D$25,IF(ETR!A172&lt;=Initialisation!$C$27,Initialisation!$D$26,IF(ETR!A173&lt;=Initialisation!$C$28,Initialisation!$D$27,IF(ETR!A173&lt;=Initialisation!$C$29,Initialisation!$D$28,0))))))</f>
        <v>0.5</v>
      </c>
    </row>
    <row r="173" spans="1:13" x14ac:dyDescent="0.35">
      <c r="A173" s="5">
        <f>IF(MeteoJ!A173=$BP$5,A172,MeteoJ!A173)</f>
        <v>42144</v>
      </c>
      <c r="B173">
        <f>MeteoJ!D173</f>
        <v>0</v>
      </c>
      <c r="C173">
        <f t="shared" si="12"/>
        <v>0</v>
      </c>
      <c r="D173">
        <f>MeteoJ!B173</f>
        <v>0</v>
      </c>
      <c r="E173">
        <f t="shared" si="13"/>
        <v>0</v>
      </c>
      <c r="F173">
        <f t="shared" si="14"/>
        <v>0</v>
      </c>
      <c r="H173">
        <f>(1-Initialisation!$C$19/100)*C173</f>
        <v>0</v>
      </c>
      <c r="I173">
        <f t="shared" si="15"/>
        <v>0</v>
      </c>
      <c r="J173">
        <f t="shared" si="16"/>
        <v>0</v>
      </c>
      <c r="K173">
        <f t="shared" si="17"/>
        <v>0</v>
      </c>
      <c r="M173">
        <f>IF(ETR!A173&lt;=Initialisation!$C$24,Initialisation!$D$23,IF(ETR!A173&lt;=Initialisation!$C$25,Initialisation!$D$24,IF(ETR!A173&lt;=Initialisation!$C$26,Initialisation!$D$25,IF(ETR!A173&lt;=Initialisation!$C$27,Initialisation!$D$26,IF(ETR!A174&lt;=Initialisation!$C$28,Initialisation!$D$27,IF(ETR!A174&lt;=Initialisation!$C$29,Initialisation!$D$28,0))))))</f>
        <v>0.5</v>
      </c>
    </row>
    <row r="174" spans="1:13" x14ac:dyDescent="0.35">
      <c r="A174" s="5">
        <f>IF(MeteoJ!A174=$BP$5,A173,MeteoJ!A174)</f>
        <v>42144</v>
      </c>
      <c r="B174">
        <f>MeteoJ!D174</f>
        <v>0</v>
      </c>
      <c r="C174">
        <f t="shared" si="12"/>
        <v>0</v>
      </c>
      <c r="D174">
        <f>MeteoJ!B174</f>
        <v>0</v>
      </c>
      <c r="E174">
        <f t="shared" si="13"/>
        <v>0</v>
      </c>
      <c r="F174">
        <f t="shared" si="14"/>
        <v>0</v>
      </c>
      <c r="H174">
        <f>(1-Initialisation!$C$19/100)*C174</f>
        <v>0</v>
      </c>
      <c r="I174">
        <f t="shared" si="15"/>
        <v>0</v>
      </c>
      <c r="J174">
        <f t="shared" si="16"/>
        <v>0</v>
      </c>
      <c r="K174">
        <f t="shared" si="17"/>
        <v>0</v>
      </c>
      <c r="M174">
        <f>IF(ETR!A174&lt;=Initialisation!$C$24,Initialisation!$D$23,IF(ETR!A174&lt;=Initialisation!$C$25,Initialisation!$D$24,IF(ETR!A174&lt;=Initialisation!$C$26,Initialisation!$D$25,IF(ETR!A174&lt;=Initialisation!$C$27,Initialisation!$D$26,IF(ETR!A175&lt;=Initialisation!$C$28,Initialisation!$D$27,IF(ETR!A175&lt;=Initialisation!$C$29,Initialisation!$D$28,0))))))</f>
        <v>0.5</v>
      </c>
    </row>
    <row r="175" spans="1:13" x14ac:dyDescent="0.35">
      <c r="A175" s="5">
        <f>IF(MeteoJ!A175=$BP$5,A174,MeteoJ!A175)</f>
        <v>42144</v>
      </c>
      <c r="B175">
        <f>MeteoJ!D175</f>
        <v>0</v>
      </c>
      <c r="C175">
        <f t="shared" si="12"/>
        <v>0</v>
      </c>
      <c r="D175">
        <f>MeteoJ!B175</f>
        <v>0</v>
      </c>
      <c r="E175">
        <f t="shared" si="13"/>
        <v>0</v>
      </c>
      <c r="F175">
        <f t="shared" si="14"/>
        <v>0</v>
      </c>
      <c r="H175">
        <f>(1-Initialisation!$C$19/100)*C175</f>
        <v>0</v>
      </c>
      <c r="I175">
        <f t="shared" si="15"/>
        <v>0</v>
      </c>
      <c r="J175">
        <f t="shared" si="16"/>
        <v>0</v>
      </c>
      <c r="K175">
        <f t="shared" si="17"/>
        <v>0</v>
      </c>
      <c r="M175">
        <f>IF(ETR!A175&lt;=Initialisation!$C$24,Initialisation!$D$23,IF(ETR!A175&lt;=Initialisation!$C$25,Initialisation!$D$24,IF(ETR!A175&lt;=Initialisation!$C$26,Initialisation!$D$25,IF(ETR!A175&lt;=Initialisation!$C$27,Initialisation!$D$26,IF(ETR!A176&lt;=Initialisation!$C$28,Initialisation!$D$27,IF(ETR!A176&lt;=Initialisation!$C$29,Initialisation!$D$28,0))))))</f>
        <v>0.5</v>
      </c>
    </row>
    <row r="176" spans="1:13" x14ac:dyDescent="0.35">
      <c r="A176" s="5">
        <f>IF(MeteoJ!A176=$BP$5,A175,MeteoJ!A176)</f>
        <v>42144</v>
      </c>
      <c r="B176">
        <f>MeteoJ!D176</f>
        <v>0</v>
      </c>
      <c r="C176">
        <f t="shared" si="12"/>
        <v>0</v>
      </c>
      <c r="D176">
        <f>MeteoJ!B176</f>
        <v>0</v>
      </c>
      <c r="E176">
        <f t="shared" si="13"/>
        <v>0</v>
      </c>
      <c r="F176">
        <f t="shared" si="14"/>
        <v>0</v>
      </c>
      <c r="H176">
        <f>(1-Initialisation!$C$19/100)*C176</f>
        <v>0</v>
      </c>
      <c r="I176">
        <f t="shared" si="15"/>
        <v>0</v>
      </c>
      <c r="J176">
        <f t="shared" si="16"/>
        <v>0</v>
      </c>
      <c r="K176">
        <f t="shared" si="17"/>
        <v>0</v>
      </c>
      <c r="M176">
        <f>IF(ETR!A176&lt;=Initialisation!$C$24,Initialisation!$D$23,IF(ETR!A176&lt;=Initialisation!$C$25,Initialisation!$D$24,IF(ETR!A176&lt;=Initialisation!$C$26,Initialisation!$D$25,IF(ETR!A176&lt;=Initialisation!$C$27,Initialisation!$D$26,IF(ETR!A177&lt;=Initialisation!$C$28,Initialisation!$D$27,IF(ETR!A177&lt;=Initialisation!$C$29,Initialisation!$D$28,0))))))</f>
        <v>0.5</v>
      </c>
    </row>
    <row r="177" spans="1:13" x14ac:dyDescent="0.35">
      <c r="A177" s="5">
        <f>IF(MeteoJ!A177=$BP$5,A176,MeteoJ!A177)</f>
        <v>42144</v>
      </c>
      <c r="B177">
        <f>MeteoJ!D177</f>
        <v>0</v>
      </c>
      <c r="C177">
        <f t="shared" si="12"/>
        <v>0</v>
      </c>
      <c r="D177">
        <f>MeteoJ!B177</f>
        <v>0</v>
      </c>
      <c r="E177">
        <f t="shared" si="13"/>
        <v>0</v>
      </c>
      <c r="F177">
        <f t="shared" si="14"/>
        <v>0</v>
      </c>
      <c r="H177">
        <f>(1-Initialisation!$C$19/100)*C177</f>
        <v>0</v>
      </c>
      <c r="I177">
        <f t="shared" si="15"/>
        <v>0</v>
      </c>
      <c r="J177">
        <f t="shared" si="16"/>
        <v>0</v>
      </c>
      <c r="K177">
        <f t="shared" si="17"/>
        <v>0</v>
      </c>
      <c r="M177">
        <f>IF(ETR!A177&lt;=Initialisation!$C$24,Initialisation!$D$23,IF(ETR!A177&lt;=Initialisation!$C$25,Initialisation!$D$24,IF(ETR!A177&lt;=Initialisation!$C$26,Initialisation!$D$25,IF(ETR!A177&lt;=Initialisation!$C$27,Initialisation!$D$26,IF(ETR!A178&lt;=Initialisation!$C$28,Initialisation!$D$27,IF(ETR!A178&lt;=Initialisation!$C$29,Initialisation!$D$28,0))))))</f>
        <v>0.5</v>
      </c>
    </row>
    <row r="178" spans="1:13" x14ac:dyDescent="0.35">
      <c r="A178" s="5">
        <f>IF(MeteoJ!A178=$BP$5,A177,MeteoJ!A178)</f>
        <v>42144</v>
      </c>
      <c r="B178">
        <f>MeteoJ!D178</f>
        <v>0</v>
      </c>
      <c r="C178">
        <f t="shared" si="12"/>
        <v>0</v>
      </c>
      <c r="D178">
        <f>MeteoJ!B178</f>
        <v>0</v>
      </c>
      <c r="E178">
        <f t="shared" si="13"/>
        <v>0</v>
      </c>
      <c r="F178">
        <f t="shared" si="14"/>
        <v>0</v>
      </c>
      <c r="H178">
        <f>(1-Initialisation!$C$19/100)*C178</f>
        <v>0</v>
      </c>
      <c r="I178">
        <f t="shared" si="15"/>
        <v>0</v>
      </c>
      <c r="J178">
        <f t="shared" si="16"/>
        <v>0</v>
      </c>
      <c r="K178">
        <f t="shared" si="17"/>
        <v>0</v>
      </c>
      <c r="M178">
        <f>IF(ETR!A178&lt;=Initialisation!$C$24,Initialisation!$D$23,IF(ETR!A178&lt;=Initialisation!$C$25,Initialisation!$D$24,IF(ETR!A178&lt;=Initialisation!$C$26,Initialisation!$D$25,IF(ETR!A178&lt;=Initialisation!$C$27,Initialisation!$D$26,IF(ETR!A179&lt;=Initialisation!$C$28,Initialisation!$D$27,IF(ETR!A179&lt;=Initialisation!$C$29,Initialisation!$D$28,0))))))</f>
        <v>0.5</v>
      </c>
    </row>
    <row r="179" spans="1:13" x14ac:dyDescent="0.35">
      <c r="A179" s="5">
        <f>IF(MeteoJ!A179=$BP$5,A178,MeteoJ!A179)</f>
        <v>42144</v>
      </c>
      <c r="B179">
        <f>MeteoJ!D179</f>
        <v>0</v>
      </c>
      <c r="C179">
        <f t="shared" si="12"/>
        <v>0</v>
      </c>
      <c r="D179">
        <f>MeteoJ!B179</f>
        <v>0</v>
      </c>
      <c r="E179">
        <f t="shared" si="13"/>
        <v>0</v>
      </c>
      <c r="F179">
        <f t="shared" si="14"/>
        <v>0</v>
      </c>
      <c r="H179">
        <f>(1-Initialisation!$C$19/100)*C179</f>
        <v>0</v>
      </c>
      <c r="I179">
        <f t="shared" si="15"/>
        <v>0</v>
      </c>
      <c r="J179">
        <f t="shared" si="16"/>
        <v>0</v>
      </c>
      <c r="K179">
        <f t="shared" si="17"/>
        <v>0</v>
      </c>
      <c r="M179">
        <f>IF(ETR!A179&lt;=Initialisation!$C$24,Initialisation!$D$23,IF(ETR!A179&lt;=Initialisation!$C$25,Initialisation!$D$24,IF(ETR!A179&lt;=Initialisation!$C$26,Initialisation!$D$25,IF(ETR!A179&lt;=Initialisation!$C$27,Initialisation!$D$26,IF(ETR!A180&lt;=Initialisation!$C$28,Initialisation!$D$27,IF(ETR!A180&lt;=Initialisation!$C$29,Initialisation!$D$28,0))))))</f>
        <v>0.5</v>
      </c>
    </row>
    <row r="180" spans="1:13" x14ac:dyDescent="0.35">
      <c r="A180" s="5">
        <f>IF(MeteoJ!A180=$BP$5,A179,MeteoJ!A180)</f>
        <v>42144</v>
      </c>
      <c r="B180">
        <f>MeteoJ!D180</f>
        <v>0</v>
      </c>
      <c r="C180">
        <f t="shared" si="12"/>
        <v>0</v>
      </c>
      <c r="D180">
        <f>MeteoJ!B180</f>
        <v>0</v>
      </c>
      <c r="E180">
        <f t="shared" si="13"/>
        <v>0</v>
      </c>
      <c r="F180">
        <f t="shared" si="14"/>
        <v>0</v>
      </c>
      <c r="H180">
        <f>(1-Initialisation!$C$19/100)*C180</f>
        <v>0</v>
      </c>
      <c r="I180">
        <f t="shared" si="15"/>
        <v>0</v>
      </c>
      <c r="J180">
        <f t="shared" si="16"/>
        <v>0</v>
      </c>
      <c r="K180">
        <f t="shared" si="17"/>
        <v>0</v>
      </c>
      <c r="M180">
        <f>IF(ETR!A180&lt;=Initialisation!$C$24,Initialisation!$D$23,IF(ETR!A180&lt;=Initialisation!$C$25,Initialisation!$D$24,IF(ETR!A180&lt;=Initialisation!$C$26,Initialisation!$D$25,IF(ETR!A180&lt;=Initialisation!$C$27,Initialisation!$D$26,IF(ETR!A181&lt;=Initialisation!$C$28,Initialisation!$D$27,IF(ETR!A181&lt;=Initialisation!$C$29,Initialisation!$D$28,0))))))</f>
        <v>0.5</v>
      </c>
    </row>
    <row r="181" spans="1:13" x14ac:dyDescent="0.35">
      <c r="A181" s="5">
        <f>IF(MeteoJ!A181=$BP$5,A180,MeteoJ!A181)</f>
        <v>42144</v>
      </c>
      <c r="B181">
        <f>MeteoJ!D181</f>
        <v>0</v>
      </c>
      <c r="C181">
        <f t="shared" si="12"/>
        <v>0</v>
      </c>
      <c r="D181">
        <f>MeteoJ!B181</f>
        <v>0</v>
      </c>
      <c r="E181">
        <f t="shared" si="13"/>
        <v>0</v>
      </c>
      <c r="F181">
        <f t="shared" si="14"/>
        <v>0</v>
      </c>
      <c r="H181">
        <f>(1-Initialisation!$C$19/100)*C181</f>
        <v>0</v>
      </c>
      <c r="I181">
        <f t="shared" si="15"/>
        <v>0</v>
      </c>
      <c r="J181">
        <f t="shared" si="16"/>
        <v>0</v>
      </c>
      <c r="K181">
        <f t="shared" si="17"/>
        <v>0</v>
      </c>
      <c r="M181">
        <f>IF(ETR!A181&lt;=Initialisation!$C$24,Initialisation!$D$23,IF(ETR!A181&lt;=Initialisation!$C$25,Initialisation!$D$24,IF(ETR!A181&lt;=Initialisation!$C$26,Initialisation!$D$25,IF(ETR!A181&lt;=Initialisation!$C$27,Initialisation!$D$26,IF(ETR!A182&lt;=Initialisation!$C$28,Initialisation!$D$27,IF(ETR!A182&lt;=Initialisation!$C$29,Initialisation!$D$28,0))))))</f>
        <v>0.5</v>
      </c>
    </row>
    <row r="182" spans="1:13" x14ac:dyDescent="0.35">
      <c r="A182" s="5">
        <f>IF(MeteoJ!A182=$BP$5,A181,MeteoJ!A182)</f>
        <v>42144</v>
      </c>
      <c r="B182">
        <f>MeteoJ!D182</f>
        <v>0</v>
      </c>
      <c r="C182">
        <f t="shared" si="12"/>
        <v>0</v>
      </c>
      <c r="D182">
        <f>MeteoJ!B182</f>
        <v>0</v>
      </c>
      <c r="E182">
        <f t="shared" si="13"/>
        <v>0</v>
      </c>
      <c r="F182">
        <f t="shared" si="14"/>
        <v>0</v>
      </c>
      <c r="H182">
        <f>(1-Initialisation!$C$19/100)*C182</f>
        <v>0</v>
      </c>
      <c r="I182">
        <f t="shared" si="15"/>
        <v>0</v>
      </c>
      <c r="J182">
        <f t="shared" si="16"/>
        <v>0</v>
      </c>
      <c r="K182">
        <f t="shared" si="17"/>
        <v>0</v>
      </c>
      <c r="M182">
        <f>IF(ETR!A182&lt;=Initialisation!$C$24,Initialisation!$D$23,IF(ETR!A182&lt;=Initialisation!$C$25,Initialisation!$D$24,IF(ETR!A182&lt;=Initialisation!$C$26,Initialisation!$D$25,IF(ETR!A182&lt;=Initialisation!$C$27,Initialisation!$D$26,IF(ETR!A183&lt;=Initialisation!$C$28,Initialisation!$D$27,IF(ETR!A183&lt;=Initialisation!$C$29,Initialisation!$D$28,0))))))</f>
        <v>0.5</v>
      </c>
    </row>
    <row r="183" spans="1:13" x14ac:dyDescent="0.35">
      <c r="A183" s="5">
        <f>IF(MeteoJ!A183=$BP$5,A182,MeteoJ!A183)</f>
        <v>42144</v>
      </c>
      <c r="B183">
        <f>MeteoJ!D183</f>
        <v>0</v>
      </c>
      <c r="C183">
        <f t="shared" si="12"/>
        <v>0</v>
      </c>
      <c r="D183">
        <f>MeteoJ!B183</f>
        <v>0</v>
      </c>
      <c r="E183">
        <f t="shared" si="13"/>
        <v>0</v>
      </c>
      <c r="F183">
        <f t="shared" si="14"/>
        <v>0</v>
      </c>
      <c r="H183">
        <f>(1-Initialisation!$C$19/100)*C183</f>
        <v>0</v>
      </c>
      <c r="I183">
        <f t="shared" si="15"/>
        <v>0</v>
      </c>
      <c r="J183">
        <f t="shared" si="16"/>
        <v>0</v>
      </c>
      <c r="K183">
        <f t="shared" si="17"/>
        <v>0</v>
      </c>
      <c r="M183">
        <f>IF(ETR!A183&lt;=Initialisation!$C$24,Initialisation!$D$23,IF(ETR!A183&lt;=Initialisation!$C$25,Initialisation!$D$24,IF(ETR!A183&lt;=Initialisation!$C$26,Initialisation!$D$25,IF(ETR!A183&lt;=Initialisation!$C$27,Initialisation!$D$26,IF(ETR!A184&lt;=Initialisation!$C$28,Initialisation!$D$27,IF(ETR!A184&lt;=Initialisation!$C$29,Initialisation!$D$28,0))))))</f>
        <v>0.5</v>
      </c>
    </row>
    <row r="184" spans="1:13" x14ac:dyDescent="0.35">
      <c r="A184" s="5">
        <f>IF(MeteoJ!A184=$BP$5,A183,MeteoJ!A184)</f>
        <v>42144</v>
      </c>
      <c r="B184">
        <f>MeteoJ!D184</f>
        <v>0</v>
      </c>
      <c r="C184">
        <f t="shared" si="12"/>
        <v>0</v>
      </c>
      <c r="D184">
        <f>MeteoJ!B184</f>
        <v>0</v>
      </c>
      <c r="E184">
        <f t="shared" si="13"/>
        <v>0</v>
      </c>
      <c r="F184">
        <f t="shared" si="14"/>
        <v>0</v>
      </c>
      <c r="H184">
        <f>(1-Initialisation!$C$19/100)*C184</f>
        <v>0</v>
      </c>
      <c r="I184">
        <f t="shared" si="15"/>
        <v>0</v>
      </c>
      <c r="J184">
        <f t="shared" si="16"/>
        <v>0</v>
      </c>
      <c r="K184">
        <f t="shared" si="17"/>
        <v>0</v>
      </c>
      <c r="M184">
        <f>IF(ETR!A184&lt;=Initialisation!$C$24,Initialisation!$D$23,IF(ETR!A184&lt;=Initialisation!$C$25,Initialisation!$D$24,IF(ETR!A184&lt;=Initialisation!$C$26,Initialisation!$D$25,IF(ETR!A184&lt;=Initialisation!$C$27,Initialisation!$D$26,IF(ETR!A185&lt;=Initialisation!$C$28,Initialisation!$D$27,IF(ETR!A185&lt;=Initialisation!$C$29,Initialisation!$D$28,0))))))</f>
        <v>0.5</v>
      </c>
    </row>
    <row r="185" spans="1:13" x14ac:dyDescent="0.35">
      <c r="A185" s="5">
        <f>IF(MeteoJ!A185=$BP$5,A184,MeteoJ!A185)</f>
        <v>42144</v>
      </c>
      <c r="B185">
        <f>MeteoJ!D185</f>
        <v>0</v>
      </c>
      <c r="C185">
        <f t="shared" si="12"/>
        <v>0</v>
      </c>
      <c r="D185">
        <f>MeteoJ!B185</f>
        <v>0</v>
      </c>
      <c r="E185">
        <f t="shared" si="13"/>
        <v>0</v>
      </c>
      <c r="F185">
        <f t="shared" si="14"/>
        <v>0</v>
      </c>
      <c r="H185">
        <f>(1-Initialisation!$C$19/100)*C185</f>
        <v>0</v>
      </c>
      <c r="I185">
        <f t="shared" si="15"/>
        <v>0</v>
      </c>
      <c r="J185">
        <f t="shared" si="16"/>
        <v>0</v>
      </c>
      <c r="K185">
        <f t="shared" si="17"/>
        <v>0</v>
      </c>
      <c r="M185">
        <f>IF(ETR!A185&lt;=Initialisation!$C$24,Initialisation!$D$23,IF(ETR!A185&lt;=Initialisation!$C$25,Initialisation!$D$24,IF(ETR!A185&lt;=Initialisation!$C$26,Initialisation!$D$25,IF(ETR!A185&lt;=Initialisation!$C$27,Initialisation!$D$26,IF(ETR!A186&lt;=Initialisation!$C$28,Initialisation!$D$27,IF(ETR!A186&lt;=Initialisation!$C$29,Initialisation!$D$28,0))))))</f>
        <v>0.5</v>
      </c>
    </row>
    <row r="186" spans="1:13" x14ac:dyDescent="0.35">
      <c r="A186" s="5">
        <f>IF(MeteoJ!A186=$BP$5,A185,MeteoJ!A186)</f>
        <v>42144</v>
      </c>
      <c r="B186">
        <f>MeteoJ!D186</f>
        <v>0</v>
      </c>
      <c r="C186">
        <f t="shared" si="12"/>
        <v>0</v>
      </c>
      <c r="D186">
        <f>MeteoJ!B186</f>
        <v>0</v>
      </c>
      <c r="E186">
        <f t="shared" si="13"/>
        <v>0</v>
      </c>
      <c r="F186">
        <f t="shared" si="14"/>
        <v>0</v>
      </c>
      <c r="H186">
        <f>(1-Initialisation!$C$19/100)*C186</f>
        <v>0</v>
      </c>
      <c r="I186">
        <f t="shared" si="15"/>
        <v>0</v>
      </c>
      <c r="J186">
        <f t="shared" si="16"/>
        <v>0</v>
      </c>
      <c r="K186">
        <f t="shared" si="17"/>
        <v>0</v>
      </c>
      <c r="M186">
        <f>IF(ETR!A186&lt;=Initialisation!$C$24,Initialisation!$D$23,IF(ETR!A186&lt;=Initialisation!$C$25,Initialisation!$D$24,IF(ETR!A186&lt;=Initialisation!$C$26,Initialisation!$D$25,IF(ETR!A186&lt;=Initialisation!$C$27,Initialisation!$D$26,IF(ETR!A187&lt;=Initialisation!$C$28,Initialisation!$D$27,IF(ETR!A187&lt;=Initialisation!$C$29,Initialisation!$D$28,0))))))</f>
        <v>0.5</v>
      </c>
    </row>
    <row r="187" spans="1:13" x14ac:dyDescent="0.35">
      <c r="A187" s="5">
        <f>IF(MeteoJ!A187=$BP$5,A186,MeteoJ!A187)</f>
        <v>42144</v>
      </c>
      <c r="B187">
        <f>MeteoJ!D187</f>
        <v>0</v>
      </c>
      <c r="C187">
        <f t="shared" si="12"/>
        <v>0</v>
      </c>
      <c r="D187">
        <f>MeteoJ!B187</f>
        <v>0</v>
      </c>
      <c r="E187">
        <f t="shared" si="13"/>
        <v>0</v>
      </c>
      <c r="F187">
        <f t="shared" si="14"/>
        <v>0</v>
      </c>
      <c r="H187">
        <f>(1-Initialisation!$C$19/100)*C187</f>
        <v>0</v>
      </c>
      <c r="I187">
        <f t="shared" si="15"/>
        <v>0</v>
      </c>
      <c r="J187">
        <f t="shared" si="16"/>
        <v>0</v>
      </c>
      <c r="K187">
        <f t="shared" si="17"/>
        <v>0</v>
      </c>
      <c r="M187">
        <f>IF(ETR!A187&lt;=Initialisation!$C$24,Initialisation!$D$23,IF(ETR!A187&lt;=Initialisation!$C$25,Initialisation!$D$24,IF(ETR!A187&lt;=Initialisation!$C$26,Initialisation!$D$25,IF(ETR!A187&lt;=Initialisation!$C$27,Initialisation!$D$26,IF(ETR!A188&lt;=Initialisation!$C$28,Initialisation!$D$27,IF(ETR!A188&lt;=Initialisation!$C$29,Initialisation!$D$28,0))))))</f>
        <v>0.5</v>
      </c>
    </row>
    <row r="188" spans="1:13" x14ac:dyDescent="0.35">
      <c r="A188" s="5">
        <f>IF(MeteoJ!A188=$BP$5,A187,MeteoJ!A188)</f>
        <v>42144</v>
      </c>
      <c r="B188">
        <f>MeteoJ!D188</f>
        <v>0</v>
      </c>
      <c r="C188">
        <f t="shared" si="12"/>
        <v>0</v>
      </c>
      <c r="D188">
        <f>MeteoJ!B188</f>
        <v>0</v>
      </c>
      <c r="E188">
        <f t="shared" si="13"/>
        <v>0</v>
      </c>
      <c r="F188">
        <f t="shared" si="14"/>
        <v>0</v>
      </c>
      <c r="H188">
        <f>(1-Initialisation!$C$19/100)*C188</f>
        <v>0</v>
      </c>
      <c r="I188">
        <f t="shared" si="15"/>
        <v>0</v>
      </c>
      <c r="J188">
        <f t="shared" si="16"/>
        <v>0</v>
      </c>
      <c r="K188">
        <f t="shared" si="17"/>
        <v>0</v>
      </c>
      <c r="M188">
        <f>IF(ETR!A188&lt;=Initialisation!$C$24,Initialisation!$D$23,IF(ETR!A188&lt;=Initialisation!$C$25,Initialisation!$D$24,IF(ETR!A188&lt;=Initialisation!$C$26,Initialisation!$D$25,IF(ETR!A188&lt;=Initialisation!$C$27,Initialisation!$D$26,IF(ETR!A189&lt;=Initialisation!$C$28,Initialisation!$D$27,IF(ETR!A189&lt;=Initialisation!$C$29,Initialisation!$D$28,0))))))</f>
        <v>0.5</v>
      </c>
    </row>
    <row r="189" spans="1:13" x14ac:dyDescent="0.35">
      <c r="A189" s="5">
        <f>IF(MeteoJ!A189=$BP$5,A188,MeteoJ!A189)</f>
        <v>42144</v>
      </c>
      <c r="B189">
        <f>MeteoJ!D189</f>
        <v>0</v>
      </c>
      <c r="C189">
        <f t="shared" si="12"/>
        <v>0</v>
      </c>
      <c r="D189">
        <f>MeteoJ!B189</f>
        <v>0</v>
      </c>
      <c r="E189">
        <f t="shared" si="13"/>
        <v>0</v>
      </c>
      <c r="F189">
        <f t="shared" si="14"/>
        <v>0</v>
      </c>
      <c r="H189">
        <f>(1-Initialisation!$C$19/100)*C189</f>
        <v>0</v>
      </c>
      <c r="I189">
        <f t="shared" si="15"/>
        <v>0</v>
      </c>
      <c r="J189">
        <f t="shared" si="16"/>
        <v>0</v>
      </c>
      <c r="K189">
        <f t="shared" si="17"/>
        <v>0</v>
      </c>
      <c r="M189">
        <f>IF(ETR!A189&lt;=Initialisation!$C$24,Initialisation!$D$23,IF(ETR!A189&lt;=Initialisation!$C$25,Initialisation!$D$24,IF(ETR!A189&lt;=Initialisation!$C$26,Initialisation!$D$25,IF(ETR!A189&lt;=Initialisation!$C$27,Initialisation!$D$26,IF(ETR!A190&lt;=Initialisation!$C$28,Initialisation!$D$27,IF(ETR!A190&lt;=Initialisation!$C$29,Initialisation!$D$28,0))))))</f>
        <v>0.5</v>
      </c>
    </row>
    <row r="190" spans="1:13" x14ac:dyDescent="0.35">
      <c r="A190" s="5">
        <f>IF(MeteoJ!A190=$BP$5,A189,MeteoJ!A190)</f>
        <v>42144</v>
      </c>
      <c r="B190">
        <f>MeteoJ!D190</f>
        <v>0</v>
      </c>
      <c r="C190">
        <f t="shared" si="12"/>
        <v>0</v>
      </c>
      <c r="D190">
        <f>MeteoJ!B190</f>
        <v>0</v>
      </c>
      <c r="E190">
        <f t="shared" si="13"/>
        <v>0</v>
      </c>
      <c r="F190">
        <f t="shared" si="14"/>
        <v>0</v>
      </c>
      <c r="H190">
        <f>(1-Initialisation!$C$19/100)*C190</f>
        <v>0</v>
      </c>
      <c r="I190">
        <f t="shared" si="15"/>
        <v>0</v>
      </c>
      <c r="J190">
        <f t="shared" si="16"/>
        <v>0</v>
      </c>
      <c r="K190">
        <f t="shared" si="17"/>
        <v>0</v>
      </c>
      <c r="M190">
        <f>IF(ETR!A190&lt;=Initialisation!$C$24,Initialisation!$D$23,IF(ETR!A190&lt;=Initialisation!$C$25,Initialisation!$D$24,IF(ETR!A190&lt;=Initialisation!$C$26,Initialisation!$D$25,IF(ETR!A190&lt;=Initialisation!$C$27,Initialisation!$D$26,IF(ETR!A191&lt;=Initialisation!$C$28,Initialisation!$D$27,IF(ETR!A191&lt;=Initialisation!$C$29,Initialisation!$D$28,0))))))</f>
        <v>0.5</v>
      </c>
    </row>
    <row r="191" spans="1:13" x14ac:dyDescent="0.35">
      <c r="A191" s="5">
        <f>IF(MeteoJ!A191=$BP$5,A190,MeteoJ!A191)</f>
        <v>42144</v>
      </c>
      <c r="B191">
        <f>MeteoJ!D191</f>
        <v>0</v>
      </c>
      <c r="C191">
        <f t="shared" si="12"/>
        <v>0</v>
      </c>
      <c r="D191">
        <f>MeteoJ!B191</f>
        <v>0</v>
      </c>
      <c r="E191">
        <f t="shared" si="13"/>
        <v>0</v>
      </c>
      <c r="F191">
        <f t="shared" si="14"/>
        <v>0</v>
      </c>
      <c r="H191">
        <f>(1-Initialisation!$C$19/100)*C191</f>
        <v>0</v>
      </c>
      <c r="I191">
        <f t="shared" si="15"/>
        <v>0</v>
      </c>
      <c r="J191">
        <f t="shared" si="16"/>
        <v>0</v>
      </c>
      <c r="K191">
        <f t="shared" si="17"/>
        <v>0</v>
      </c>
      <c r="M191">
        <f>IF(ETR!A191&lt;=Initialisation!$C$24,Initialisation!$D$23,IF(ETR!A191&lt;=Initialisation!$C$25,Initialisation!$D$24,IF(ETR!A191&lt;=Initialisation!$C$26,Initialisation!$D$25,IF(ETR!A191&lt;=Initialisation!$C$27,Initialisation!$D$26,IF(ETR!A192&lt;=Initialisation!$C$28,Initialisation!$D$27,IF(ETR!A192&lt;=Initialisation!$C$29,Initialisation!$D$28,0))))))</f>
        <v>0.5</v>
      </c>
    </row>
    <row r="192" spans="1:13" x14ac:dyDescent="0.35">
      <c r="A192" s="5">
        <f>IF(MeteoJ!A192=$BP$5,A191,MeteoJ!A192)</f>
        <v>42144</v>
      </c>
      <c r="B192">
        <f>MeteoJ!D192</f>
        <v>0</v>
      </c>
      <c r="C192">
        <f t="shared" si="12"/>
        <v>0</v>
      </c>
      <c r="D192">
        <f>MeteoJ!B192</f>
        <v>0</v>
      </c>
      <c r="E192">
        <f t="shared" si="13"/>
        <v>0</v>
      </c>
      <c r="F192">
        <f t="shared" si="14"/>
        <v>0</v>
      </c>
      <c r="H192">
        <f>(1-Initialisation!$C$19/100)*C192</f>
        <v>0</v>
      </c>
      <c r="I192">
        <f t="shared" si="15"/>
        <v>0</v>
      </c>
      <c r="J192">
        <f t="shared" si="16"/>
        <v>0</v>
      </c>
      <c r="K192">
        <f t="shared" si="17"/>
        <v>0</v>
      </c>
      <c r="M192">
        <f>IF(ETR!A192&lt;=Initialisation!$C$24,Initialisation!$D$23,IF(ETR!A192&lt;=Initialisation!$C$25,Initialisation!$D$24,IF(ETR!A192&lt;=Initialisation!$C$26,Initialisation!$D$25,IF(ETR!A192&lt;=Initialisation!$C$27,Initialisation!$D$26,IF(ETR!A193&lt;=Initialisation!$C$28,Initialisation!$D$27,IF(ETR!A193&lt;=Initialisation!$C$29,Initialisation!$D$28,0))))))</f>
        <v>0.5</v>
      </c>
    </row>
    <row r="193" spans="1:13" x14ac:dyDescent="0.35">
      <c r="A193" s="5">
        <f>IF(MeteoJ!A193=$BP$5,A192,MeteoJ!A193)</f>
        <v>42144</v>
      </c>
      <c r="B193">
        <f>MeteoJ!D193</f>
        <v>0</v>
      </c>
      <c r="C193">
        <f t="shared" si="12"/>
        <v>0</v>
      </c>
      <c r="D193">
        <f>MeteoJ!B193</f>
        <v>0</v>
      </c>
      <c r="E193">
        <f t="shared" si="13"/>
        <v>0</v>
      </c>
      <c r="F193">
        <f t="shared" si="14"/>
        <v>0</v>
      </c>
      <c r="H193">
        <f>(1-Initialisation!$C$19/100)*C193</f>
        <v>0</v>
      </c>
      <c r="I193">
        <f t="shared" si="15"/>
        <v>0</v>
      </c>
      <c r="J193">
        <f t="shared" si="16"/>
        <v>0</v>
      </c>
      <c r="K193">
        <f t="shared" si="17"/>
        <v>0</v>
      </c>
      <c r="M193">
        <f>IF(ETR!A193&lt;=Initialisation!$C$24,Initialisation!$D$23,IF(ETR!A193&lt;=Initialisation!$C$25,Initialisation!$D$24,IF(ETR!A193&lt;=Initialisation!$C$26,Initialisation!$D$25,IF(ETR!A193&lt;=Initialisation!$C$27,Initialisation!$D$26,IF(ETR!A194&lt;=Initialisation!$C$28,Initialisation!$D$27,IF(ETR!A194&lt;=Initialisation!$C$29,Initialisation!$D$28,0))))))</f>
        <v>0.5</v>
      </c>
    </row>
    <row r="194" spans="1:13" x14ac:dyDescent="0.35">
      <c r="A194" s="5">
        <f>IF(MeteoJ!A194=$BP$5,A193,MeteoJ!A194)</f>
        <v>42144</v>
      </c>
      <c r="B194">
        <f>MeteoJ!D194</f>
        <v>0</v>
      </c>
      <c r="C194">
        <f t="shared" si="12"/>
        <v>0</v>
      </c>
      <c r="D194">
        <f>MeteoJ!B194</f>
        <v>0</v>
      </c>
      <c r="E194">
        <f t="shared" si="13"/>
        <v>0</v>
      </c>
      <c r="F194">
        <f t="shared" si="14"/>
        <v>0</v>
      </c>
      <c r="H194">
        <f>(1-Initialisation!$C$19/100)*C194</f>
        <v>0</v>
      </c>
      <c r="I194">
        <f t="shared" si="15"/>
        <v>0</v>
      </c>
      <c r="J194">
        <f t="shared" si="16"/>
        <v>0</v>
      </c>
      <c r="K194">
        <f t="shared" si="17"/>
        <v>0</v>
      </c>
      <c r="M194">
        <f>IF(ETR!A194&lt;=Initialisation!$C$24,Initialisation!$D$23,IF(ETR!A194&lt;=Initialisation!$C$25,Initialisation!$D$24,IF(ETR!A194&lt;=Initialisation!$C$26,Initialisation!$D$25,IF(ETR!A194&lt;=Initialisation!$C$27,Initialisation!$D$26,IF(ETR!A195&lt;=Initialisation!$C$28,Initialisation!$D$27,IF(ETR!A195&lt;=Initialisation!$C$29,Initialisation!$D$28,0))))))</f>
        <v>0.5</v>
      </c>
    </row>
    <row r="195" spans="1:13" x14ac:dyDescent="0.35">
      <c r="A195" s="5">
        <f>IF(MeteoJ!A195=$BP$5,A194,MeteoJ!A195)</f>
        <v>42144</v>
      </c>
      <c r="B195">
        <f>MeteoJ!D195</f>
        <v>0</v>
      </c>
      <c r="C195">
        <f t="shared" ref="C195:C258" si="18">B195*0.000023885*3600</f>
        <v>0</v>
      </c>
      <c r="D195">
        <f>MeteoJ!B195</f>
        <v>0</v>
      </c>
      <c r="E195">
        <f t="shared" ref="E195:E258" si="19">0.013*1*(C195+50)*D195/(D195+15)</f>
        <v>0</v>
      </c>
      <c r="F195">
        <f t="shared" ref="F195:F258" si="20">E195*M195</f>
        <v>0</v>
      </c>
      <c r="H195">
        <f>(1-Initialisation!$C$19/100)*C195</f>
        <v>0</v>
      </c>
      <c r="I195">
        <f t="shared" ref="I195:I258" si="21">D195</f>
        <v>0</v>
      </c>
      <c r="J195">
        <f t="shared" ref="J195:J258" si="22">0.013*1*(H195+50)*I195/(I195+15)</f>
        <v>0</v>
      </c>
      <c r="K195">
        <f t="shared" ref="K195:K258" si="23">J195*M195</f>
        <v>0</v>
      </c>
      <c r="M195">
        <f>IF(ETR!A195&lt;=Initialisation!$C$24,Initialisation!$D$23,IF(ETR!A195&lt;=Initialisation!$C$25,Initialisation!$D$24,IF(ETR!A195&lt;=Initialisation!$C$26,Initialisation!$D$25,IF(ETR!A195&lt;=Initialisation!$C$27,Initialisation!$D$26,IF(ETR!A196&lt;=Initialisation!$C$28,Initialisation!$D$27,IF(ETR!A196&lt;=Initialisation!$C$29,Initialisation!$D$28,0))))))</f>
        <v>0.5</v>
      </c>
    </row>
    <row r="196" spans="1:13" x14ac:dyDescent="0.35">
      <c r="A196" s="5">
        <f>IF(MeteoJ!A196=$BP$5,A195,MeteoJ!A196)</f>
        <v>42144</v>
      </c>
      <c r="B196">
        <f>MeteoJ!D196</f>
        <v>0</v>
      </c>
      <c r="C196">
        <f t="shared" si="18"/>
        <v>0</v>
      </c>
      <c r="D196">
        <f>MeteoJ!B196</f>
        <v>0</v>
      </c>
      <c r="E196">
        <f t="shared" si="19"/>
        <v>0</v>
      </c>
      <c r="F196">
        <f t="shared" si="20"/>
        <v>0</v>
      </c>
      <c r="H196">
        <f>(1-Initialisation!$C$19/100)*C196</f>
        <v>0</v>
      </c>
      <c r="I196">
        <f t="shared" si="21"/>
        <v>0</v>
      </c>
      <c r="J196">
        <f t="shared" si="22"/>
        <v>0</v>
      </c>
      <c r="K196">
        <f t="shared" si="23"/>
        <v>0</v>
      </c>
      <c r="M196">
        <f>IF(ETR!A196&lt;=Initialisation!$C$24,Initialisation!$D$23,IF(ETR!A196&lt;=Initialisation!$C$25,Initialisation!$D$24,IF(ETR!A196&lt;=Initialisation!$C$26,Initialisation!$D$25,IF(ETR!A196&lt;=Initialisation!$C$27,Initialisation!$D$26,IF(ETR!A197&lt;=Initialisation!$C$28,Initialisation!$D$27,IF(ETR!A197&lt;=Initialisation!$C$29,Initialisation!$D$28,0))))))</f>
        <v>0.5</v>
      </c>
    </row>
    <row r="197" spans="1:13" x14ac:dyDescent="0.35">
      <c r="A197" s="5">
        <f>IF(MeteoJ!A197=$BP$5,A196,MeteoJ!A197)</f>
        <v>42144</v>
      </c>
      <c r="B197">
        <f>MeteoJ!D197</f>
        <v>0</v>
      </c>
      <c r="C197">
        <f t="shared" si="18"/>
        <v>0</v>
      </c>
      <c r="D197">
        <f>MeteoJ!B197</f>
        <v>0</v>
      </c>
      <c r="E197">
        <f t="shared" si="19"/>
        <v>0</v>
      </c>
      <c r="F197">
        <f t="shared" si="20"/>
        <v>0</v>
      </c>
      <c r="H197">
        <f>(1-Initialisation!$C$19/100)*C197</f>
        <v>0</v>
      </c>
      <c r="I197">
        <f t="shared" si="21"/>
        <v>0</v>
      </c>
      <c r="J197">
        <f t="shared" si="22"/>
        <v>0</v>
      </c>
      <c r="K197">
        <f t="shared" si="23"/>
        <v>0</v>
      </c>
      <c r="M197">
        <f>IF(ETR!A197&lt;=Initialisation!$C$24,Initialisation!$D$23,IF(ETR!A197&lt;=Initialisation!$C$25,Initialisation!$D$24,IF(ETR!A197&lt;=Initialisation!$C$26,Initialisation!$D$25,IF(ETR!A197&lt;=Initialisation!$C$27,Initialisation!$D$26,IF(ETR!A198&lt;=Initialisation!$C$28,Initialisation!$D$27,IF(ETR!A198&lt;=Initialisation!$C$29,Initialisation!$D$28,0))))))</f>
        <v>0.5</v>
      </c>
    </row>
    <row r="198" spans="1:13" x14ac:dyDescent="0.35">
      <c r="A198" s="5">
        <f>IF(MeteoJ!A198=$BP$5,A197,MeteoJ!A198)</f>
        <v>42144</v>
      </c>
      <c r="B198">
        <f>MeteoJ!D198</f>
        <v>0</v>
      </c>
      <c r="C198">
        <f t="shared" si="18"/>
        <v>0</v>
      </c>
      <c r="D198">
        <f>MeteoJ!B198</f>
        <v>0</v>
      </c>
      <c r="E198">
        <f t="shared" si="19"/>
        <v>0</v>
      </c>
      <c r="F198">
        <f t="shared" si="20"/>
        <v>0</v>
      </c>
      <c r="H198">
        <f>(1-Initialisation!$C$19/100)*C198</f>
        <v>0</v>
      </c>
      <c r="I198">
        <f t="shared" si="21"/>
        <v>0</v>
      </c>
      <c r="J198">
        <f t="shared" si="22"/>
        <v>0</v>
      </c>
      <c r="K198">
        <f t="shared" si="23"/>
        <v>0</v>
      </c>
      <c r="M198">
        <f>IF(ETR!A198&lt;=Initialisation!$C$24,Initialisation!$D$23,IF(ETR!A198&lt;=Initialisation!$C$25,Initialisation!$D$24,IF(ETR!A198&lt;=Initialisation!$C$26,Initialisation!$D$25,IF(ETR!A198&lt;=Initialisation!$C$27,Initialisation!$D$26,IF(ETR!A199&lt;=Initialisation!$C$28,Initialisation!$D$27,IF(ETR!A199&lt;=Initialisation!$C$29,Initialisation!$D$28,0))))))</f>
        <v>0.5</v>
      </c>
    </row>
    <row r="199" spans="1:13" x14ac:dyDescent="0.35">
      <c r="A199" s="5">
        <f>IF(MeteoJ!A199=$BP$5,A198,MeteoJ!A199)</f>
        <v>42144</v>
      </c>
      <c r="B199">
        <f>MeteoJ!D199</f>
        <v>0</v>
      </c>
      <c r="C199">
        <f t="shared" si="18"/>
        <v>0</v>
      </c>
      <c r="D199">
        <f>MeteoJ!B199</f>
        <v>0</v>
      </c>
      <c r="E199">
        <f t="shared" si="19"/>
        <v>0</v>
      </c>
      <c r="F199">
        <f t="shared" si="20"/>
        <v>0</v>
      </c>
      <c r="H199">
        <f>(1-Initialisation!$C$19/100)*C199</f>
        <v>0</v>
      </c>
      <c r="I199">
        <f t="shared" si="21"/>
        <v>0</v>
      </c>
      <c r="J199">
        <f t="shared" si="22"/>
        <v>0</v>
      </c>
      <c r="K199">
        <f t="shared" si="23"/>
        <v>0</v>
      </c>
      <c r="M199">
        <f>IF(ETR!A199&lt;=Initialisation!$C$24,Initialisation!$D$23,IF(ETR!A199&lt;=Initialisation!$C$25,Initialisation!$D$24,IF(ETR!A199&lt;=Initialisation!$C$26,Initialisation!$D$25,IF(ETR!A199&lt;=Initialisation!$C$27,Initialisation!$D$26,IF(ETR!A200&lt;=Initialisation!$C$28,Initialisation!$D$27,IF(ETR!A200&lt;=Initialisation!$C$29,Initialisation!$D$28,0))))))</f>
        <v>0.5</v>
      </c>
    </row>
    <row r="200" spans="1:13" x14ac:dyDescent="0.35">
      <c r="A200" s="5">
        <f>IF(MeteoJ!A200=$BP$5,A199,MeteoJ!A200)</f>
        <v>42144</v>
      </c>
      <c r="B200">
        <f>MeteoJ!D200</f>
        <v>0</v>
      </c>
      <c r="C200">
        <f t="shared" si="18"/>
        <v>0</v>
      </c>
      <c r="D200">
        <f>MeteoJ!B200</f>
        <v>0</v>
      </c>
      <c r="E200">
        <f t="shared" si="19"/>
        <v>0</v>
      </c>
      <c r="F200">
        <f t="shared" si="20"/>
        <v>0</v>
      </c>
      <c r="H200">
        <f>(1-Initialisation!$C$19/100)*C200</f>
        <v>0</v>
      </c>
      <c r="I200">
        <f t="shared" si="21"/>
        <v>0</v>
      </c>
      <c r="J200">
        <f t="shared" si="22"/>
        <v>0</v>
      </c>
      <c r="K200">
        <f t="shared" si="23"/>
        <v>0</v>
      </c>
      <c r="M200">
        <f>IF(ETR!A200&lt;=Initialisation!$C$24,Initialisation!$D$23,IF(ETR!A200&lt;=Initialisation!$C$25,Initialisation!$D$24,IF(ETR!A200&lt;=Initialisation!$C$26,Initialisation!$D$25,IF(ETR!A200&lt;=Initialisation!$C$27,Initialisation!$D$26,IF(ETR!A201&lt;=Initialisation!$C$28,Initialisation!$D$27,IF(ETR!A201&lt;=Initialisation!$C$29,Initialisation!$D$28,0))))))</f>
        <v>0.5</v>
      </c>
    </row>
    <row r="201" spans="1:13" x14ac:dyDescent="0.35">
      <c r="A201" s="5">
        <f>IF(MeteoJ!A201=$BP$5,A200,MeteoJ!A201)</f>
        <v>42144</v>
      </c>
      <c r="B201">
        <f>MeteoJ!D201</f>
        <v>0</v>
      </c>
      <c r="C201">
        <f t="shared" si="18"/>
        <v>0</v>
      </c>
      <c r="D201">
        <f>MeteoJ!B201</f>
        <v>0</v>
      </c>
      <c r="E201">
        <f t="shared" si="19"/>
        <v>0</v>
      </c>
      <c r="F201">
        <f t="shared" si="20"/>
        <v>0</v>
      </c>
      <c r="H201">
        <f>(1-Initialisation!$C$19/100)*C201</f>
        <v>0</v>
      </c>
      <c r="I201">
        <f t="shared" si="21"/>
        <v>0</v>
      </c>
      <c r="J201">
        <f t="shared" si="22"/>
        <v>0</v>
      </c>
      <c r="K201">
        <f t="shared" si="23"/>
        <v>0</v>
      </c>
      <c r="M201">
        <f>IF(ETR!A201&lt;=Initialisation!$C$24,Initialisation!$D$23,IF(ETR!A201&lt;=Initialisation!$C$25,Initialisation!$D$24,IF(ETR!A201&lt;=Initialisation!$C$26,Initialisation!$D$25,IF(ETR!A201&lt;=Initialisation!$C$27,Initialisation!$D$26,IF(ETR!A202&lt;=Initialisation!$C$28,Initialisation!$D$27,IF(ETR!A202&lt;=Initialisation!$C$29,Initialisation!$D$28,0))))))</f>
        <v>0.5</v>
      </c>
    </row>
    <row r="202" spans="1:13" x14ac:dyDescent="0.35">
      <c r="A202" s="5">
        <f>IF(MeteoJ!A202=$BP$5,A201,MeteoJ!A202)</f>
        <v>42144</v>
      </c>
      <c r="B202">
        <f>MeteoJ!D202</f>
        <v>0</v>
      </c>
      <c r="C202">
        <f t="shared" si="18"/>
        <v>0</v>
      </c>
      <c r="D202">
        <f>MeteoJ!B202</f>
        <v>0</v>
      </c>
      <c r="E202">
        <f t="shared" si="19"/>
        <v>0</v>
      </c>
      <c r="F202">
        <f t="shared" si="20"/>
        <v>0</v>
      </c>
      <c r="H202">
        <f>(1-Initialisation!$C$19/100)*C202</f>
        <v>0</v>
      </c>
      <c r="I202">
        <f t="shared" si="21"/>
        <v>0</v>
      </c>
      <c r="J202">
        <f t="shared" si="22"/>
        <v>0</v>
      </c>
      <c r="K202">
        <f t="shared" si="23"/>
        <v>0</v>
      </c>
      <c r="M202">
        <f>IF(ETR!A202&lt;=Initialisation!$C$24,Initialisation!$D$23,IF(ETR!A202&lt;=Initialisation!$C$25,Initialisation!$D$24,IF(ETR!A202&lt;=Initialisation!$C$26,Initialisation!$D$25,IF(ETR!A202&lt;=Initialisation!$C$27,Initialisation!$D$26,IF(ETR!A203&lt;=Initialisation!$C$28,Initialisation!$D$27,IF(ETR!A203&lt;=Initialisation!$C$29,Initialisation!$D$28,0))))))</f>
        <v>0.5</v>
      </c>
    </row>
    <row r="203" spans="1:13" x14ac:dyDescent="0.35">
      <c r="A203" s="5">
        <f>IF(MeteoJ!A203=$BP$5,A202,MeteoJ!A203)</f>
        <v>42144</v>
      </c>
      <c r="B203">
        <f>MeteoJ!D203</f>
        <v>0</v>
      </c>
      <c r="C203">
        <f t="shared" si="18"/>
        <v>0</v>
      </c>
      <c r="D203">
        <f>MeteoJ!B203</f>
        <v>0</v>
      </c>
      <c r="E203">
        <f t="shared" si="19"/>
        <v>0</v>
      </c>
      <c r="F203">
        <f t="shared" si="20"/>
        <v>0</v>
      </c>
      <c r="H203">
        <f>(1-Initialisation!$C$19/100)*C203</f>
        <v>0</v>
      </c>
      <c r="I203">
        <f t="shared" si="21"/>
        <v>0</v>
      </c>
      <c r="J203">
        <f t="shared" si="22"/>
        <v>0</v>
      </c>
      <c r="K203">
        <f t="shared" si="23"/>
        <v>0</v>
      </c>
      <c r="M203">
        <f>IF(ETR!A203&lt;=Initialisation!$C$24,Initialisation!$D$23,IF(ETR!A203&lt;=Initialisation!$C$25,Initialisation!$D$24,IF(ETR!A203&lt;=Initialisation!$C$26,Initialisation!$D$25,IF(ETR!A203&lt;=Initialisation!$C$27,Initialisation!$D$26,IF(ETR!A204&lt;=Initialisation!$C$28,Initialisation!$D$27,IF(ETR!A204&lt;=Initialisation!$C$29,Initialisation!$D$28,0))))))</f>
        <v>0.5</v>
      </c>
    </row>
    <row r="204" spans="1:13" x14ac:dyDescent="0.35">
      <c r="A204" s="5">
        <f>IF(MeteoJ!A204=$BP$5,A203,MeteoJ!A204)</f>
        <v>42144</v>
      </c>
      <c r="B204">
        <f>MeteoJ!D204</f>
        <v>0</v>
      </c>
      <c r="C204">
        <f t="shared" si="18"/>
        <v>0</v>
      </c>
      <c r="D204">
        <f>MeteoJ!B204</f>
        <v>0</v>
      </c>
      <c r="E204">
        <f t="shared" si="19"/>
        <v>0</v>
      </c>
      <c r="F204">
        <f t="shared" si="20"/>
        <v>0</v>
      </c>
      <c r="H204">
        <f>(1-Initialisation!$C$19/100)*C204</f>
        <v>0</v>
      </c>
      <c r="I204">
        <f t="shared" si="21"/>
        <v>0</v>
      </c>
      <c r="J204">
        <f t="shared" si="22"/>
        <v>0</v>
      </c>
      <c r="K204">
        <f t="shared" si="23"/>
        <v>0</v>
      </c>
      <c r="M204">
        <f>IF(ETR!A204&lt;=Initialisation!$C$24,Initialisation!$D$23,IF(ETR!A204&lt;=Initialisation!$C$25,Initialisation!$D$24,IF(ETR!A204&lt;=Initialisation!$C$26,Initialisation!$D$25,IF(ETR!A204&lt;=Initialisation!$C$27,Initialisation!$D$26,IF(ETR!A205&lt;=Initialisation!$C$28,Initialisation!$D$27,IF(ETR!A205&lt;=Initialisation!$C$29,Initialisation!$D$28,0))))))</f>
        <v>0.5</v>
      </c>
    </row>
    <row r="205" spans="1:13" x14ac:dyDescent="0.35">
      <c r="A205" s="5">
        <f>IF(MeteoJ!A205=$BP$5,A204,MeteoJ!A205)</f>
        <v>42144</v>
      </c>
      <c r="B205">
        <f>MeteoJ!D205</f>
        <v>0</v>
      </c>
      <c r="C205">
        <f t="shared" si="18"/>
        <v>0</v>
      </c>
      <c r="D205">
        <f>MeteoJ!B205</f>
        <v>0</v>
      </c>
      <c r="E205">
        <f t="shared" si="19"/>
        <v>0</v>
      </c>
      <c r="F205">
        <f t="shared" si="20"/>
        <v>0</v>
      </c>
      <c r="H205">
        <f>(1-Initialisation!$C$19/100)*C205</f>
        <v>0</v>
      </c>
      <c r="I205">
        <f t="shared" si="21"/>
        <v>0</v>
      </c>
      <c r="J205">
        <f t="shared" si="22"/>
        <v>0</v>
      </c>
      <c r="K205">
        <f t="shared" si="23"/>
        <v>0</v>
      </c>
      <c r="M205">
        <f>IF(ETR!A205&lt;=Initialisation!$C$24,Initialisation!$D$23,IF(ETR!A205&lt;=Initialisation!$C$25,Initialisation!$D$24,IF(ETR!A205&lt;=Initialisation!$C$26,Initialisation!$D$25,IF(ETR!A205&lt;=Initialisation!$C$27,Initialisation!$D$26,IF(ETR!A206&lt;=Initialisation!$C$28,Initialisation!$D$27,IF(ETR!A206&lt;=Initialisation!$C$29,Initialisation!$D$28,0))))))</f>
        <v>0.5</v>
      </c>
    </row>
    <row r="206" spans="1:13" x14ac:dyDescent="0.35">
      <c r="A206" s="5">
        <f>IF(MeteoJ!A206=$BP$5,A205,MeteoJ!A206)</f>
        <v>42144</v>
      </c>
      <c r="B206">
        <f>MeteoJ!D206</f>
        <v>0</v>
      </c>
      <c r="C206">
        <f t="shared" si="18"/>
        <v>0</v>
      </c>
      <c r="D206">
        <f>MeteoJ!B206</f>
        <v>0</v>
      </c>
      <c r="E206">
        <f t="shared" si="19"/>
        <v>0</v>
      </c>
      <c r="F206">
        <f t="shared" si="20"/>
        <v>0</v>
      </c>
      <c r="H206">
        <f>(1-Initialisation!$C$19/100)*C206</f>
        <v>0</v>
      </c>
      <c r="I206">
        <f t="shared" si="21"/>
        <v>0</v>
      </c>
      <c r="J206">
        <f t="shared" si="22"/>
        <v>0</v>
      </c>
      <c r="K206">
        <f t="shared" si="23"/>
        <v>0</v>
      </c>
      <c r="M206">
        <f>IF(ETR!A206&lt;=Initialisation!$C$24,Initialisation!$D$23,IF(ETR!A206&lt;=Initialisation!$C$25,Initialisation!$D$24,IF(ETR!A206&lt;=Initialisation!$C$26,Initialisation!$D$25,IF(ETR!A206&lt;=Initialisation!$C$27,Initialisation!$D$26,IF(ETR!A207&lt;=Initialisation!$C$28,Initialisation!$D$27,IF(ETR!A207&lt;=Initialisation!$C$29,Initialisation!$D$28,0))))))</f>
        <v>0.5</v>
      </c>
    </row>
    <row r="207" spans="1:13" x14ac:dyDescent="0.35">
      <c r="A207" s="5">
        <f>IF(MeteoJ!A207=$BP$5,A206,MeteoJ!A207)</f>
        <v>42144</v>
      </c>
      <c r="B207">
        <f>MeteoJ!D207</f>
        <v>0</v>
      </c>
      <c r="C207">
        <f t="shared" si="18"/>
        <v>0</v>
      </c>
      <c r="D207">
        <f>MeteoJ!B207</f>
        <v>0</v>
      </c>
      <c r="E207">
        <f t="shared" si="19"/>
        <v>0</v>
      </c>
      <c r="F207">
        <f t="shared" si="20"/>
        <v>0</v>
      </c>
      <c r="H207">
        <f>(1-Initialisation!$C$19/100)*C207</f>
        <v>0</v>
      </c>
      <c r="I207">
        <f t="shared" si="21"/>
        <v>0</v>
      </c>
      <c r="J207">
        <f t="shared" si="22"/>
        <v>0</v>
      </c>
      <c r="K207">
        <f t="shared" si="23"/>
        <v>0</v>
      </c>
      <c r="M207">
        <f>IF(ETR!A207&lt;=Initialisation!$C$24,Initialisation!$D$23,IF(ETR!A207&lt;=Initialisation!$C$25,Initialisation!$D$24,IF(ETR!A207&lt;=Initialisation!$C$26,Initialisation!$D$25,IF(ETR!A207&lt;=Initialisation!$C$27,Initialisation!$D$26,IF(ETR!A208&lt;=Initialisation!$C$28,Initialisation!$D$27,IF(ETR!A208&lt;=Initialisation!$C$29,Initialisation!$D$28,0))))))</f>
        <v>0.5</v>
      </c>
    </row>
    <row r="208" spans="1:13" x14ac:dyDescent="0.35">
      <c r="A208" s="5">
        <f>IF(MeteoJ!A208=$BP$5,A207,MeteoJ!A208)</f>
        <v>42144</v>
      </c>
      <c r="B208">
        <f>MeteoJ!D208</f>
        <v>0</v>
      </c>
      <c r="C208">
        <f t="shared" si="18"/>
        <v>0</v>
      </c>
      <c r="D208">
        <f>MeteoJ!B208</f>
        <v>0</v>
      </c>
      <c r="E208">
        <f t="shared" si="19"/>
        <v>0</v>
      </c>
      <c r="F208">
        <f t="shared" si="20"/>
        <v>0</v>
      </c>
      <c r="H208">
        <f>(1-Initialisation!$C$19/100)*C208</f>
        <v>0</v>
      </c>
      <c r="I208">
        <f t="shared" si="21"/>
        <v>0</v>
      </c>
      <c r="J208">
        <f t="shared" si="22"/>
        <v>0</v>
      </c>
      <c r="K208">
        <f t="shared" si="23"/>
        <v>0</v>
      </c>
      <c r="M208">
        <f>IF(ETR!A208&lt;=Initialisation!$C$24,Initialisation!$D$23,IF(ETR!A208&lt;=Initialisation!$C$25,Initialisation!$D$24,IF(ETR!A208&lt;=Initialisation!$C$26,Initialisation!$D$25,IF(ETR!A208&lt;=Initialisation!$C$27,Initialisation!$D$26,IF(ETR!A209&lt;=Initialisation!$C$28,Initialisation!$D$27,IF(ETR!A209&lt;=Initialisation!$C$29,Initialisation!$D$28,0))))))</f>
        <v>0.5</v>
      </c>
    </row>
    <row r="209" spans="1:13" x14ac:dyDescent="0.35">
      <c r="A209" s="5">
        <f>IF(MeteoJ!A209=$BP$5,A208,MeteoJ!A209)</f>
        <v>42144</v>
      </c>
      <c r="B209">
        <f>MeteoJ!D209</f>
        <v>0</v>
      </c>
      <c r="C209">
        <f t="shared" si="18"/>
        <v>0</v>
      </c>
      <c r="D209">
        <f>MeteoJ!B209</f>
        <v>0</v>
      </c>
      <c r="E209">
        <f t="shared" si="19"/>
        <v>0</v>
      </c>
      <c r="F209">
        <f t="shared" si="20"/>
        <v>0</v>
      </c>
      <c r="H209">
        <f>(1-Initialisation!$C$19/100)*C209</f>
        <v>0</v>
      </c>
      <c r="I209">
        <f t="shared" si="21"/>
        <v>0</v>
      </c>
      <c r="J209">
        <f t="shared" si="22"/>
        <v>0</v>
      </c>
      <c r="K209">
        <f t="shared" si="23"/>
        <v>0</v>
      </c>
      <c r="M209">
        <f>IF(ETR!A209&lt;=Initialisation!$C$24,Initialisation!$D$23,IF(ETR!A209&lt;=Initialisation!$C$25,Initialisation!$D$24,IF(ETR!A209&lt;=Initialisation!$C$26,Initialisation!$D$25,IF(ETR!A209&lt;=Initialisation!$C$27,Initialisation!$D$26,IF(ETR!A210&lt;=Initialisation!$C$28,Initialisation!$D$27,IF(ETR!A210&lt;=Initialisation!$C$29,Initialisation!$D$28,0))))))</f>
        <v>0.5</v>
      </c>
    </row>
    <row r="210" spans="1:13" x14ac:dyDescent="0.35">
      <c r="A210" s="5">
        <f>IF(MeteoJ!A210=$BP$5,A209,MeteoJ!A210)</f>
        <v>42144</v>
      </c>
      <c r="B210">
        <f>MeteoJ!D210</f>
        <v>0</v>
      </c>
      <c r="C210">
        <f t="shared" si="18"/>
        <v>0</v>
      </c>
      <c r="D210">
        <f>MeteoJ!B210</f>
        <v>0</v>
      </c>
      <c r="E210">
        <f t="shared" si="19"/>
        <v>0</v>
      </c>
      <c r="F210">
        <f t="shared" si="20"/>
        <v>0</v>
      </c>
      <c r="H210">
        <f>(1-Initialisation!$C$19/100)*C210</f>
        <v>0</v>
      </c>
      <c r="I210">
        <f t="shared" si="21"/>
        <v>0</v>
      </c>
      <c r="J210">
        <f t="shared" si="22"/>
        <v>0</v>
      </c>
      <c r="K210">
        <f t="shared" si="23"/>
        <v>0</v>
      </c>
      <c r="M210">
        <f>IF(ETR!A210&lt;=Initialisation!$C$24,Initialisation!$D$23,IF(ETR!A210&lt;=Initialisation!$C$25,Initialisation!$D$24,IF(ETR!A210&lt;=Initialisation!$C$26,Initialisation!$D$25,IF(ETR!A210&lt;=Initialisation!$C$27,Initialisation!$D$26,IF(ETR!A211&lt;=Initialisation!$C$28,Initialisation!$D$27,IF(ETR!A211&lt;=Initialisation!$C$29,Initialisation!$D$28,0))))))</f>
        <v>0.5</v>
      </c>
    </row>
    <row r="211" spans="1:13" x14ac:dyDescent="0.35">
      <c r="A211" s="5">
        <f>IF(MeteoJ!A211=$BP$5,A210,MeteoJ!A211)</f>
        <v>42144</v>
      </c>
      <c r="B211">
        <f>MeteoJ!D211</f>
        <v>0</v>
      </c>
      <c r="C211">
        <f t="shared" si="18"/>
        <v>0</v>
      </c>
      <c r="D211">
        <f>MeteoJ!B211</f>
        <v>0</v>
      </c>
      <c r="E211">
        <f t="shared" si="19"/>
        <v>0</v>
      </c>
      <c r="F211">
        <f t="shared" si="20"/>
        <v>0</v>
      </c>
      <c r="H211">
        <f>(1-Initialisation!$C$19/100)*C211</f>
        <v>0</v>
      </c>
      <c r="I211">
        <f t="shared" si="21"/>
        <v>0</v>
      </c>
      <c r="J211">
        <f t="shared" si="22"/>
        <v>0</v>
      </c>
      <c r="K211">
        <f t="shared" si="23"/>
        <v>0</v>
      </c>
      <c r="M211">
        <f>IF(ETR!A211&lt;=Initialisation!$C$24,Initialisation!$D$23,IF(ETR!A211&lt;=Initialisation!$C$25,Initialisation!$D$24,IF(ETR!A211&lt;=Initialisation!$C$26,Initialisation!$D$25,IF(ETR!A211&lt;=Initialisation!$C$27,Initialisation!$D$26,IF(ETR!A212&lt;=Initialisation!$C$28,Initialisation!$D$27,IF(ETR!A212&lt;=Initialisation!$C$29,Initialisation!$D$28,0))))))</f>
        <v>0.5</v>
      </c>
    </row>
    <row r="212" spans="1:13" x14ac:dyDescent="0.35">
      <c r="A212" s="5">
        <f>IF(MeteoJ!A212=$BP$5,A211,MeteoJ!A212)</f>
        <v>42144</v>
      </c>
      <c r="B212">
        <f>MeteoJ!D212</f>
        <v>0</v>
      </c>
      <c r="C212">
        <f t="shared" si="18"/>
        <v>0</v>
      </c>
      <c r="D212">
        <f>MeteoJ!B212</f>
        <v>0</v>
      </c>
      <c r="E212">
        <f t="shared" si="19"/>
        <v>0</v>
      </c>
      <c r="F212">
        <f t="shared" si="20"/>
        <v>0</v>
      </c>
      <c r="H212">
        <f>(1-Initialisation!$C$19/100)*C212</f>
        <v>0</v>
      </c>
      <c r="I212">
        <f t="shared" si="21"/>
        <v>0</v>
      </c>
      <c r="J212">
        <f t="shared" si="22"/>
        <v>0</v>
      </c>
      <c r="K212">
        <f t="shared" si="23"/>
        <v>0</v>
      </c>
      <c r="M212">
        <f>IF(ETR!A212&lt;=Initialisation!$C$24,Initialisation!$D$23,IF(ETR!A212&lt;=Initialisation!$C$25,Initialisation!$D$24,IF(ETR!A212&lt;=Initialisation!$C$26,Initialisation!$D$25,IF(ETR!A212&lt;=Initialisation!$C$27,Initialisation!$D$26,IF(ETR!A213&lt;=Initialisation!$C$28,Initialisation!$D$27,IF(ETR!A213&lt;=Initialisation!$C$29,Initialisation!$D$28,0))))))</f>
        <v>0.5</v>
      </c>
    </row>
    <row r="213" spans="1:13" x14ac:dyDescent="0.35">
      <c r="A213" s="5">
        <f>IF(MeteoJ!A213=$BP$5,A212,MeteoJ!A213)</f>
        <v>42144</v>
      </c>
      <c r="B213">
        <f>MeteoJ!D213</f>
        <v>0</v>
      </c>
      <c r="C213">
        <f t="shared" si="18"/>
        <v>0</v>
      </c>
      <c r="D213">
        <f>MeteoJ!B213</f>
        <v>0</v>
      </c>
      <c r="E213">
        <f t="shared" si="19"/>
        <v>0</v>
      </c>
      <c r="F213">
        <f t="shared" si="20"/>
        <v>0</v>
      </c>
      <c r="H213">
        <f>(1-Initialisation!$C$19/100)*C213</f>
        <v>0</v>
      </c>
      <c r="I213">
        <f t="shared" si="21"/>
        <v>0</v>
      </c>
      <c r="J213">
        <f t="shared" si="22"/>
        <v>0</v>
      </c>
      <c r="K213">
        <f t="shared" si="23"/>
        <v>0</v>
      </c>
      <c r="M213">
        <f>IF(ETR!A213&lt;=Initialisation!$C$24,Initialisation!$D$23,IF(ETR!A213&lt;=Initialisation!$C$25,Initialisation!$D$24,IF(ETR!A213&lt;=Initialisation!$C$26,Initialisation!$D$25,IF(ETR!A213&lt;=Initialisation!$C$27,Initialisation!$D$26,IF(ETR!A214&lt;=Initialisation!$C$28,Initialisation!$D$27,IF(ETR!A214&lt;=Initialisation!$C$29,Initialisation!$D$28,0))))))</f>
        <v>0.5</v>
      </c>
    </row>
    <row r="214" spans="1:13" x14ac:dyDescent="0.35">
      <c r="A214" s="5">
        <f>IF(MeteoJ!A214=$BP$5,A213,MeteoJ!A214)</f>
        <v>42144</v>
      </c>
      <c r="B214">
        <f>MeteoJ!D214</f>
        <v>0</v>
      </c>
      <c r="C214">
        <f t="shared" si="18"/>
        <v>0</v>
      </c>
      <c r="D214">
        <f>MeteoJ!B214</f>
        <v>0</v>
      </c>
      <c r="E214">
        <f t="shared" si="19"/>
        <v>0</v>
      </c>
      <c r="F214">
        <f t="shared" si="20"/>
        <v>0</v>
      </c>
      <c r="H214">
        <f>(1-Initialisation!$C$19/100)*C214</f>
        <v>0</v>
      </c>
      <c r="I214">
        <f t="shared" si="21"/>
        <v>0</v>
      </c>
      <c r="J214">
        <f t="shared" si="22"/>
        <v>0</v>
      </c>
      <c r="K214">
        <f t="shared" si="23"/>
        <v>0</v>
      </c>
      <c r="M214">
        <f>IF(ETR!A214&lt;=Initialisation!$C$24,Initialisation!$D$23,IF(ETR!A214&lt;=Initialisation!$C$25,Initialisation!$D$24,IF(ETR!A214&lt;=Initialisation!$C$26,Initialisation!$D$25,IF(ETR!A214&lt;=Initialisation!$C$27,Initialisation!$D$26,IF(ETR!A215&lt;=Initialisation!$C$28,Initialisation!$D$27,IF(ETR!A215&lt;=Initialisation!$C$29,Initialisation!$D$28,0))))))</f>
        <v>0.5</v>
      </c>
    </row>
    <row r="215" spans="1:13" x14ac:dyDescent="0.35">
      <c r="A215" s="5">
        <f>IF(MeteoJ!A215=$BP$5,A214,MeteoJ!A215)</f>
        <v>42144</v>
      </c>
      <c r="B215">
        <f>MeteoJ!D215</f>
        <v>0</v>
      </c>
      <c r="C215">
        <f t="shared" si="18"/>
        <v>0</v>
      </c>
      <c r="D215">
        <f>MeteoJ!B215</f>
        <v>0</v>
      </c>
      <c r="E215">
        <f t="shared" si="19"/>
        <v>0</v>
      </c>
      <c r="F215">
        <f t="shared" si="20"/>
        <v>0</v>
      </c>
      <c r="H215">
        <f>(1-Initialisation!$C$19/100)*C215</f>
        <v>0</v>
      </c>
      <c r="I215">
        <f t="shared" si="21"/>
        <v>0</v>
      </c>
      <c r="J215">
        <f t="shared" si="22"/>
        <v>0</v>
      </c>
      <c r="K215">
        <f t="shared" si="23"/>
        <v>0</v>
      </c>
      <c r="M215">
        <f>IF(ETR!A215&lt;=Initialisation!$C$24,Initialisation!$D$23,IF(ETR!A215&lt;=Initialisation!$C$25,Initialisation!$D$24,IF(ETR!A215&lt;=Initialisation!$C$26,Initialisation!$D$25,IF(ETR!A215&lt;=Initialisation!$C$27,Initialisation!$D$26,IF(ETR!A216&lt;=Initialisation!$C$28,Initialisation!$D$27,IF(ETR!A216&lt;=Initialisation!$C$29,Initialisation!$D$28,0))))))</f>
        <v>0.5</v>
      </c>
    </row>
    <row r="216" spans="1:13" x14ac:dyDescent="0.35">
      <c r="A216" s="5">
        <f>IF(MeteoJ!A216=$BP$5,A215,MeteoJ!A216)</f>
        <v>42144</v>
      </c>
      <c r="B216">
        <f>MeteoJ!D216</f>
        <v>0</v>
      </c>
      <c r="C216">
        <f t="shared" si="18"/>
        <v>0</v>
      </c>
      <c r="D216">
        <f>MeteoJ!B216</f>
        <v>0</v>
      </c>
      <c r="E216">
        <f t="shared" si="19"/>
        <v>0</v>
      </c>
      <c r="F216">
        <f t="shared" si="20"/>
        <v>0</v>
      </c>
      <c r="H216">
        <f>(1-Initialisation!$C$19/100)*C216</f>
        <v>0</v>
      </c>
      <c r="I216">
        <f t="shared" si="21"/>
        <v>0</v>
      </c>
      <c r="J216">
        <f t="shared" si="22"/>
        <v>0</v>
      </c>
      <c r="K216">
        <f t="shared" si="23"/>
        <v>0</v>
      </c>
      <c r="M216">
        <f>IF(ETR!A216&lt;=Initialisation!$C$24,Initialisation!$D$23,IF(ETR!A216&lt;=Initialisation!$C$25,Initialisation!$D$24,IF(ETR!A216&lt;=Initialisation!$C$26,Initialisation!$D$25,IF(ETR!A216&lt;=Initialisation!$C$27,Initialisation!$D$26,IF(ETR!A217&lt;=Initialisation!$C$28,Initialisation!$D$27,IF(ETR!A217&lt;=Initialisation!$C$29,Initialisation!$D$28,0))))))</f>
        <v>0.5</v>
      </c>
    </row>
    <row r="217" spans="1:13" x14ac:dyDescent="0.35">
      <c r="A217" s="5">
        <f>IF(MeteoJ!A217=$BP$5,A216,MeteoJ!A217)</f>
        <v>42144</v>
      </c>
      <c r="B217">
        <f>MeteoJ!D217</f>
        <v>0</v>
      </c>
      <c r="C217">
        <f t="shared" si="18"/>
        <v>0</v>
      </c>
      <c r="D217">
        <f>MeteoJ!B217</f>
        <v>0</v>
      </c>
      <c r="E217">
        <f t="shared" si="19"/>
        <v>0</v>
      </c>
      <c r="F217">
        <f t="shared" si="20"/>
        <v>0</v>
      </c>
      <c r="H217">
        <f>(1-Initialisation!$C$19/100)*C217</f>
        <v>0</v>
      </c>
      <c r="I217">
        <f t="shared" si="21"/>
        <v>0</v>
      </c>
      <c r="J217">
        <f t="shared" si="22"/>
        <v>0</v>
      </c>
      <c r="K217">
        <f t="shared" si="23"/>
        <v>0</v>
      </c>
      <c r="M217">
        <f>IF(ETR!A217&lt;=Initialisation!$C$24,Initialisation!$D$23,IF(ETR!A217&lt;=Initialisation!$C$25,Initialisation!$D$24,IF(ETR!A217&lt;=Initialisation!$C$26,Initialisation!$D$25,IF(ETR!A217&lt;=Initialisation!$C$27,Initialisation!$D$26,IF(ETR!A218&lt;=Initialisation!$C$28,Initialisation!$D$27,IF(ETR!A218&lt;=Initialisation!$C$29,Initialisation!$D$28,0))))))</f>
        <v>0.5</v>
      </c>
    </row>
    <row r="218" spans="1:13" x14ac:dyDescent="0.35">
      <c r="A218" s="5">
        <f>IF(MeteoJ!A218=$BP$5,A217,MeteoJ!A218)</f>
        <v>42144</v>
      </c>
      <c r="B218">
        <f>MeteoJ!D218</f>
        <v>0</v>
      </c>
      <c r="C218">
        <f t="shared" si="18"/>
        <v>0</v>
      </c>
      <c r="D218">
        <f>MeteoJ!B218</f>
        <v>0</v>
      </c>
      <c r="E218">
        <f t="shared" si="19"/>
        <v>0</v>
      </c>
      <c r="F218">
        <f t="shared" si="20"/>
        <v>0</v>
      </c>
      <c r="H218">
        <f>(1-Initialisation!$C$19/100)*C218</f>
        <v>0</v>
      </c>
      <c r="I218">
        <f t="shared" si="21"/>
        <v>0</v>
      </c>
      <c r="J218">
        <f t="shared" si="22"/>
        <v>0</v>
      </c>
      <c r="K218">
        <f t="shared" si="23"/>
        <v>0</v>
      </c>
      <c r="M218">
        <f>IF(ETR!A218&lt;=Initialisation!$C$24,Initialisation!$D$23,IF(ETR!A218&lt;=Initialisation!$C$25,Initialisation!$D$24,IF(ETR!A218&lt;=Initialisation!$C$26,Initialisation!$D$25,IF(ETR!A218&lt;=Initialisation!$C$27,Initialisation!$D$26,IF(ETR!A219&lt;=Initialisation!$C$28,Initialisation!$D$27,IF(ETR!A219&lt;=Initialisation!$C$29,Initialisation!$D$28,0))))))</f>
        <v>0.5</v>
      </c>
    </row>
    <row r="219" spans="1:13" x14ac:dyDescent="0.35">
      <c r="A219" s="5">
        <f>IF(MeteoJ!A219=$BP$5,A218,MeteoJ!A219)</f>
        <v>42144</v>
      </c>
      <c r="B219">
        <f>MeteoJ!D219</f>
        <v>0</v>
      </c>
      <c r="C219">
        <f t="shared" si="18"/>
        <v>0</v>
      </c>
      <c r="D219">
        <f>MeteoJ!B219</f>
        <v>0</v>
      </c>
      <c r="E219">
        <f t="shared" si="19"/>
        <v>0</v>
      </c>
      <c r="F219">
        <f t="shared" si="20"/>
        <v>0</v>
      </c>
      <c r="H219">
        <f>(1-Initialisation!$C$19/100)*C219</f>
        <v>0</v>
      </c>
      <c r="I219">
        <f t="shared" si="21"/>
        <v>0</v>
      </c>
      <c r="J219">
        <f t="shared" si="22"/>
        <v>0</v>
      </c>
      <c r="K219">
        <f t="shared" si="23"/>
        <v>0</v>
      </c>
      <c r="M219">
        <f>IF(ETR!A219&lt;=Initialisation!$C$24,Initialisation!$D$23,IF(ETR!A219&lt;=Initialisation!$C$25,Initialisation!$D$24,IF(ETR!A219&lt;=Initialisation!$C$26,Initialisation!$D$25,IF(ETR!A219&lt;=Initialisation!$C$27,Initialisation!$D$26,IF(ETR!A220&lt;=Initialisation!$C$28,Initialisation!$D$27,IF(ETR!A220&lt;=Initialisation!$C$29,Initialisation!$D$28,0))))))</f>
        <v>0.5</v>
      </c>
    </row>
    <row r="220" spans="1:13" x14ac:dyDescent="0.35">
      <c r="A220" s="5">
        <f>IF(MeteoJ!A220=$BP$5,A219,MeteoJ!A220)</f>
        <v>42144</v>
      </c>
      <c r="B220">
        <f>MeteoJ!D220</f>
        <v>0</v>
      </c>
      <c r="C220">
        <f t="shared" si="18"/>
        <v>0</v>
      </c>
      <c r="D220">
        <f>MeteoJ!B220</f>
        <v>0</v>
      </c>
      <c r="E220">
        <f t="shared" si="19"/>
        <v>0</v>
      </c>
      <c r="F220">
        <f t="shared" si="20"/>
        <v>0</v>
      </c>
      <c r="H220">
        <f>(1-Initialisation!$C$19/100)*C220</f>
        <v>0</v>
      </c>
      <c r="I220">
        <f t="shared" si="21"/>
        <v>0</v>
      </c>
      <c r="J220">
        <f t="shared" si="22"/>
        <v>0</v>
      </c>
      <c r="K220">
        <f t="shared" si="23"/>
        <v>0</v>
      </c>
      <c r="M220">
        <f>IF(ETR!A220&lt;=Initialisation!$C$24,Initialisation!$D$23,IF(ETR!A220&lt;=Initialisation!$C$25,Initialisation!$D$24,IF(ETR!A220&lt;=Initialisation!$C$26,Initialisation!$D$25,IF(ETR!A220&lt;=Initialisation!$C$27,Initialisation!$D$26,IF(ETR!A221&lt;=Initialisation!$C$28,Initialisation!$D$27,IF(ETR!A221&lt;=Initialisation!$C$29,Initialisation!$D$28,0))))))</f>
        <v>0.5</v>
      </c>
    </row>
    <row r="221" spans="1:13" x14ac:dyDescent="0.35">
      <c r="A221" s="5">
        <f>IF(MeteoJ!A221=$BP$5,A220,MeteoJ!A221)</f>
        <v>42144</v>
      </c>
      <c r="B221">
        <f>MeteoJ!D221</f>
        <v>0</v>
      </c>
      <c r="C221">
        <f t="shared" si="18"/>
        <v>0</v>
      </c>
      <c r="D221">
        <f>MeteoJ!B221</f>
        <v>0</v>
      </c>
      <c r="E221">
        <f t="shared" si="19"/>
        <v>0</v>
      </c>
      <c r="F221">
        <f t="shared" si="20"/>
        <v>0</v>
      </c>
      <c r="H221">
        <f>(1-Initialisation!$C$19/100)*C221</f>
        <v>0</v>
      </c>
      <c r="I221">
        <f t="shared" si="21"/>
        <v>0</v>
      </c>
      <c r="J221">
        <f t="shared" si="22"/>
        <v>0</v>
      </c>
      <c r="K221">
        <f t="shared" si="23"/>
        <v>0</v>
      </c>
      <c r="M221">
        <f>IF(ETR!A221&lt;=Initialisation!$C$24,Initialisation!$D$23,IF(ETR!A221&lt;=Initialisation!$C$25,Initialisation!$D$24,IF(ETR!A221&lt;=Initialisation!$C$26,Initialisation!$D$25,IF(ETR!A221&lt;=Initialisation!$C$27,Initialisation!$D$26,IF(ETR!A222&lt;=Initialisation!$C$28,Initialisation!$D$27,IF(ETR!A222&lt;=Initialisation!$C$29,Initialisation!$D$28,0))))))</f>
        <v>0.5</v>
      </c>
    </row>
    <row r="222" spans="1:13" x14ac:dyDescent="0.35">
      <c r="A222" s="5">
        <f>IF(MeteoJ!A222=$BP$5,A221,MeteoJ!A222)</f>
        <v>42144</v>
      </c>
      <c r="B222">
        <f>MeteoJ!D222</f>
        <v>0</v>
      </c>
      <c r="C222">
        <f t="shared" si="18"/>
        <v>0</v>
      </c>
      <c r="D222">
        <f>MeteoJ!B222</f>
        <v>0</v>
      </c>
      <c r="E222">
        <f t="shared" si="19"/>
        <v>0</v>
      </c>
      <c r="F222">
        <f t="shared" si="20"/>
        <v>0</v>
      </c>
      <c r="H222">
        <f>(1-Initialisation!$C$19/100)*C222</f>
        <v>0</v>
      </c>
      <c r="I222">
        <f t="shared" si="21"/>
        <v>0</v>
      </c>
      <c r="J222">
        <f t="shared" si="22"/>
        <v>0</v>
      </c>
      <c r="K222">
        <f t="shared" si="23"/>
        <v>0</v>
      </c>
      <c r="M222">
        <f>IF(ETR!A222&lt;=Initialisation!$C$24,Initialisation!$D$23,IF(ETR!A222&lt;=Initialisation!$C$25,Initialisation!$D$24,IF(ETR!A222&lt;=Initialisation!$C$26,Initialisation!$D$25,IF(ETR!A222&lt;=Initialisation!$C$27,Initialisation!$D$26,IF(ETR!A223&lt;=Initialisation!$C$28,Initialisation!$D$27,IF(ETR!A223&lt;=Initialisation!$C$29,Initialisation!$D$28,0))))))</f>
        <v>0.5</v>
      </c>
    </row>
    <row r="223" spans="1:13" x14ac:dyDescent="0.35">
      <c r="A223" s="5">
        <f>IF(MeteoJ!A223=$BP$5,A222,MeteoJ!A223)</f>
        <v>42144</v>
      </c>
      <c r="B223">
        <f>MeteoJ!D223</f>
        <v>0</v>
      </c>
      <c r="C223">
        <f t="shared" si="18"/>
        <v>0</v>
      </c>
      <c r="D223">
        <f>MeteoJ!B223</f>
        <v>0</v>
      </c>
      <c r="E223">
        <f t="shared" si="19"/>
        <v>0</v>
      </c>
      <c r="F223">
        <f t="shared" si="20"/>
        <v>0</v>
      </c>
      <c r="H223">
        <f>(1-Initialisation!$C$19/100)*C223</f>
        <v>0</v>
      </c>
      <c r="I223">
        <f t="shared" si="21"/>
        <v>0</v>
      </c>
      <c r="J223">
        <f t="shared" si="22"/>
        <v>0</v>
      </c>
      <c r="K223">
        <f t="shared" si="23"/>
        <v>0</v>
      </c>
      <c r="M223">
        <f>IF(ETR!A223&lt;=Initialisation!$C$24,Initialisation!$D$23,IF(ETR!A223&lt;=Initialisation!$C$25,Initialisation!$D$24,IF(ETR!A223&lt;=Initialisation!$C$26,Initialisation!$D$25,IF(ETR!A223&lt;=Initialisation!$C$27,Initialisation!$D$26,IF(ETR!A224&lt;=Initialisation!$C$28,Initialisation!$D$27,IF(ETR!A224&lt;=Initialisation!$C$29,Initialisation!$D$28,0))))))</f>
        <v>0.5</v>
      </c>
    </row>
    <row r="224" spans="1:13" x14ac:dyDescent="0.35">
      <c r="A224" s="5">
        <f>IF(MeteoJ!A224=$BP$5,A223,MeteoJ!A224)</f>
        <v>42144</v>
      </c>
      <c r="B224">
        <f>MeteoJ!D224</f>
        <v>0</v>
      </c>
      <c r="C224">
        <f t="shared" si="18"/>
        <v>0</v>
      </c>
      <c r="D224">
        <f>MeteoJ!B224</f>
        <v>0</v>
      </c>
      <c r="E224">
        <f t="shared" si="19"/>
        <v>0</v>
      </c>
      <c r="F224">
        <f t="shared" si="20"/>
        <v>0</v>
      </c>
      <c r="H224">
        <f>(1-Initialisation!$C$19/100)*C224</f>
        <v>0</v>
      </c>
      <c r="I224">
        <f t="shared" si="21"/>
        <v>0</v>
      </c>
      <c r="J224">
        <f t="shared" si="22"/>
        <v>0</v>
      </c>
      <c r="K224">
        <f t="shared" si="23"/>
        <v>0</v>
      </c>
      <c r="M224">
        <f>IF(ETR!A224&lt;=Initialisation!$C$24,Initialisation!$D$23,IF(ETR!A224&lt;=Initialisation!$C$25,Initialisation!$D$24,IF(ETR!A224&lt;=Initialisation!$C$26,Initialisation!$D$25,IF(ETR!A224&lt;=Initialisation!$C$27,Initialisation!$D$26,IF(ETR!A225&lt;=Initialisation!$C$28,Initialisation!$D$27,IF(ETR!A225&lt;=Initialisation!$C$29,Initialisation!$D$28,0))))))</f>
        <v>0.5</v>
      </c>
    </row>
    <row r="225" spans="1:13" x14ac:dyDescent="0.35">
      <c r="A225" s="5">
        <f>IF(MeteoJ!A225=$BP$5,A224,MeteoJ!A225)</f>
        <v>42144</v>
      </c>
      <c r="B225">
        <f>MeteoJ!D225</f>
        <v>0</v>
      </c>
      <c r="C225">
        <f t="shared" si="18"/>
        <v>0</v>
      </c>
      <c r="D225">
        <f>MeteoJ!B225</f>
        <v>0</v>
      </c>
      <c r="E225">
        <f t="shared" si="19"/>
        <v>0</v>
      </c>
      <c r="F225">
        <f t="shared" si="20"/>
        <v>0</v>
      </c>
      <c r="H225">
        <f>(1-Initialisation!$C$19/100)*C225</f>
        <v>0</v>
      </c>
      <c r="I225">
        <f t="shared" si="21"/>
        <v>0</v>
      </c>
      <c r="J225">
        <f t="shared" si="22"/>
        <v>0</v>
      </c>
      <c r="K225">
        <f t="shared" si="23"/>
        <v>0</v>
      </c>
      <c r="M225">
        <f>IF(ETR!A225&lt;=Initialisation!$C$24,Initialisation!$D$23,IF(ETR!A225&lt;=Initialisation!$C$25,Initialisation!$D$24,IF(ETR!A225&lt;=Initialisation!$C$26,Initialisation!$D$25,IF(ETR!A225&lt;=Initialisation!$C$27,Initialisation!$D$26,IF(ETR!A226&lt;=Initialisation!$C$28,Initialisation!$D$27,IF(ETR!A226&lt;=Initialisation!$C$29,Initialisation!$D$28,0))))))</f>
        <v>0.5</v>
      </c>
    </row>
    <row r="226" spans="1:13" x14ac:dyDescent="0.35">
      <c r="A226" s="5">
        <f>IF(MeteoJ!A226=$BP$5,A225,MeteoJ!A226)</f>
        <v>42144</v>
      </c>
      <c r="B226">
        <f>MeteoJ!D226</f>
        <v>0</v>
      </c>
      <c r="C226">
        <f t="shared" si="18"/>
        <v>0</v>
      </c>
      <c r="D226">
        <f>MeteoJ!B226</f>
        <v>0</v>
      </c>
      <c r="E226">
        <f t="shared" si="19"/>
        <v>0</v>
      </c>
      <c r="F226">
        <f t="shared" si="20"/>
        <v>0</v>
      </c>
      <c r="H226">
        <f>(1-Initialisation!$C$19/100)*C226</f>
        <v>0</v>
      </c>
      <c r="I226">
        <f t="shared" si="21"/>
        <v>0</v>
      </c>
      <c r="J226">
        <f t="shared" si="22"/>
        <v>0</v>
      </c>
      <c r="K226">
        <f t="shared" si="23"/>
        <v>0</v>
      </c>
      <c r="M226">
        <f>IF(ETR!A226&lt;=Initialisation!$C$24,Initialisation!$D$23,IF(ETR!A226&lt;=Initialisation!$C$25,Initialisation!$D$24,IF(ETR!A226&lt;=Initialisation!$C$26,Initialisation!$D$25,IF(ETR!A226&lt;=Initialisation!$C$27,Initialisation!$D$26,IF(ETR!A227&lt;=Initialisation!$C$28,Initialisation!$D$27,IF(ETR!A227&lt;=Initialisation!$C$29,Initialisation!$D$28,0))))))</f>
        <v>0.5</v>
      </c>
    </row>
    <row r="227" spans="1:13" x14ac:dyDescent="0.35">
      <c r="A227" s="5">
        <f>IF(MeteoJ!A227=$BP$5,A226,MeteoJ!A227)</f>
        <v>42144</v>
      </c>
      <c r="B227">
        <f>MeteoJ!D227</f>
        <v>0</v>
      </c>
      <c r="C227">
        <f t="shared" si="18"/>
        <v>0</v>
      </c>
      <c r="D227">
        <f>MeteoJ!B227</f>
        <v>0</v>
      </c>
      <c r="E227">
        <f t="shared" si="19"/>
        <v>0</v>
      </c>
      <c r="F227">
        <f t="shared" si="20"/>
        <v>0</v>
      </c>
      <c r="H227">
        <f>(1-Initialisation!$C$19/100)*C227</f>
        <v>0</v>
      </c>
      <c r="I227">
        <f t="shared" si="21"/>
        <v>0</v>
      </c>
      <c r="J227">
        <f t="shared" si="22"/>
        <v>0</v>
      </c>
      <c r="K227">
        <f t="shared" si="23"/>
        <v>0</v>
      </c>
      <c r="M227">
        <f>IF(ETR!A227&lt;=Initialisation!$C$24,Initialisation!$D$23,IF(ETR!A227&lt;=Initialisation!$C$25,Initialisation!$D$24,IF(ETR!A227&lt;=Initialisation!$C$26,Initialisation!$D$25,IF(ETR!A227&lt;=Initialisation!$C$27,Initialisation!$D$26,IF(ETR!A228&lt;=Initialisation!$C$28,Initialisation!$D$27,IF(ETR!A228&lt;=Initialisation!$C$29,Initialisation!$D$28,0))))))</f>
        <v>0.5</v>
      </c>
    </row>
    <row r="228" spans="1:13" x14ac:dyDescent="0.35">
      <c r="A228" s="5">
        <f>IF(MeteoJ!A228=$BP$5,A227,MeteoJ!A228)</f>
        <v>42144</v>
      </c>
      <c r="B228">
        <f>MeteoJ!D228</f>
        <v>0</v>
      </c>
      <c r="C228">
        <f t="shared" si="18"/>
        <v>0</v>
      </c>
      <c r="D228">
        <f>MeteoJ!B228</f>
        <v>0</v>
      </c>
      <c r="E228">
        <f t="shared" si="19"/>
        <v>0</v>
      </c>
      <c r="F228">
        <f t="shared" si="20"/>
        <v>0</v>
      </c>
      <c r="H228">
        <f>(1-Initialisation!$C$19/100)*C228</f>
        <v>0</v>
      </c>
      <c r="I228">
        <f t="shared" si="21"/>
        <v>0</v>
      </c>
      <c r="J228">
        <f t="shared" si="22"/>
        <v>0</v>
      </c>
      <c r="K228">
        <f t="shared" si="23"/>
        <v>0</v>
      </c>
      <c r="M228">
        <f>IF(ETR!A228&lt;=Initialisation!$C$24,Initialisation!$D$23,IF(ETR!A228&lt;=Initialisation!$C$25,Initialisation!$D$24,IF(ETR!A228&lt;=Initialisation!$C$26,Initialisation!$D$25,IF(ETR!A228&lt;=Initialisation!$C$27,Initialisation!$D$26,IF(ETR!A229&lt;=Initialisation!$C$28,Initialisation!$D$27,IF(ETR!A229&lt;=Initialisation!$C$29,Initialisation!$D$28,0))))))</f>
        <v>0.5</v>
      </c>
    </row>
    <row r="229" spans="1:13" x14ac:dyDescent="0.35">
      <c r="A229" s="5">
        <f>IF(MeteoJ!A229=$BP$5,A228,MeteoJ!A229)</f>
        <v>42144</v>
      </c>
      <c r="B229">
        <f>MeteoJ!D229</f>
        <v>0</v>
      </c>
      <c r="C229">
        <f t="shared" si="18"/>
        <v>0</v>
      </c>
      <c r="D229">
        <f>MeteoJ!B229</f>
        <v>0</v>
      </c>
      <c r="E229">
        <f t="shared" si="19"/>
        <v>0</v>
      </c>
      <c r="F229">
        <f t="shared" si="20"/>
        <v>0</v>
      </c>
      <c r="H229">
        <f>(1-Initialisation!$C$19/100)*C229</f>
        <v>0</v>
      </c>
      <c r="I229">
        <f t="shared" si="21"/>
        <v>0</v>
      </c>
      <c r="J229">
        <f t="shared" si="22"/>
        <v>0</v>
      </c>
      <c r="K229">
        <f t="shared" si="23"/>
        <v>0</v>
      </c>
      <c r="M229">
        <f>IF(ETR!A229&lt;=Initialisation!$C$24,Initialisation!$D$23,IF(ETR!A229&lt;=Initialisation!$C$25,Initialisation!$D$24,IF(ETR!A229&lt;=Initialisation!$C$26,Initialisation!$D$25,IF(ETR!A229&lt;=Initialisation!$C$27,Initialisation!$D$26,IF(ETR!A230&lt;=Initialisation!$C$28,Initialisation!$D$27,IF(ETR!A230&lt;=Initialisation!$C$29,Initialisation!$D$28,0))))))</f>
        <v>0.5</v>
      </c>
    </row>
    <row r="230" spans="1:13" x14ac:dyDescent="0.35">
      <c r="A230" s="5">
        <f>IF(MeteoJ!A230=$BP$5,A229,MeteoJ!A230)</f>
        <v>42144</v>
      </c>
      <c r="B230">
        <f>MeteoJ!D230</f>
        <v>0</v>
      </c>
      <c r="C230">
        <f t="shared" si="18"/>
        <v>0</v>
      </c>
      <c r="D230">
        <f>MeteoJ!B230</f>
        <v>0</v>
      </c>
      <c r="E230">
        <f t="shared" si="19"/>
        <v>0</v>
      </c>
      <c r="F230">
        <f t="shared" si="20"/>
        <v>0</v>
      </c>
      <c r="H230">
        <f>(1-Initialisation!$C$19/100)*C230</f>
        <v>0</v>
      </c>
      <c r="I230">
        <f t="shared" si="21"/>
        <v>0</v>
      </c>
      <c r="J230">
        <f t="shared" si="22"/>
        <v>0</v>
      </c>
      <c r="K230">
        <f t="shared" si="23"/>
        <v>0</v>
      </c>
      <c r="M230">
        <f>IF(ETR!A230&lt;=Initialisation!$C$24,Initialisation!$D$23,IF(ETR!A230&lt;=Initialisation!$C$25,Initialisation!$D$24,IF(ETR!A230&lt;=Initialisation!$C$26,Initialisation!$D$25,IF(ETR!A230&lt;=Initialisation!$C$27,Initialisation!$D$26,IF(ETR!A231&lt;=Initialisation!$C$28,Initialisation!$D$27,IF(ETR!A231&lt;=Initialisation!$C$29,Initialisation!$D$28,0))))))</f>
        <v>0.5</v>
      </c>
    </row>
    <row r="231" spans="1:13" x14ac:dyDescent="0.35">
      <c r="A231" s="5">
        <f>IF(MeteoJ!A231=$BP$5,A230,MeteoJ!A231)</f>
        <v>42144</v>
      </c>
      <c r="B231">
        <f>MeteoJ!D231</f>
        <v>0</v>
      </c>
      <c r="C231">
        <f t="shared" si="18"/>
        <v>0</v>
      </c>
      <c r="D231">
        <f>MeteoJ!B231</f>
        <v>0</v>
      </c>
      <c r="E231">
        <f t="shared" si="19"/>
        <v>0</v>
      </c>
      <c r="F231">
        <f t="shared" si="20"/>
        <v>0</v>
      </c>
      <c r="H231">
        <f>(1-Initialisation!$C$19/100)*C231</f>
        <v>0</v>
      </c>
      <c r="I231">
        <f t="shared" si="21"/>
        <v>0</v>
      </c>
      <c r="J231">
        <f t="shared" si="22"/>
        <v>0</v>
      </c>
      <c r="K231">
        <f t="shared" si="23"/>
        <v>0</v>
      </c>
      <c r="M231">
        <f>IF(ETR!A231&lt;=Initialisation!$C$24,Initialisation!$D$23,IF(ETR!A231&lt;=Initialisation!$C$25,Initialisation!$D$24,IF(ETR!A231&lt;=Initialisation!$C$26,Initialisation!$D$25,IF(ETR!A231&lt;=Initialisation!$C$27,Initialisation!$D$26,IF(ETR!A232&lt;=Initialisation!$C$28,Initialisation!$D$27,IF(ETR!A232&lt;=Initialisation!$C$29,Initialisation!$D$28,0))))))</f>
        <v>0.5</v>
      </c>
    </row>
    <row r="232" spans="1:13" x14ac:dyDescent="0.35">
      <c r="A232" s="5">
        <f>IF(MeteoJ!A232=$BP$5,A231,MeteoJ!A232)</f>
        <v>42144</v>
      </c>
      <c r="B232">
        <f>MeteoJ!D232</f>
        <v>0</v>
      </c>
      <c r="C232">
        <f t="shared" si="18"/>
        <v>0</v>
      </c>
      <c r="D232">
        <f>MeteoJ!B232</f>
        <v>0</v>
      </c>
      <c r="E232">
        <f t="shared" si="19"/>
        <v>0</v>
      </c>
      <c r="F232">
        <f t="shared" si="20"/>
        <v>0</v>
      </c>
      <c r="H232">
        <f>(1-Initialisation!$C$19/100)*C232</f>
        <v>0</v>
      </c>
      <c r="I232">
        <f t="shared" si="21"/>
        <v>0</v>
      </c>
      <c r="J232">
        <f t="shared" si="22"/>
        <v>0</v>
      </c>
      <c r="K232">
        <f t="shared" si="23"/>
        <v>0</v>
      </c>
      <c r="M232">
        <f>IF(ETR!A232&lt;=Initialisation!$C$24,Initialisation!$D$23,IF(ETR!A232&lt;=Initialisation!$C$25,Initialisation!$D$24,IF(ETR!A232&lt;=Initialisation!$C$26,Initialisation!$D$25,IF(ETR!A232&lt;=Initialisation!$C$27,Initialisation!$D$26,IF(ETR!A233&lt;=Initialisation!$C$28,Initialisation!$D$27,IF(ETR!A233&lt;=Initialisation!$C$29,Initialisation!$D$28,0))))))</f>
        <v>0.5</v>
      </c>
    </row>
    <row r="233" spans="1:13" x14ac:dyDescent="0.35">
      <c r="A233" s="5">
        <f>IF(MeteoJ!A233=$BP$5,A232,MeteoJ!A233)</f>
        <v>42144</v>
      </c>
      <c r="B233">
        <f>MeteoJ!D233</f>
        <v>0</v>
      </c>
      <c r="C233">
        <f t="shared" si="18"/>
        <v>0</v>
      </c>
      <c r="D233">
        <f>MeteoJ!B233</f>
        <v>0</v>
      </c>
      <c r="E233">
        <f t="shared" si="19"/>
        <v>0</v>
      </c>
      <c r="F233">
        <f t="shared" si="20"/>
        <v>0</v>
      </c>
      <c r="H233">
        <f>(1-Initialisation!$C$19/100)*C233</f>
        <v>0</v>
      </c>
      <c r="I233">
        <f t="shared" si="21"/>
        <v>0</v>
      </c>
      <c r="J233">
        <f t="shared" si="22"/>
        <v>0</v>
      </c>
      <c r="K233">
        <f t="shared" si="23"/>
        <v>0</v>
      </c>
      <c r="M233">
        <f>IF(ETR!A233&lt;=Initialisation!$C$24,Initialisation!$D$23,IF(ETR!A233&lt;=Initialisation!$C$25,Initialisation!$D$24,IF(ETR!A233&lt;=Initialisation!$C$26,Initialisation!$D$25,IF(ETR!A233&lt;=Initialisation!$C$27,Initialisation!$D$26,IF(ETR!A234&lt;=Initialisation!$C$28,Initialisation!$D$27,IF(ETR!A234&lt;=Initialisation!$C$29,Initialisation!$D$28,0))))))</f>
        <v>0.5</v>
      </c>
    </row>
    <row r="234" spans="1:13" x14ac:dyDescent="0.35">
      <c r="A234" s="5">
        <f>IF(MeteoJ!A234=$BP$5,A233,MeteoJ!A234)</f>
        <v>42144</v>
      </c>
      <c r="B234">
        <f>MeteoJ!D234</f>
        <v>0</v>
      </c>
      <c r="C234">
        <f t="shared" si="18"/>
        <v>0</v>
      </c>
      <c r="D234">
        <f>MeteoJ!B234</f>
        <v>0</v>
      </c>
      <c r="E234">
        <f t="shared" si="19"/>
        <v>0</v>
      </c>
      <c r="F234">
        <f t="shared" si="20"/>
        <v>0</v>
      </c>
      <c r="H234">
        <f>(1-Initialisation!$C$19/100)*C234</f>
        <v>0</v>
      </c>
      <c r="I234">
        <f t="shared" si="21"/>
        <v>0</v>
      </c>
      <c r="J234">
        <f t="shared" si="22"/>
        <v>0</v>
      </c>
      <c r="K234">
        <f t="shared" si="23"/>
        <v>0</v>
      </c>
      <c r="M234">
        <f>IF(ETR!A234&lt;=Initialisation!$C$24,Initialisation!$D$23,IF(ETR!A234&lt;=Initialisation!$C$25,Initialisation!$D$24,IF(ETR!A234&lt;=Initialisation!$C$26,Initialisation!$D$25,IF(ETR!A234&lt;=Initialisation!$C$27,Initialisation!$D$26,IF(ETR!A235&lt;=Initialisation!$C$28,Initialisation!$D$27,IF(ETR!A235&lt;=Initialisation!$C$29,Initialisation!$D$28,0))))))</f>
        <v>0.5</v>
      </c>
    </row>
    <row r="235" spans="1:13" x14ac:dyDescent="0.35">
      <c r="A235" s="5">
        <f>IF(MeteoJ!A235=$BP$5,A234,MeteoJ!A235)</f>
        <v>42144</v>
      </c>
      <c r="B235">
        <f>MeteoJ!D235</f>
        <v>0</v>
      </c>
      <c r="C235">
        <f t="shared" si="18"/>
        <v>0</v>
      </c>
      <c r="D235">
        <f>MeteoJ!B235</f>
        <v>0</v>
      </c>
      <c r="E235">
        <f t="shared" si="19"/>
        <v>0</v>
      </c>
      <c r="F235">
        <f t="shared" si="20"/>
        <v>0</v>
      </c>
      <c r="H235">
        <f>(1-Initialisation!$C$19/100)*C235</f>
        <v>0</v>
      </c>
      <c r="I235">
        <f t="shared" si="21"/>
        <v>0</v>
      </c>
      <c r="J235">
        <f t="shared" si="22"/>
        <v>0</v>
      </c>
      <c r="K235">
        <f t="shared" si="23"/>
        <v>0</v>
      </c>
      <c r="M235">
        <f>IF(ETR!A235&lt;=Initialisation!$C$24,Initialisation!$D$23,IF(ETR!A235&lt;=Initialisation!$C$25,Initialisation!$D$24,IF(ETR!A235&lt;=Initialisation!$C$26,Initialisation!$D$25,IF(ETR!A235&lt;=Initialisation!$C$27,Initialisation!$D$26,IF(ETR!A236&lt;=Initialisation!$C$28,Initialisation!$D$27,IF(ETR!A236&lt;=Initialisation!$C$29,Initialisation!$D$28,0))))))</f>
        <v>0.5</v>
      </c>
    </row>
    <row r="236" spans="1:13" x14ac:dyDescent="0.35">
      <c r="A236" s="5">
        <f>IF(MeteoJ!A236=$BP$5,A235,MeteoJ!A236)</f>
        <v>42144</v>
      </c>
      <c r="B236">
        <f>MeteoJ!D236</f>
        <v>0</v>
      </c>
      <c r="C236">
        <f t="shared" si="18"/>
        <v>0</v>
      </c>
      <c r="D236">
        <f>MeteoJ!B236</f>
        <v>0</v>
      </c>
      <c r="E236">
        <f t="shared" si="19"/>
        <v>0</v>
      </c>
      <c r="F236">
        <f t="shared" si="20"/>
        <v>0</v>
      </c>
      <c r="H236">
        <f>(1-Initialisation!$C$19/100)*C236</f>
        <v>0</v>
      </c>
      <c r="I236">
        <f t="shared" si="21"/>
        <v>0</v>
      </c>
      <c r="J236">
        <f t="shared" si="22"/>
        <v>0</v>
      </c>
      <c r="K236">
        <f t="shared" si="23"/>
        <v>0</v>
      </c>
      <c r="M236">
        <f>IF(ETR!A236&lt;=Initialisation!$C$24,Initialisation!$D$23,IF(ETR!A236&lt;=Initialisation!$C$25,Initialisation!$D$24,IF(ETR!A236&lt;=Initialisation!$C$26,Initialisation!$D$25,IF(ETR!A236&lt;=Initialisation!$C$27,Initialisation!$D$26,IF(ETR!A237&lt;=Initialisation!$C$28,Initialisation!$D$27,IF(ETR!A237&lt;=Initialisation!$C$29,Initialisation!$D$28,0))))))</f>
        <v>0.5</v>
      </c>
    </row>
    <row r="237" spans="1:13" x14ac:dyDescent="0.35">
      <c r="A237" s="5">
        <f>IF(MeteoJ!A237=$BP$5,A236,MeteoJ!A237)</f>
        <v>42144</v>
      </c>
      <c r="B237">
        <f>MeteoJ!D237</f>
        <v>0</v>
      </c>
      <c r="C237">
        <f t="shared" si="18"/>
        <v>0</v>
      </c>
      <c r="D237">
        <f>MeteoJ!B237</f>
        <v>0</v>
      </c>
      <c r="E237">
        <f t="shared" si="19"/>
        <v>0</v>
      </c>
      <c r="F237">
        <f t="shared" si="20"/>
        <v>0</v>
      </c>
      <c r="H237">
        <f>(1-Initialisation!$C$19/100)*C237</f>
        <v>0</v>
      </c>
      <c r="I237">
        <f t="shared" si="21"/>
        <v>0</v>
      </c>
      <c r="J237">
        <f t="shared" si="22"/>
        <v>0</v>
      </c>
      <c r="K237">
        <f t="shared" si="23"/>
        <v>0</v>
      </c>
      <c r="M237">
        <f>IF(ETR!A237&lt;=Initialisation!$C$24,Initialisation!$D$23,IF(ETR!A237&lt;=Initialisation!$C$25,Initialisation!$D$24,IF(ETR!A237&lt;=Initialisation!$C$26,Initialisation!$D$25,IF(ETR!A237&lt;=Initialisation!$C$27,Initialisation!$D$26,IF(ETR!A238&lt;=Initialisation!$C$28,Initialisation!$D$27,IF(ETR!A238&lt;=Initialisation!$C$29,Initialisation!$D$28,0))))))</f>
        <v>0.5</v>
      </c>
    </row>
    <row r="238" spans="1:13" x14ac:dyDescent="0.35">
      <c r="A238" s="5">
        <f>IF(MeteoJ!A238=$BP$5,A237,MeteoJ!A238)</f>
        <v>42144</v>
      </c>
      <c r="B238">
        <f>MeteoJ!D238</f>
        <v>0</v>
      </c>
      <c r="C238">
        <f t="shared" si="18"/>
        <v>0</v>
      </c>
      <c r="D238">
        <f>MeteoJ!B238</f>
        <v>0</v>
      </c>
      <c r="E238">
        <f t="shared" si="19"/>
        <v>0</v>
      </c>
      <c r="F238">
        <f t="shared" si="20"/>
        <v>0</v>
      </c>
      <c r="H238">
        <f>(1-Initialisation!$C$19/100)*C238</f>
        <v>0</v>
      </c>
      <c r="I238">
        <f t="shared" si="21"/>
        <v>0</v>
      </c>
      <c r="J238">
        <f t="shared" si="22"/>
        <v>0</v>
      </c>
      <c r="K238">
        <f t="shared" si="23"/>
        <v>0</v>
      </c>
      <c r="M238">
        <f>IF(ETR!A238&lt;=Initialisation!$C$24,Initialisation!$D$23,IF(ETR!A238&lt;=Initialisation!$C$25,Initialisation!$D$24,IF(ETR!A238&lt;=Initialisation!$C$26,Initialisation!$D$25,IF(ETR!A238&lt;=Initialisation!$C$27,Initialisation!$D$26,IF(ETR!A239&lt;=Initialisation!$C$28,Initialisation!$D$27,IF(ETR!A239&lt;=Initialisation!$C$29,Initialisation!$D$28,0))))))</f>
        <v>0.5</v>
      </c>
    </row>
    <row r="239" spans="1:13" x14ac:dyDescent="0.35">
      <c r="A239" s="5">
        <f>IF(MeteoJ!A239=$BP$5,A238,MeteoJ!A239)</f>
        <v>42144</v>
      </c>
      <c r="B239">
        <f>MeteoJ!D239</f>
        <v>0</v>
      </c>
      <c r="C239">
        <f t="shared" si="18"/>
        <v>0</v>
      </c>
      <c r="D239">
        <f>MeteoJ!B239</f>
        <v>0</v>
      </c>
      <c r="E239">
        <f t="shared" si="19"/>
        <v>0</v>
      </c>
      <c r="F239">
        <f t="shared" si="20"/>
        <v>0</v>
      </c>
      <c r="H239">
        <f>(1-Initialisation!$C$19/100)*C239</f>
        <v>0</v>
      </c>
      <c r="I239">
        <f t="shared" si="21"/>
        <v>0</v>
      </c>
      <c r="J239">
        <f t="shared" si="22"/>
        <v>0</v>
      </c>
      <c r="K239">
        <f t="shared" si="23"/>
        <v>0</v>
      </c>
      <c r="M239">
        <f>IF(ETR!A239&lt;=Initialisation!$C$24,Initialisation!$D$23,IF(ETR!A239&lt;=Initialisation!$C$25,Initialisation!$D$24,IF(ETR!A239&lt;=Initialisation!$C$26,Initialisation!$D$25,IF(ETR!A239&lt;=Initialisation!$C$27,Initialisation!$D$26,IF(ETR!A240&lt;=Initialisation!$C$28,Initialisation!$D$27,IF(ETR!A240&lt;=Initialisation!$C$29,Initialisation!$D$28,0))))))</f>
        <v>0.5</v>
      </c>
    </row>
    <row r="240" spans="1:13" x14ac:dyDescent="0.35">
      <c r="A240" s="5">
        <f>IF(MeteoJ!A240=$BP$5,A239,MeteoJ!A240)</f>
        <v>42144</v>
      </c>
      <c r="B240">
        <f>MeteoJ!D240</f>
        <v>0</v>
      </c>
      <c r="C240">
        <f t="shared" si="18"/>
        <v>0</v>
      </c>
      <c r="D240">
        <f>MeteoJ!B240</f>
        <v>0</v>
      </c>
      <c r="E240">
        <f t="shared" si="19"/>
        <v>0</v>
      </c>
      <c r="F240">
        <f t="shared" si="20"/>
        <v>0</v>
      </c>
      <c r="H240">
        <f>(1-Initialisation!$C$19/100)*C240</f>
        <v>0</v>
      </c>
      <c r="I240">
        <f t="shared" si="21"/>
        <v>0</v>
      </c>
      <c r="J240">
        <f t="shared" si="22"/>
        <v>0</v>
      </c>
      <c r="K240">
        <f t="shared" si="23"/>
        <v>0</v>
      </c>
      <c r="M240">
        <f>IF(ETR!A240&lt;=Initialisation!$C$24,Initialisation!$D$23,IF(ETR!A240&lt;=Initialisation!$C$25,Initialisation!$D$24,IF(ETR!A240&lt;=Initialisation!$C$26,Initialisation!$D$25,IF(ETR!A240&lt;=Initialisation!$C$27,Initialisation!$D$26,IF(ETR!A241&lt;=Initialisation!$C$28,Initialisation!$D$27,IF(ETR!A241&lt;=Initialisation!$C$29,Initialisation!$D$28,0))))))</f>
        <v>0.5</v>
      </c>
    </row>
    <row r="241" spans="1:13" x14ac:dyDescent="0.35">
      <c r="A241" s="5">
        <f>IF(MeteoJ!A241=$BP$5,A240,MeteoJ!A241)</f>
        <v>42144</v>
      </c>
      <c r="B241">
        <f>MeteoJ!D241</f>
        <v>0</v>
      </c>
      <c r="C241">
        <f t="shared" si="18"/>
        <v>0</v>
      </c>
      <c r="D241">
        <f>MeteoJ!B241</f>
        <v>0</v>
      </c>
      <c r="E241">
        <f t="shared" si="19"/>
        <v>0</v>
      </c>
      <c r="F241">
        <f t="shared" si="20"/>
        <v>0</v>
      </c>
      <c r="H241">
        <f>(1-Initialisation!$C$19/100)*C241</f>
        <v>0</v>
      </c>
      <c r="I241">
        <f t="shared" si="21"/>
        <v>0</v>
      </c>
      <c r="J241">
        <f t="shared" si="22"/>
        <v>0</v>
      </c>
      <c r="K241">
        <f t="shared" si="23"/>
        <v>0</v>
      </c>
      <c r="M241">
        <f>IF(ETR!A241&lt;=Initialisation!$C$24,Initialisation!$D$23,IF(ETR!A241&lt;=Initialisation!$C$25,Initialisation!$D$24,IF(ETR!A241&lt;=Initialisation!$C$26,Initialisation!$D$25,IF(ETR!A241&lt;=Initialisation!$C$27,Initialisation!$D$26,IF(ETR!A242&lt;=Initialisation!$C$28,Initialisation!$D$27,IF(ETR!A242&lt;=Initialisation!$C$29,Initialisation!$D$28,0))))))</f>
        <v>0.5</v>
      </c>
    </row>
    <row r="242" spans="1:13" x14ac:dyDescent="0.35">
      <c r="A242" s="5">
        <f>IF(MeteoJ!A242=$BP$5,A241,MeteoJ!A242)</f>
        <v>42144</v>
      </c>
      <c r="B242">
        <f>MeteoJ!D242</f>
        <v>0</v>
      </c>
      <c r="C242">
        <f t="shared" si="18"/>
        <v>0</v>
      </c>
      <c r="D242">
        <f>MeteoJ!B242</f>
        <v>0</v>
      </c>
      <c r="E242">
        <f t="shared" si="19"/>
        <v>0</v>
      </c>
      <c r="F242">
        <f t="shared" si="20"/>
        <v>0</v>
      </c>
      <c r="H242">
        <f>(1-Initialisation!$C$19/100)*C242</f>
        <v>0</v>
      </c>
      <c r="I242">
        <f t="shared" si="21"/>
        <v>0</v>
      </c>
      <c r="J242">
        <f t="shared" si="22"/>
        <v>0</v>
      </c>
      <c r="K242">
        <f t="shared" si="23"/>
        <v>0</v>
      </c>
      <c r="M242">
        <f>IF(ETR!A242&lt;=Initialisation!$C$24,Initialisation!$D$23,IF(ETR!A242&lt;=Initialisation!$C$25,Initialisation!$D$24,IF(ETR!A242&lt;=Initialisation!$C$26,Initialisation!$D$25,IF(ETR!A242&lt;=Initialisation!$C$27,Initialisation!$D$26,IF(ETR!A243&lt;=Initialisation!$C$28,Initialisation!$D$27,IF(ETR!A243&lt;=Initialisation!$C$29,Initialisation!$D$28,0))))))</f>
        <v>0.5</v>
      </c>
    </row>
    <row r="243" spans="1:13" x14ac:dyDescent="0.35">
      <c r="A243" s="5">
        <f>IF(MeteoJ!A243=$BP$5,A242,MeteoJ!A243)</f>
        <v>42144</v>
      </c>
      <c r="B243">
        <f>MeteoJ!D243</f>
        <v>0</v>
      </c>
      <c r="C243">
        <f t="shared" si="18"/>
        <v>0</v>
      </c>
      <c r="D243">
        <f>MeteoJ!B243</f>
        <v>0</v>
      </c>
      <c r="E243">
        <f t="shared" si="19"/>
        <v>0</v>
      </c>
      <c r="F243">
        <f t="shared" si="20"/>
        <v>0</v>
      </c>
      <c r="H243">
        <f>(1-Initialisation!$C$19/100)*C243</f>
        <v>0</v>
      </c>
      <c r="I243">
        <f t="shared" si="21"/>
        <v>0</v>
      </c>
      <c r="J243">
        <f t="shared" si="22"/>
        <v>0</v>
      </c>
      <c r="K243">
        <f t="shared" si="23"/>
        <v>0</v>
      </c>
      <c r="M243">
        <f>IF(ETR!A243&lt;=Initialisation!$C$24,Initialisation!$D$23,IF(ETR!A243&lt;=Initialisation!$C$25,Initialisation!$D$24,IF(ETR!A243&lt;=Initialisation!$C$26,Initialisation!$D$25,IF(ETR!A243&lt;=Initialisation!$C$27,Initialisation!$D$26,IF(ETR!A244&lt;=Initialisation!$C$28,Initialisation!$D$27,IF(ETR!A244&lt;=Initialisation!$C$29,Initialisation!$D$28,0))))))</f>
        <v>0.5</v>
      </c>
    </row>
    <row r="244" spans="1:13" x14ac:dyDescent="0.35">
      <c r="A244" s="5">
        <f>IF(MeteoJ!A244=$BP$5,A243,MeteoJ!A244)</f>
        <v>42144</v>
      </c>
      <c r="B244">
        <f>MeteoJ!D244</f>
        <v>0</v>
      </c>
      <c r="C244">
        <f t="shared" si="18"/>
        <v>0</v>
      </c>
      <c r="D244">
        <f>MeteoJ!B244</f>
        <v>0</v>
      </c>
      <c r="E244">
        <f t="shared" si="19"/>
        <v>0</v>
      </c>
      <c r="F244">
        <f t="shared" si="20"/>
        <v>0</v>
      </c>
      <c r="H244">
        <f>(1-Initialisation!$C$19/100)*C244</f>
        <v>0</v>
      </c>
      <c r="I244">
        <f t="shared" si="21"/>
        <v>0</v>
      </c>
      <c r="J244">
        <f t="shared" si="22"/>
        <v>0</v>
      </c>
      <c r="K244">
        <f t="shared" si="23"/>
        <v>0</v>
      </c>
      <c r="M244">
        <f>IF(ETR!A244&lt;=Initialisation!$C$24,Initialisation!$D$23,IF(ETR!A244&lt;=Initialisation!$C$25,Initialisation!$D$24,IF(ETR!A244&lt;=Initialisation!$C$26,Initialisation!$D$25,IF(ETR!A244&lt;=Initialisation!$C$27,Initialisation!$D$26,IF(ETR!A245&lt;=Initialisation!$C$28,Initialisation!$D$27,IF(ETR!A245&lt;=Initialisation!$C$29,Initialisation!$D$28,0))))))</f>
        <v>0.5</v>
      </c>
    </row>
    <row r="245" spans="1:13" x14ac:dyDescent="0.35">
      <c r="A245" s="5">
        <f>IF(MeteoJ!A245=$BP$5,A244,MeteoJ!A245)</f>
        <v>42144</v>
      </c>
      <c r="B245">
        <f>MeteoJ!D245</f>
        <v>0</v>
      </c>
      <c r="C245">
        <f t="shared" si="18"/>
        <v>0</v>
      </c>
      <c r="D245">
        <f>MeteoJ!B245</f>
        <v>0</v>
      </c>
      <c r="E245">
        <f t="shared" si="19"/>
        <v>0</v>
      </c>
      <c r="F245">
        <f t="shared" si="20"/>
        <v>0</v>
      </c>
      <c r="H245">
        <f>(1-Initialisation!$C$19/100)*C245</f>
        <v>0</v>
      </c>
      <c r="I245">
        <f t="shared" si="21"/>
        <v>0</v>
      </c>
      <c r="J245">
        <f t="shared" si="22"/>
        <v>0</v>
      </c>
      <c r="K245">
        <f t="shared" si="23"/>
        <v>0</v>
      </c>
      <c r="M245">
        <f>IF(ETR!A245&lt;=Initialisation!$C$24,Initialisation!$D$23,IF(ETR!A245&lt;=Initialisation!$C$25,Initialisation!$D$24,IF(ETR!A245&lt;=Initialisation!$C$26,Initialisation!$D$25,IF(ETR!A245&lt;=Initialisation!$C$27,Initialisation!$D$26,IF(ETR!A246&lt;=Initialisation!$C$28,Initialisation!$D$27,IF(ETR!A246&lt;=Initialisation!$C$29,Initialisation!$D$28,0))))))</f>
        <v>0.5</v>
      </c>
    </row>
    <row r="246" spans="1:13" x14ac:dyDescent="0.35">
      <c r="A246" s="5">
        <f>IF(MeteoJ!A246=$BP$5,A245,MeteoJ!A246)</f>
        <v>42144</v>
      </c>
      <c r="B246">
        <f>MeteoJ!D246</f>
        <v>0</v>
      </c>
      <c r="C246">
        <f t="shared" si="18"/>
        <v>0</v>
      </c>
      <c r="D246">
        <f>MeteoJ!B246</f>
        <v>0</v>
      </c>
      <c r="E246">
        <f t="shared" si="19"/>
        <v>0</v>
      </c>
      <c r="F246">
        <f t="shared" si="20"/>
        <v>0</v>
      </c>
      <c r="H246">
        <f>(1-Initialisation!$C$19/100)*C246</f>
        <v>0</v>
      </c>
      <c r="I246">
        <f t="shared" si="21"/>
        <v>0</v>
      </c>
      <c r="J246">
        <f t="shared" si="22"/>
        <v>0</v>
      </c>
      <c r="K246">
        <f t="shared" si="23"/>
        <v>0</v>
      </c>
      <c r="M246">
        <f>IF(ETR!A246&lt;=Initialisation!$C$24,Initialisation!$D$23,IF(ETR!A246&lt;=Initialisation!$C$25,Initialisation!$D$24,IF(ETR!A246&lt;=Initialisation!$C$26,Initialisation!$D$25,IF(ETR!A246&lt;=Initialisation!$C$27,Initialisation!$D$26,IF(ETR!A247&lt;=Initialisation!$C$28,Initialisation!$D$27,IF(ETR!A247&lt;=Initialisation!$C$29,Initialisation!$D$28,0))))))</f>
        <v>0.5</v>
      </c>
    </row>
    <row r="247" spans="1:13" x14ac:dyDescent="0.35">
      <c r="A247" s="5">
        <f>IF(MeteoJ!A247=$BP$5,A246,MeteoJ!A247)</f>
        <v>42144</v>
      </c>
      <c r="B247">
        <f>MeteoJ!D247</f>
        <v>0</v>
      </c>
      <c r="C247">
        <f t="shared" si="18"/>
        <v>0</v>
      </c>
      <c r="D247">
        <f>MeteoJ!B247</f>
        <v>0</v>
      </c>
      <c r="E247">
        <f t="shared" si="19"/>
        <v>0</v>
      </c>
      <c r="F247">
        <f t="shared" si="20"/>
        <v>0</v>
      </c>
      <c r="H247">
        <f>(1-Initialisation!$C$19/100)*C247</f>
        <v>0</v>
      </c>
      <c r="I247">
        <f t="shared" si="21"/>
        <v>0</v>
      </c>
      <c r="J247">
        <f t="shared" si="22"/>
        <v>0</v>
      </c>
      <c r="K247">
        <f t="shared" si="23"/>
        <v>0</v>
      </c>
      <c r="M247">
        <f>IF(ETR!A247&lt;=Initialisation!$C$24,Initialisation!$D$23,IF(ETR!A247&lt;=Initialisation!$C$25,Initialisation!$D$24,IF(ETR!A247&lt;=Initialisation!$C$26,Initialisation!$D$25,IF(ETR!A247&lt;=Initialisation!$C$27,Initialisation!$D$26,IF(ETR!A248&lt;=Initialisation!$C$28,Initialisation!$D$27,IF(ETR!A248&lt;=Initialisation!$C$29,Initialisation!$D$28,0))))))</f>
        <v>0.5</v>
      </c>
    </row>
    <row r="248" spans="1:13" x14ac:dyDescent="0.35">
      <c r="A248" s="5">
        <f>IF(MeteoJ!A248=$BP$5,A247,MeteoJ!A248)</f>
        <v>42144</v>
      </c>
      <c r="B248">
        <f>MeteoJ!D248</f>
        <v>0</v>
      </c>
      <c r="C248">
        <f t="shared" si="18"/>
        <v>0</v>
      </c>
      <c r="D248">
        <f>MeteoJ!B248</f>
        <v>0</v>
      </c>
      <c r="E248">
        <f t="shared" si="19"/>
        <v>0</v>
      </c>
      <c r="F248">
        <f t="shared" si="20"/>
        <v>0</v>
      </c>
      <c r="H248">
        <f>(1-Initialisation!$C$19/100)*C248</f>
        <v>0</v>
      </c>
      <c r="I248">
        <f t="shared" si="21"/>
        <v>0</v>
      </c>
      <c r="J248">
        <f t="shared" si="22"/>
        <v>0</v>
      </c>
      <c r="K248">
        <f t="shared" si="23"/>
        <v>0</v>
      </c>
      <c r="M248">
        <f>IF(ETR!A248&lt;=Initialisation!$C$24,Initialisation!$D$23,IF(ETR!A248&lt;=Initialisation!$C$25,Initialisation!$D$24,IF(ETR!A248&lt;=Initialisation!$C$26,Initialisation!$D$25,IF(ETR!A248&lt;=Initialisation!$C$27,Initialisation!$D$26,IF(ETR!A249&lt;=Initialisation!$C$28,Initialisation!$D$27,IF(ETR!A249&lt;=Initialisation!$C$29,Initialisation!$D$28,0))))))</f>
        <v>0.5</v>
      </c>
    </row>
    <row r="249" spans="1:13" x14ac:dyDescent="0.35">
      <c r="A249" s="5">
        <f>IF(MeteoJ!A249=$BP$5,A248,MeteoJ!A249)</f>
        <v>42144</v>
      </c>
      <c r="B249">
        <f>MeteoJ!D249</f>
        <v>0</v>
      </c>
      <c r="C249">
        <f t="shared" si="18"/>
        <v>0</v>
      </c>
      <c r="D249">
        <f>MeteoJ!B249</f>
        <v>0</v>
      </c>
      <c r="E249">
        <f t="shared" si="19"/>
        <v>0</v>
      </c>
      <c r="F249">
        <f t="shared" si="20"/>
        <v>0</v>
      </c>
      <c r="H249">
        <f>(1-Initialisation!$C$19/100)*C249</f>
        <v>0</v>
      </c>
      <c r="I249">
        <f t="shared" si="21"/>
        <v>0</v>
      </c>
      <c r="J249">
        <f t="shared" si="22"/>
        <v>0</v>
      </c>
      <c r="K249">
        <f t="shared" si="23"/>
        <v>0</v>
      </c>
      <c r="M249">
        <f>IF(ETR!A249&lt;=Initialisation!$C$24,Initialisation!$D$23,IF(ETR!A249&lt;=Initialisation!$C$25,Initialisation!$D$24,IF(ETR!A249&lt;=Initialisation!$C$26,Initialisation!$D$25,IF(ETR!A249&lt;=Initialisation!$C$27,Initialisation!$D$26,IF(ETR!A250&lt;=Initialisation!$C$28,Initialisation!$D$27,IF(ETR!A250&lt;=Initialisation!$C$29,Initialisation!$D$28,0))))))</f>
        <v>0.5</v>
      </c>
    </row>
    <row r="250" spans="1:13" x14ac:dyDescent="0.35">
      <c r="A250" s="5">
        <f>IF(MeteoJ!A250=$BP$5,A249,MeteoJ!A250)</f>
        <v>42144</v>
      </c>
      <c r="B250">
        <f>MeteoJ!D250</f>
        <v>0</v>
      </c>
      <c r="C250">
        <f t="shared" si="18"/>
        <v>0</v>
      </c>
      <c r="D250">
        <f>MeteoJ!B250</f>
        <v>0</v>
      </c>
      <c r="E250">
        <f t="shared" si="19"/>
        <v>0</v>
      </c>
      <c r="F250">
        <f t="shared" si="20"/>
        <v>0</v>
      </c>
      <c r="H250">
        <f>(1-Initialisation!$C$19/100)*C250</f>
        <v>0</v>
      </c>
      <c r="I250">
        <f t="shared" si="21"/>
        <v>0</v>
      </c>
      <c r="J250">
        <f t="shared" si="22"/>
        <v>0</v>
      </c>
      <c r="K250">
        <f t="shared" si="23"/>
        <v>0</v>
      </c>
      <c r="M250">
        <f>IF(ETR!A250&lt;=Initialisation!$C$24,Initialisation!$D$23,IF(ETR!A250&lt;=Initialisation!$C$25,Initialisation!$D$24,IF(ETR!A250&lt;=Initialisation!$C$26,Initialisation!$D$25,IF(ETR!A250&lt;=Initialisation!$C$27,Initialisation!$D$26,IF(ETR!A251&lt;=Initialisation!$C$28,Initialisation!$D$27,IF(ETR!A251&lt;=Initialisation!$C$29,Initialisation!$D$28,0))))))</f>
        <v>0.5</v>
      </c>
    </row>
    <row r="251" spans="1:13" x14ac:dyDescent="0.35">
      <c r="A251" s="5">
        <f>IF(MeteoJ!A251=$BP$5,A250,MeteoJ!A251)</f>
        <v>42144</v>
      </c>
      <c r="B251">
        <f>MeteoJ!D251</f>
        <v>0</v>
      </c>
      <c r="C251">
        <f t="shared" si="18"/>
        <v>0</v>
      </c>
      <c r="D251">
        <f>MeteoJ!B251</f>
        <v>0</v>
      </c>
      <c r="E251">
        <f t="shared" si="19"/>
        <v>0</v>
      </c>
      <c r="F251">
        <f t="shared" si="20"/>
        <v>0</v>
      </c>
      <c r="H251">
        <f>(1-Initialisation!$C$19/100)*C251</f>
        <v>0</v>
      </c>
      <c r="I251">
        <f t="shared" si="21"/>
        <v>0</v>
      </c>
      <c r="J251">
        <f t="shared" si="22"/>
        <v>0</v>
      </c>
      <c r="K251">
        <f t="shared" si="23"/>
        <v>0</v>
      </c>
      <c r="M251">
        <f>IF(ETR!A251&lt;=Initialisation!$C$24,Initialisation!$D$23,IF(ETR!A251&lt;=Initialisation!$C$25,Initialisation!$D$24,IF(ETR!A251&lt;=Initialisation!$C$26,Initialisation!$D$25,IF(ETR!A251&lt;=Initialisation!$C$27,Initialisation!$D$26,IF(ETR!A252&lt;=Initialisation!$C$28,Initialisation!$D$27,IF(ETR!A252&lt;=Initialisation!$C$29,Initialisation!$D$28,0))))))</f>
        <v>0.5</v>
      </c>
    </row>
    <row r="252" spans="1:13" x14ac:dyDescent="0.35">
      <c r="A252" s="5">
        <f>IF(MeteoJ!A252=$BP$5,A251,MeteoJ!A252)</f>
        <v>42144</v>
      </c>
      <c r="B252">
        <f>MeteoJ!D252</f>
        <v>0</v>
      </c>
      <c r="C252">
        <f t="shared" si="18"/>
        <v>0</v>
      </c>
      <c r="D252">
        <f>MeteoJ!B252</f>
        <v>0</v>
      </c>
      <c r="E252">
        <f t="shared" si="19"/>
        <v>0</v>
      </c>
      <c r="F252">
        <f t="shared" si="20"/>
        <v>0</v>
      </c>
      <c r="H252">
        <f>(1-Initialisation!$C$19/100)*C252</f>
        <v>0</v>
      </c>
      <c r="I252">
        <f t="shared" si="21"/>
        <v>0</v>
      </c>
      <c r="J252">
        <f t="shared" si="22"/>
        <v>0</v>
      </c>
      <c r="K252">
        <f t="shared" si="23"/>
        <v>0</v>
      </c>
      <c r="M252">
        <f>IF(ETR!A252&lt;=Initialisation!$C$24,Initialisation!$D$23,IF(ETR!A252&lt;=Initialisation!$C$25,Initialisation!$D$24,IF(ETR!A252&lt;=Initialisation!$C$26,Initialisation!$D$25,IF(ETR!A252&lt;=Initialisation!$C$27,Initialisation!$D$26,IF(ETR!A253&lt;=Initialisation!$C$28,Initialisation!$D$27,IF(ETR!A253&lt;=Initialisation!$C$29,Initialisation!$D$28,0))))))</f>
        <v>0.5</v>
      </c>
    </row>
    <row r="253" spans="1:13" x14ac:dyDescent="0.35">
      <c r="A253" s="5">
        <f>IF(MeteoJ!A253=$BP$5,A252,MeteoJ!A253)</f>
        <v>42144</v>
      </c>
      <c r="B253">
        <f>MeteoJ!D253</f>
        <v>0</v>
      </c>
      <c r="C253">
        <f t="shared" si="18"/>
        <v>0</v>
      </c>
      <c r="D253">
        <f>MeteoJ!B253</f>
        <v>0</v>
      </c>
      <c r="E253">
        <f t="shared" si="19"/>
        <v>0</v>
      </c>
      <c r="F253">
        <f t="shared" si="20"/>
        <v>0</v>
      </c>
      <c r="H253">
        <f>(1-Initialisation!$C$19/100)*C253</f>
        <v>0</v>
      </c>
      <c r="I253">
        <f t="shared" si="21"/>
        <v>0</v>
      </c>
      <c r="J253">
        <f t="shared" si="22"/>
        <v>0</v>
      </c>
      <c r="K253">
        <f t="shared" si="23"/>
        <v>0</v>
      </c>
      <c r="M253">
        <f>IF(ETR!A253&lt;=Initialisation!$C$24,Initialisation!$D$23,IF(ETR!A253&lt;=Initialisation!$C$25,Initialisation!$D$24,IF(ETR!A253&lt;=Initialisation!$C$26,Initialisation!$D$25,IF(ETR!A253&lt;=Initialisation!$C$27,Initialisation!$D$26,IF(ETR!A254&lt;=Initialisation!$C$28,Initialisation!$D$27,IF(ETR!A254&lt;=Initialisation!$C$29,Initialisation!$D$28,0))))))</f>
        <v>0.5</v>
      </c>
    </row>
    <row r="254" spans="1:13" x14ac:dyDescent="0.35">
      <c r="A254" s="5">
        <f>IF(MeteoJ!A254=$BP$5,A253,MeteoJ!A254)</f>
        <v>42144</v>
      </c>
      <c r="B254">
        <f>MeteoJ!D254</f>
        <v>0</v>
      </c>
      <c r="C254">
        <f t="shared" si="18"/>
        <v>0</v>
      </c>
      <c r="D254">
        <f>MeteoJ!B254</f>
        <v>0</v>
      </c>
      <c r="E254">
        <f t="shared" si="19"/>
        <v>0</v>
      </c>
      <c r="F254">
        <f t="shared" si="20"/>
        <v>0</v>
      </c>
      <c r="H254">
        <f>(1-Initialisation!$C$19/100)*C254</f>
        <v>0</v>
      </c>
      <c r="I254">
        <f t="shared" si="21"/>
        <v>0</v>
      </c>
      <c r="J254">
        <f t="shared" si="22"/>
        <v>0</v>
      </c>
      <c r="K254">
        <f t="shared" si="23"/>
        <v>0</v>
      </c>
      <c r="M254">
        <f>IF(ETR!A254&lt;=Initialisation!$C$24,Initialisation!$D$23,IF(ETR!A254&lt;=Initialisation!$C$25,Initialisation!$D$24,IF(ETR!A254&lt;=Initialisation!$C$26,Initialisation!$D$25,IF(ETR!A254&lt;=Initialisation!$C$27,Initialisation!$D$26,IF(ETR!A255&lt;=Initialisation!$C$28,Initialisation!$D$27,IF(ETR!A255&lt;=Initialisation!$C$29,Initialisation!$D$28,0))))))</f>
        <v>0.5</v>
      </c>
    </row>
    <row r="255" spans="1:13" x14ac:dyDescent="0.35">
      <c r="A255" s="5">
        <f>IF(MeteoJ!A255=$BP$5,A254,MeteoJ!A255)</f>
        <v>42144</v>
      </c>
      <c r="B255">
        <f>MeteoJ!D255</f>
        <v>0</v>
      </c>
      <c r="C255">
        <f t="shared" si="18"/>
        <v>0</v>
      </c>
      <c r="D255">
        <f>MeteoJ!B255</f>
        <v>0</v>
      </c>
      <c r="E255">
        <f t="shared" si="19"/>
        <v>0</v>
      </c>
      <c r="F255">
        <f t="shared" si="20"/>
        <v>0</v>
      </c>
      <c r="H255">
        <f>(1-Initialisation!$C$19/100)*C255</f>
        <v>0</v>
      </c>
      <c r="I255">
        <f t="shared" si="21"/>
        <v>0</v>
      </c>
      <c r="J255">
        <f t="shared" si="22"/>
        <v>0</v>
      </c>
      <c r="K255">
        <f t="shared" si="23"/>
        <v>0</v>
      </c>
      <c r="M255">
        <f>IF(ETR!A255&lt;=Initialisation!$C$24,Initialisation!$D$23,IF(ETR!A255&lt;=Initialisation!$C$25,Initialisation!$D$24,IF(ETR!A255&lt;=Initialisation!$C$26,Initialisation!$D$25,IF(ETR!A255&lt;=Initialisation!$C$27,Initialisation!$D$26,IF(ETR!A256&lt;=Initialisation!$C$28,Initialisation!$D$27,IF(ETR!A256&lt;=Initialisation!$C$29,Initialisation!$D$28,0))))))</f>
        <v>0.5</v>
      </c>
    </row>
    <row r="256" spans="1:13" x14ac:dyDescent="0.35">
      <c r="A256" s="5">
        <f>IF(MeteoJ!A256=$BP$5,A255,MeteoJ!A256)</f>
        <v>42144</v>
      </c>
      <c r="B256">
        <f>MeteoJ!D256</f>
        <v>0</v>
      </c>
      <c r="C256">
        <f t="shared" si="18"/>
        <v>0</v>
      </c>
      <c r="D256">
        <f>MeteoJ!B256</f>
        <v>0</v>
      </c>
      <c r="E256">
        <f t="shared" si="19"/>
        <v>0</v>
      </c>
      <c r="F256">
        <f t="shared" si="20"/>
        <v>0</v>
      </c>
      <c r="H256">
        <f>(1-Initialisation!$C$19/100)*C256</f>
        <v>0</v>
      </c>
      <c r="I256">
        <f t="shared" si="21"/>
        <v>0</v>
      </c>
      <c r="J256">
        <f t="shared" si="22"/>
        <v>0</v>
      </c>
      <c r="K256">
        <f t="shared" si="23"/>
        <v>0</v>
      </c>
      <c r="M256">
        <f>IF(ETR!A256&lt;=Initialisation!$C$24,Initialisation!$D$23,IF(ETR!A256&lt;=Initialisation!$C$25,Initialisation!$D$24,IF(ETR!A256&lt;=Initialisation!$C$26,Initialisation!$D$25,IF(ETR!A256&lt;=Initialisation!$C$27,Initialisation!$D$26,IF(ETR!A257&lt;=Initialisation!$C$28,Initialisation!$D$27,IF(ETR!A257&lt;=Initialisation!$C$29,Initialisation!$D$28,0))))))</f>
        <v>0.5</v>
      </c>
    </row>
    <row r="257" spans="1:13" x14ac:dyDescent="0.35">
      <c r="A257" s="5">
        <f>IF(MeteoJ!A257=$BP$5,A256,MeteoJ!A257)</f>
        <v>42144</v>
      </c>
      <c r="B257">
        <f>MeteoJ!D257</f>
        <v>0</v>
      </c>
      <c r="C257">
        <f t="shared" si="18"/>
        <v>0</v>
      </c>
      <c r="D257">
        <f>MeteoJ!B257</f>
        <v>0</v>
      </c>
      <c r="E257">
        <f t="shared" si="19"/>
        <v>0</v>
      </c>
      <c r="F257">
        <f t="shared" si="20"/>
        <v>0</v>
      </c>
      <c r="H257">
        <f>(1-Initialisation!$C$19/100)*C257</f>
        <v>0</v>
      </c>
      <c r="I257">
        <f t="shared" si="21"/>
        <v>0</v>
      </c>
      <c r="J257">
        <f t="shared" si="22"/>
        <v>0</v>
      </c>
      <c r="K257">
        <f t="shared" si="23"/>
        <v>0</v>
      </c>
      <c r="M257">
        <f>IF(ETR!A257&lt;=Initialisation!$C$24,Initialisation!$D$23,IF(ETR!A257&lt;=Initialisation!$C$25,Initialisation!$D$24,IF(ETR!A257&lt;=Initialisation!$C$26,Initialisation!$D$25,IF(ETR!A257&lt;=Initialisation!$C$27,Initialisation!$D$26,IF(ETR!A258&lt;=Initialisation!$C$28,Initialisation!$D$27,IF(ETR!A258&lt;=Initialisation!$C$29,Initialisation!$D$28,0))))))</f>
        <v>0.5</v>
      </c>
    </row>
    <row r="258" spans="1:13" x14ac:dyDescent="0.35">
      <c r="A258" s="5">
        <f>IF(MeteoJ!A258=$BP$5,A257,MeteoJ!A258)</f>
        <v>42144</v>
      </c>
      <c r="B258">
        <f>MeteoJ!D258</f>
        <v>0</v>
      </c>
      <c r="C258">
        <f t="shared" si="18"/>
        <v>0</v>
      </c>
      <c r="D258">
        <f>MeteoJ!B258</f>
        <v>0</v>
      </c>
      <c r="E258">
        <f t="shared" si="19"/>
        <v>0</v>
      </c>
      <c r="F258">
        <f t="shared" si="20"/>
        <v>0</v>
      </c>
      <c r="H258">
        <f>(1-Initialisation!$C$19/100)*C258</f>
        <v>0</v>
      </c>
      <c r="I258">
        <f t="shared" si="21"/>
        <v>0</v>
      </c>
      <c r="J258">
        <f t="shared" si="22"/>
        <v>0</v>
      </c>
      <c r="K258">
        <f t="shared" si="23"/>
        <v>0</v>
      </c>
      <c r="M258">
        <f>IF(ETR!A258&lt;=Initialisation!$C$24,Initialisation!$D$23,IF(ETR!A258&lt;=Initialisation!$C$25,Initialisation!$D$24,IF(ETR!A258&lt;=Initialisation!$C$26,Initialisation!$D$25,IF(ETR!A258&lt;=Initialisation!$C$27,Initialisation!$D$26,IF(ETR!A259&lt;=Initialisation!$C$28,Initialisation!$D$27,IF(ETR!A259&lt;=Initialisation!$C$29,Initialisation!$D$28,0))))))</f>
        <v>0.5</v>
      </c>
    </row>
    <row r="259" spans="1:13" x14ac:dyDescent="0.35">
      <c r="A259" s="5">
        <f>IF(MeteoJ!A259=$BP$5,A258,MeteoJ!A259)</f>
        <v>42144</v>
      </c>
      <c r="B259">
        <f>MeteoJ!D259</f>
        <v>0</v>
      </c>
      <c r="C259">
        <f t="shared" ref="C259:C322" si="24">B259*0.000023885*3600</f>
        <v>0</v>
      </c>
      <c r="D259">
        <f>MeteoJ!B259</f>
        <v>0</v>
      </c>
      <c r="E259">
        <f t="shared" ref="E259:E322" si="25">0.013*1*(C259+50)*D259/(D259+15)</f>
        <v>0</v>
      </c>
      <c r="F259">
        <f t="shared" ref="F259:F322" si="26">E259*M259</f>
        <v>0</v>
      </c>
      <c r="H259">
        <f>(1-Initialisation!$C$19/100)*C259</f>
        <v>0</v>
      </c>
      <c r="I259">
        <f t="shared" ref="I259:I322" si="27">D259</f>
        <v>0</v>
      </c>
      <c r="J259">
        <f t="shared" ref="J259:J322" si="28">0.013*1*(H259+50)*I259/(I259+15)</f>
        <v>0</v>
      </c>
      <c r="K259">
        <f t="shared" ref="K259:K322" si="29">J259*M259</f>
        <v>0</v>
      </c>
      <c r="M259">
        <f>IF(ETR!A259&lt;=Initialisation!$C$24,Initialisation!$D$23,IF(ETR!A259&lt;=Initialisation!$C$25,Initialisation!$D$24,IF(ETR!A259&lt;=Initialisation!$C$26,Initialisation!$D$25,IF(ETR!A259&lt;=Initialisation!$C$27,Initialisation!$D$26,IF(ETR!A260&lt;=Initialisation!$C$28,Initialisation!$D$27,IF(ETR!A260&lt;=Initialisation!$C$29,Initialisation!$D$28,0))))))</f>
        <v>0.5</v>
      </c>
    </row>
    <row r="260" spans="1:13" x14ac:dyDescent="0.35">
      <c r="A260" s="5">
        <f>IF(MeteoJ!A260=$BP$5,A259,MeteoJ!A260)</f>
        <v>42144</v>
      </c>
      <c r="B260">
        <f>MeteoJ!D260</f>
        <v>0</v>
      </c>
      <c r="C260">
        <f t="shared" si="24"/>
        <v>0</v>
      </c>
      <c r="D260">
        <f>MeteoJ!B260</f>
        <v>0</v>
      </c>
      <c r="E260">
        <f t="shared" si="25"/>
        <v>0</v>
      </c>
      <c r="F260">
        <f t="shared" si="26"/>
        <v>0</v>
      </c>
      <c r="H260">
        <f>(1-Initialisation!$C$19/100)*C260</f>
        <v>0</v>
      </c>
      <c r="I260">
        <f t="shared" si="27"/>
        <v>0</v>
      </c>
      <c r="J260">
        <f t="shared" si="28"/>
        <v>0</v>
      </c>
      <c r="K260">
        <f t="shared" si="29"/>
        <v>0</v>
      </c>
      <c r="M260">
        <f>IF(ETR!A260&lt;=Initialisation!$C$24,Initialisation!$D$23,IF(ETR!A260&lt;=Initialisation!$C$25,Initialisation!$D$24,IF(ETR!A260&lt;=Initialisation!$C$26,Initialisation!$D$25,IF(ETR!A260&lt;=Initialisation!$C$27,Initialisation!$D$26,IF(ETR!A261&lt;=Initialisation!$C$28,Initialisation!$D$27,IF(ETR!A261&lt;=Initialisation!$C$29,Initialisation!$D$28,0))))))</f>
        <v>0.5</v>
      </c>
    </row>
    <row r="261" spans="1:13" x14ac:dyDescent="0.35">
      <c r="A261" s="5">
        <f>IF(MeteoJ!A261=$BP$5,A260,MeteoJ!A261)</f>
        <v>42144</v>
      </c>
      <c r="B261">
        <f>MeteoJ!D261</f>
        <v>0</v>
      </c>
      <c r="C261">
        <f t="shared" si="24"/>
        <v>0</v>
      </c>
      <c r="D261">
        <f>MeteoJ!B261</f>
        <v>0</v>
      </c>
      <c r="E261">
        <f t="shared" si="25"/>
        <v>0</v>
      </c>
      <c r="F261">
        <f t="shared" si="26"/>
        <v>0</v>
      </c>
      <c r="H261">
        <f>(1-Initialisation!$C$19/100)*C261</f>
        <v>0</v>
      </c>
      <c r="I261">
        <f t="shared" si="27"/>
        <v>0</v>
      </c>
      <c r="J261">
        <f t="shared" si="28"/>
        <v>0</v>
      </c>
      <c r="K261">
        <f t="shared" si="29"/>
        <v>0</v>
      </c>
      <c r="M261">
        <f>IF(ETR!A261&lt;=Initialisation!$C$24,Initialisation!$D$23,IF(ETR!A261&lt;=Initialisation!$C$25,Initialisation!$D$24,IF(ETR!A261&lt;=Initialisation!$C$26,Initialisation!$D$25,IF(ETR!A261&lt;=Initialisation!$C$27,Initialisation!$D$26,IF(ETR!A262&lt;=Initialisation!$C$28,Initialisation!$D$27,IF(ETR!A262&lt;=Initialisation!$C$29,Initialisation!$D$28,0))))))</f>
        <v>0.5</v>
      </c>
    </row>
    <row r="262" spans="1:13" x14ac:dyDescent="0.35">
      <c r="A262" s="5">
        <f>IF(MeteoJ!A262=$BP$5,A261,MeteoJ!A262)</f>
        <v>42144</v>
      </c>
      <c r="B262">
        <f>MeteoJ!D262</f>
        <v>0</v>
      </c>
      <c r="C262">
        <f t="shared" si="24"/>
        <v>0</v>
      </c>
      <c r="D262">
        <f>MeteoJ!B262</f>
        <v>0</v>
      </c>
      <c r="E262">
        <f t="shared" si="25"/>
        <v>0</v>
      </c>
      <c r="F262">
        <f t="shared" si="26"/>
        <v>0</v>
      </c>
      <c r="H262">
        <f>(1-Initialisation!$C$19/100)*C262</f>
        <v>0</v>
      </c>
      <c r="I262">
        <f t="shared" si="27"/>
        <v>0</v>
      </c>
      <c r="J262">
        <f t="shared" si="28"/>
        <v>0</v>
      </c>
      <c r="K262">
        <f t="shared" si="29"/>
        <v>0</v>
      </c>
      <c r="M262">
        <f>IF(ETR!A262&lt;=Initialisation!$C$24,Initialisation!$D$23,IF(ETR!A262&lt;=Initialisation!$C$25,Initialisation!$D$24,IF(ETR!A262&lt;=Initialisation!$C$26,Initialisation!$D$25,IF(ETR!A262&lt;=Initialisation!$C$27,Initialisation!$D$26,IF(ETR!A263&lt;=Initialisation!$C$28,Initialisation!$D$27,IF(ETR!A263&lt;=Initialisation!$C$29,Initialisation!$D$28,0))))))</f>
        <v>0.5</v>
      </c>
    </row>
    <row r="263" spans="1:13" x14ac:dyDescent="0.35">
      <c r="A263" s="5">
        <f>IF(MeteoJ!A263=$BP$5,A262,MeteoJ!A263)</f>
        <v>42144</v>
      </c>
      <c r="B263">
        <f>MeteoJ!D263</f>
        <v>0</v>
      </c>
      <c r="C263">
        <f t="shared" si="24"/>
        <v>0</v>
      </c>
      <c r="D263">
        <f>MeteoJ!B263</f>
        <v>0</v>
      </c>
      <c r="E263">
        <f t="shared" si="25"/>
        <v>0</v>
      </c>
      <c r="F263">
        <f t="shared" si="26"/>
        <v>0</v>
      </c>
      <c r="H263">
        <f>(1-Initialisation!$C$19/100)*C263</f>
        <v>0</v>
      </c>
      <c r="I263">
        <f t="shared" si="27"/>
        <v>0</v>
      </c>
      <c r="J263">
        <f t="shared" si="28"/>
        <v>0</v>
      </c>
      <c r="K263">
        <f t="shared" si="29"/>
        <v>0</v>
      </c>
      <c r="M263">
        <f>IF(ETR!A263&lt;=Initialisation!$C$24,Initialisation!$D$23,IF(ETR!A263&lt;=Initialisation!$C$25,Initialisation!$D$24,IF(ETR!A263&lt;=Initialisation!$C$26,Initialisation!$D$25,IF(ETR!A263&lt;=Initialisation!$C$27,Initialisation!$D$26,IF(ETR!A264&lt;=Initialisation!$C$28,Initialisation!$D$27,IF(ETR!A264&lt;=Initialisation!$C$29,Initialisation!$D$28,0))))))</f>
        <v>0.5</v>
      </c>
    </row>
    <row r="264" spans="1:13" x14ac:dyDescent="0.35">
      <c r="A264" s="5">
        <f>IF(MeteoJ!A264=$BP$5,A263,MeteoJ!A264)</f>
        <v>42144</v>
      </c>
      <c r="B264">
        <f>MeteoJ!D264</f>
        <v>0</v>
      </c>
      <c r="C264">
        <f t="shared" si="24"/>
        <v>0</v>
      </c>
      <c r="D264">
        <f>MeteoJ!B264</f>
        <v>0</v>
      </c>
      <c r="E264">
        <f t="shared" si="25"/>
        <v>0</v>
      </c>
      <c r="F264">
        <f t="shared" si="26"/>
        <v>0</v>
      </c>
      <c r="H264">
        <f>(1-Initialisation!$C$19/100)*C264</f>
        <v>0</v>
      </c>
      <c r="I264">
        <f t="shared" si="27"/>
        <v>0</v>
      </c>
      <c r="J264">
        <f t="shared" si="28"/>
        <v>0</v>
      </c>
      <c r="K264">
        <f t="shared" si="29"/>
        <v>0</v>
      </c>
      <c r="M264">
        <f>IF(ETR!A264&lt;=Initialisation!$C$24,Initialisation!$D$23,IF(ETR!A264&lt;=Initialisation!$C$25,Initialisation!$D$24,IF(ETR!A264&lt;=Initialisation!$C$26,Initialisation!$D$25,IF(ETR!A264&lt;=Initialisation!$C$27,Initialisation!$D$26,IF(ETR!A265&lt;=Initialisation!$C$28,Initialisation!$D$27,IF(ETR!A265&lt;=Initialisation!$C$29,Initialisation!$D$28,0))))))</f>
        <v>0.5</v>
      </c>
    </row>
    <row r="265" spans="1:13" x14ac:dyDescent="0.35">
      <c r="A265" s="5">
        <f>IF(MeteoJ!A265=$BP$5,A264,MeteoJ!A265)</f>
        <v>42144</v>
      </c>
      <c r="B265">
        <f>MeteoJ!D265</f>
        <v>0</v>
      </c>
      <c r="C265">
        <f t="shared" si="24"/>
        <v>0</v>
      </c>
      <c r="D265">
        <f>MeteoJ!B265</f>
        <v>0</v>
      </c>
      <c r="E265">
        <f t="shared" si="25"/>
        <v>0</v>
      </c>
      <c r="F265">
        <f t="shared" si="26"/>
        <v>0</v>
      </c>
      <c r="H265">
        <f>(1-Initialisation!$C$19/100)*C265</f>
        <v>0</v>
      </c>
      <c r="I265">
        <f t="shared" si="27"/>
        <v>0</v>
      </c>
      <c r="J265">
        <f t="shared" si="28"/>
        <v>0</v>
      </c>
      <c r="K265">
        <f t="shared" si="29"/>
        <v>0</v>
      </c>
      <c r="M265">
        <f>IF(ETR!A265&lt;=Initialisation!$C$24,Initialisation!$D$23,IF(ETR!A265&lt;=Initialisation!$C$25,Initialisation!$D$24,IF(ETR!A265&lt;=Initialisation!$C$26,Initialisation!$D$25,IF(ETR!A265&lt;=Initialisation!$C$27,Initialisation!$D$26,IF(ETR!A266&lt;=Initialisation!$C$28,Initialisation!$D$27,IF(ETR!A266&lt;=Initialisation!$C$29,Initialisation!$D$28,0))))))</f>
        <v>0.5</v>
      </c>
    </row>
    <row r="266" spans="1:13" x14ac:dyDescent="0.35">
      <c r="A266" s="5">
        <f>IF(MeteoJ!A266=$BP$5,A265,MeteoJ!A266)</f>
        <v>42144</v>
      </c>
      <c r="B266">
        <f>MeteoJ!D266</f>
        <v>0</v>
      </c>
      <c r="C266">
        <f t="shared" si="24"/>
        <v>0</v>
      </c>
      <c r="D266">
        <f>MeteoJ!B266</f>
        <v>0</v>
      </c>
      <c r="E266">
        <f t="shared" si="25"/>
        <v>0</v>
      </c>
      <c r="F266">
        <f t="shared" si="26"/>
        <v>0</v>
      </c>
      <c r="H266">
        <f>(1-Initialisation!$C$19/100)*C266</f>
        <v>0</v>
      </c>
      <c r="I266">
        <f t="shared" si="27"/>
        <v>0</v>
      </c>
      <c r="J266">
        <f t="shared" si="28"/>
        <v>0</v>
      </c>
      <c r="K266">
        <f t="shared" si="29"/>
        <v>0</v>
      </c>
      <c r="M266">
        <f>IF(ETR!A266&lt;=Initialisation!$C$24,Initialisation!$D$23,IF(ETR!A266&lt;=Initialisation!$C$25,Initialisation!$D$24,IF(ETR!A266&lt;=Initialisation!$C$26,Initialisation!$D$25,IF(ETR!A266&lt;=Initialisation!$C$27,Initialisation!$D$26,IF(ETR!A267&lt;=Initialisation!$C$28,Initialisation!$D$27,IF(ETR!A267&lt;=Initialisation!$C$29,Initialisation!$D$28,0))))))</f>
        <v>0.5</v>
      </c>
    </row>
    <row r="267" spans="1:13" x14ac:dyDescent="0.35">
      <c r="A267" s="5">
        <f>IF(MeteoJ!A267=$BP$5,A266,MeteoJ!A267)</f>
        <v>42144</v>
      </c>
      <c r="B267">
        <f>MeteoJ!D267</f>
        <v>0</v>
      </c>
      <c r="C267">
        <f t="shared" si="24"/>
        <v>0</v>
      </c>
      <c r="D267">
        <f>MeteoJ!B267</f>
        <v>0</v>
      </c>
      <c r="E267">
        <f t="shared" si="25"/>
        <v>0</v>
      </c>
      <c r="F267">
        <f t="shared" si="26"/>
        <v>0</v>
      </c>
      <c r="H267">
        <f>(1-Initialisation!$C$19/100)*C267</f>
        <v>0</v>
      </c>
      <c r="I267">
        <f t="shared" si="27"/>
        <v>0</v>
      </c>
      <c r="J267">
        <f t="shared" si="28"/>
        <v>0</v>
      </c>
      <c r="K267">
        <f t="shared" si="29"/>
        <v>0</v>
      </c>
      <c r="M267">
        <f>IF(ETR!A267&lt;=Initialisation!$C$24,Initialisation!$D$23,IF(ETR!A267&lt;=Initialisation!$C$25,Initialisation!$D$24,IF(ETR!A267&lt;=Initialisation!$C$26,Initialisation!$D$25,IF(ETR!A267&lt;=Initialisation!$C$27,Initialisation!$D$26,IF(ETR!A268&lt;=Initialisation!$C$28,Initialisation!$D$27,IF(ETR!A268&lt;=Initialisation!$C$29,Initialisation!$D$28,0))))))</f>
        <v>0.5</v>
      </c>
    </row>
    <row r="268" spans="1:13" x14ac:dyDescent="0.35">
      <c r="A268" s="5">
        <f>IF(MeteoJ!A268=$BP$5,A267,MeteoJ!A268)</f>
        <v>42144</v>
      </c>
      <c r="B268">
        <f>MeteoJ!D268</f>
        <v>0</v>
      </c>
      <c r="C268">
        <f t="shared" si="24"/>
        <v>0</v>
      </c>
      <c r="D268">
        <f>MeteoJ!B268</f>
        <v>0</v>
      </c>
      <c r="E268">
        <f t="shared" si="25"/>
        <v>0</v>
      </c>
      <c r="F268">
        <f t="shared" si="26"/>
        <v>0</v>
      </c>
      <c r="H268">
        <f>(1-Initialisation!$C$19/100)*C268</f>
        <v>0</v>
      </c>
      <c r="I268">
        <f t="shared" si="27"/>
        <v>0</v>
      </c>
      <c r="J268">
        <f t="shared" si="28"/>
        <v>0</v>
      </c>
      <c r="K268">
        <f t="shared" si="29"/>
        <v>0</v>
      </c>
      <c r="M268">
        <f>IF(ETR!A268&lt;=Initialisation!$C$24,Initialisation!$D$23,IF(ETR!A268&lt;=Initialisation!$C$25,Initialisation!$D$24,IF(ETR!A268&lt;=Initialisation!$C$26,Initialisation!$D$25,IF(ETR!A268&lt;=Initialisation!$C$27,Initialisation!$D$26,IF(ETR!A269&lt;=Initialisation!$C$28,Initialisation!$D$27,IF(ETR!A269&lt;=Initialisation!$C$29,Initialisation!$D$28,0))))))</f>
        <v>0.5</v>
      </c>
    </row>
    <row r="269" spans="1:13" x14ac:dyDescent="0.35">
      <c r="A269" s="5">
        <f>IF(MeteoJ!A269=$BP$5,A268,MeteoJ!A269)</f>
        <v>42144</v>
      </c>
      <c r="B269">
        <f>MeteoJ!D269</f>
        <v>0</v>
      </c>
      <c r="C269">
        <f t="shared" si="24"/>
        <v>0</v>
      </c>
      <c r="D269">
        <f>MeteoJ!B269</f>
        <v>0</v>
      </c>
      <c r="E269">
        <f t="shared" si="25"/>
        <v>0</v>
      </c>
      <c r="F269">
        <f t="shared" si="26"/>
        <v>0</v>
      </c>
      <c r="H269">
        <f>(1-Initialisation!$C$19/100)*C269</f>
        <v>0</v>
      </c>
      <c r="I269">
        <f t="shared" si="27"/>
        <v>0</v>
      </c>
      <c r="J269">
        <f t="shared" si="28"/>
        <v>0</v>
      </c>
      <c r="K269">
        <f t="shared" si="29"/>
        <v>0</v>
      </c>
      <c r="M269">
        <f>IF(ETR!A269&lt;=Initialisation!$C$24,Initialisation!$D$23,IF(ETR!A269&lt;=Initialisation!$C$25,Initialisation!$D$24,IF(ETR!A269&lt;=Initialisation!$C$26,Initialisation!$D$25,IF(ETR!A269&lt;=Initialisation!$C$27,Initialisation!$D$26,IF(ETR!A270&lt;=Initialisation!$C$28,Initialisation!$D$27,IF(ETR!A270&lt;=Initialisation!$C$29,Initialisation!$D$28,0))))))</f>
        <v>0.5</v>
      </c>
    </row>
    <row r="270" spans="1:13" x14ac:dyDescent="0.35">
      <c r="A270" s="5">
        <f>IF(MeteoJ!A270=$BP$5,A269,MeteoJ!A270)</f>
        <v>42144</v>
      </c>
      <c r="B270">
        <f>MeteoJ!D270</f>
        <v>0</v>
      </c>
      <c r="C270">
        <f t="shared" si="24"/>
        <v>0</v>
      </c>
      <c r="D270">
        <f>MeteoJ!B270</f>
        <v>0</v>
      </c>
      <c r="E270">
        <f t="shared" si="25"/>
        <v>0</v>
      </c>
      <c r="F270">
        <f t="shared" si="26"/>
        <v>0</v>
      </c>
      <c r="H270">
        <f>(1-Initialisation!$C$19/100)*C270</f>
        <v>0</v>
      </c>
      <c r="I270">
        <f t="shared" si="27"/>
        <v>0</v>
      </c>
      <c r="J270">
        <f t="shared" si="28"/>
        <v>0</v>
      </c>
      <c r="K270">
        <f t="shared" si="29"/>
        <v>0</v>
      </c>
      <c r="M270">
        <f>IF(ETR!A270&lt;=Initialisation!$C$24,Initialisation!$D$23,IF(ETR!A270&lt;=Initialisation!$C$25,Initialisation!$D$24,IF(ETR!A270&lt;=Initialisation!$C$26,Initialisation!$D$25,IF(ETR!A270&lt;=Initialisation!$C$27,Initialisation!$D$26,IF(ETR!A271&lt;=Initialisation!$C$28,Initialisation!$D$27,IF(ETR!A271&lt;=Initialisation!$C$29,Initialisation!$D$28,0))))))</f>
        <v>0.5</v>
      </c>
    </row>
    <row r="271" spans="1:13" x14ac:dyDescent="0.35">
      <c r="A271" s="5">
        <f>IF(MeteoJ!A271=$BP$5,A270,MeteoJ!A271)</f>
        <v>42144</v>
      </c>
      <c r="B271">
        <f>MeteoJ!D271</f>
        <v>0</v>
      </c>
      <c r="C271">
        <f t="shared" si="24"/>
        <v>0</v>
      </c>
      <c r="D271">
        <f>MeteoJ!B271</f>
        <v>0</v>
      </c>
      <c r="E271">
        <f t="shared" si="25"/>
        <v>0</v>
      </c>
      <c r="F271">
        <f t="shared" si="26"/>
        <v>0</v>
      </c>
      <c r="H271">
        <f>(1-Initialisation!$C$19/100)*C271</f>
        <v>0</v>
      </c>
      <c r="I271">
        <f t="shared" si="27"/>
        <v>0</v>
      </c>
      <c r="J271">
        <f t="shared" si="28"/>
        <v>0</v>
      </c>
      <c r="K271">
        <f t="shared" si="29"/>
        <v>0</v>
      </c>
      <c r="M271">
        <f>IF(ETR!A271&lt;=Initialisation!$C$24,Initialisation!$D$23,IF(ETR!A271&lt;=Initialisation!$C$25,Initialisation!$D$24,IF(ETR!A271&lt;=Initialisation!$C$26,Initialisation!$D$25,IF(ETR!A271&lt;=Initialisation!$C$27,Initialisation!$D$26,IF(ETR!A272&lt;=Initialisation!$C$28,Initialisation!$D$27,IF(ETR!A272&lt;=Initialisation!$C$29,Initialisation!$D$28,0))))))</f>
        <v>0.5</v>
      </c>
    </row>
    <row r="272" spans="1:13" x14ac:dyDescent="0.35">
      <c r="A272" s="5">
        <f>IF(MeteoJ!A272=$BP$5,A271,MeteoJ!A272)</f>
        <v>42144</v>
      </c>
      <c r="B272">
        <f>MeteoJ!D272</f>
        <v>0</v>
      </c>
      <c r="C272">
        <f t="shared" si="24"/>
        <v>0</v>
      </c>
      <c r="D272">
        <f>MeteoJ!B272</f>
        <v>0</v>
      </c>
      <c r="E272">
        <f t="shared" si="25"/>
        <v>0</v>
      </c>
      <c r="F272">
        <f t="shared" si="26"/>
        <v>0</v>
      </c>
      <c r="H272">
        <f>(1-Initialisation!$C$19/100)*C272</f>
        <v>0</v>
      </c>
      <c r="I272">
        <f t="shared" si="27"/>
        <v>0</v>
      </c>
      <c r="J272">
        <f t="shared" si="28"/>
        <v>0</v>
      </c>
      <c r="K272">
        <f t="shared" si="29"/>
        <v>0</v>
      </c>
      <c r="M272">
        <f>IF(ETR!A272&lt;=Initialisation!$C$24,Initialisation!$D$23,IF(ETR!A272&lt;=Initialisation!$C$25,Initialisation!$D$24,IF(ETR!A272&lt;=Initialisation!$C$26,Initialisation!$D$25,IF(ETR!A272&lt;=Initialisation!$C$27,Initialisation!$D$26,IF(ETR!A273&lt;=Initialisation!$C$28,Initialisation!$D$27,IF(ETR!A273&lt;=Initialisation!$C$29,Initialisation!$D$28,0))))))</f>
        <v>0.5</v>
      </c>
    </row>
    <row r="273" spans="1:13" x14ac:dyDescent="0.35">
      <c r="A273" s="5">
        <f>IF(MeteoJ!A273=$BP$5,A272,MeteoJ!A273)</f>
        <v>42144</v>
      </c>
      <c r="B273">
        <f>MeteoJ!D273</f>
        <v>0</v>
      </c>
      <c r="C273">
        <f t="shared" si="24"/>
        <v>0</v>
      </c>
      <c r="D273">
        <f>MeteoJ!B273</f>
        <v>0</v>
      </c>
      <c r="E273">
        <f t="shared" si="25"/>
        <v>0</v>
      </c>
      <c r="F273">
        <f t="shared" si="26"/>
        <v>0</v>
      </c>
      <c r="H273">
        <f>(1-Initialisation!$C$19/100)*C273</f>
        <v>0</v>
      </c>
      <c r="I273">
        <f t="shared" si="27"/>
        <v>0</v>
      </c>
      <c r="J273">
        <f t="shared" si="28"/>
        <v>0</v>
      </c>
      <c r="K273">
        <f t="shared" si="29"/>
        <v>0</v>
      </c>
      <c r="M273">
        <f>IF(ETR!A273&lt;=Initialisation!$C$24,Initialisation!$D$23,IF(ETR!A273&lt;=Initialisation!$C$25,Initialisation!$D$24,IF(ETR!A273&lt;=Initialisation!$C$26,Initialisation!$D$25,IF(ETR!A273&lt;=Initialisation!$C$27,Initialisation!$D$26,IF(ETR!A274&lt;=Initialisation!$C$28,Initialisation!$D$27,IF(ETR!A274&lt;=Initialisation!$C$29,Initialisation!$D$28,0))))))</f>
        <v>0.5</v>
      </c>
    </row>
    <row r="274" spans="1:13" x14ac:dyDescent="0.35">
      <c r="A274" s="5">
        <f>IF(MeteoJ!A274=$BP$5,A273,MeteoJ!A274)</f>
        <v>42144</v>
      </c>
      <c r="B274">
        <f>MeteoJ!D274</f>
        <v>0</v>
      </c>
      <c r="C274">
        <f t="shared" si="24"/>
        <v>0</v>
      </c>
      <c r="D274">
        <f>MeteoJ!B274</f>
        <v>0</v>
      </c>
      <c r="E274">
        <f t="shared" si="25"/>
        <v>0</v>
      </c>
      <c r="F274">
        <f t="shared" si="26"/>
        <v>0</v>
      </c>
      <c r="H274">
        <f>(1-Initialisation!$C$19/100)*C274</f>
        <v>0</v>
      </c>
      <c r="I274">
        <f t="shared" si="27"/>
        <v>0</v>
      </c>
      <c r="J274">
        <f t="shared" si="28"/>
        <v>0</v>
      </c>
      <c r="K274">
        <f t="shared" si="29"/>
        <v>0</v>
      </c>
      <c r="M274">
        <f>IF(ETR!A274&lt;=Initialisation!$C$24,Initialisation!$D$23,IF(ETR!A274&lt;=Initialisation!$C$25,Initialisation!$D$24,IF(ETR!A274&lt;=Initialisation!$C$26,Initialisation!$D$25,IF(ETR!A274&lt;=Initialisation!$C$27,Initialisation!$D$26,IF(ETR!A275&lt;=Initialisation!$C$28,Initialisation!$D$27,IF(ETR!A275&lt;=Initialisation!$C$29,Initialisation!$D$28,0))))))</f>
        <v>0.5</v>
      </c>
    </row>
    <row r="275" spans="1:13" x14ac:dyDescent="0.35">
      <c r="A275" s="5">
        <f>IF(MeteoJ!A275=$BP$5,A274,MeteoJ!A275)</f>
        <v>42144</v>
      </c>
      <c r="B275">
        <f>MeteoJ!D275</f>
        <v>0</v>
      </c>
      <c r="C275">
        <f t="shared" si="24"/>
        <v>0</v>
      </c>
      <c r="D275">
        <f>MeteoJ!B275</f>
        <v>0</v>
      </c>
      <c r="E275">
        <f t="shared" si="25"/>
        <v>0</v>
      </c>
      <c r="F275">
        <f t="shared" si="26"/>
        <v>0</v>
      </c>
      <c r="H275">
        <f>(1-Initialisation!$C$19/100)*C275</f>
        <v>0</v>
      </c>
      <c r="I275">
        <f t="shared" si="27"/>
        <v>0</v>
      </c>
      <c r="J275">
        <f t="shared" si="28"/>
        <v>0</v>
      </c>
      <c r="K275">
        <f t="shared" si="29"/>
        <v>0</v>
      </c>
      <c r="M275">
        <f>IF(ETR!A275&lt;=Initialisation!$C$24,Initialisation!$D$23,IF(ETR!A275&lt;=Initialisation!$C$25,Initialisation!$D$24,IF(ETR!A275&lt;=Initialisation!$C$26,Initialisation!$D$25,IF(ETR!A275&lt;=Initialisation!$C$27,Initialisation!$D$26,IF(ETR!A276&lt;=Initialisation!$C$28,Initialisation!$D$27,IF(ETR!A276&lt;=Initialisation!$C$29,Initialisation!$D$28,0))))))</f>
        <v>0.5</v>
      </c>
    </row>
    <row r="276" spans="1:13" x14ac:dyDescent="0.35">
      <c r="A276" s="5">
        <f>IF(MeteoJ!A276=$BP$5,A275,MeteoJ!A276)</f>
        <v>42144</v>
      </c>
      <c r="B276">
        <f>MeteoJ!D276</f>
        <v>0</v>
      </c>
      <c r="C276">
        <f t="shared" si="24"/>
        <v>0</v>
      </c>
      <c r="D276">
        <f>MeteoJ!B276</f>
        <v>0</v>
      </c>
      <c r="E276">
        <f t="shared" si="25"/>
        <v>0</v>
      </c>
      <c r="F276">
        <f t="shared" si="26"/>
        <v>0</v>
      </c>
      <c r="H276">
        <f>(1-Initialisation!$C$19/100)*C276</f>
        <v>0</v>
      </c>
      <c r="I276">
        <f t="shared" si="27"/>
        <v>0</v>
      </c>
      <c r="J276">
        <f t="shared" si="28"/>
        <v>0</v>
      </c>
      <c r="K276">
        <f t="shared" si="29"/>
        <v>0</v>
      </c>
      <c r="M276">
        <f>IF(ETR!A276&lt;=Initialisation!$C$24,Initialisation!$D$23,IF(ETR!A276&lt;=Initialisation!$C$25,Initialisation!$D$24,IF(ETR!A276&lt;=Initialisation!$C$26,Initialisation!$D$25,IF(ETR!A276&lt;=Initialisation!$C$27,Initialisation!$D$26,IF(ETR!A277&lt;=Initialisation!$C$28,Initialisation!$D$27,IF(ETR!A277&lt;=Initialisation!$C$29,Initialisation!$D$28,0))))))</f>
        <v>0.5</v>
      </c>
    </row>
    <row r="277" spans="1:13" x14ac:dyDescent="0.35">
      <c r="A277" s="5">
        <f>IF(MeteoJ!A277=$BP$5,A276,MeteoJ!A277)</f>
        <v>42144</v>
      </c>
      <c r="B277">
        <f>MeteoJ!D277</f>
        <v>0</v>
      </c>
      <c r="C277">
        <f t="shared" si="24"/>
        <v>0</v>
      </c>
      <c r="D277">
        <f>MeteoJ!B277</f>
        <v>0</v>
      </c>
      <c r="E277">
        <f t="shared" si="25"/>
        <v>0</v>
      </c>
      <c r="F277">
        <f t="shared" si="26"/>
        <v>0</v>
      </c>
      <c r="H277">
        <f>(1-Initialisation!$C$19/100)*C277</f>
        <v>0</v>
      </c>
      <c r="I277">
        <f t="shared" si="27"/>
        <v>0</v>
      </c>
      <c r="J277">
        <f t="shared" si="28"/>
        <v>0</v>
      </c>
      <c r="K277">
        <f t="shared" si="29"/>
        <v>0</v>
      </c>
      <c r="M277">
        <f>IF(ETR!A277&lt;=Initialisation!$C$24,Initialisation!$D$23,IF(ETR!A277&lt;=Initialisation!$C$25,Initialisation!$D$24,IF(ETR!A277&lt;=Initialisation!$C$26,Initialisation!$D$25,IF(ETR!A277&lt;=Initialisation!$C$27,Initialisation!$D$26,IF(ETR!A278&lt;=Initialisation!$C$28,Initialisation!$D$27,IF(ETR!A278&lt;=Initialisation!$C$29,Initialisation!$D$28,0))))))</f>
        <v>0.5</v>
      </c>
    </row>
    <row r="278" spans="1:13" x14ac:dyDescent="0.35">
      <c r="A278" s="5">
        <f>IF(MeteoJ!A278=$BP$5,A277,MeteoJ!A278)</f>
        <v>42144</v>
      </c>
      <c r="B278">
        <f>MeteoJ!D278</f>
        <v>0</v>
      </c>
      <c r="C278">
        <f t="shared" si="24"/>
        <v>0</v>
      </c>
      <c r="D278">
        <f>MeteoJ!B278</f>
        <v>0</v>
      </c>
      <c r="E278">
        <f t="shared" si="25"/>
        <v>0</v>
      </c>
      <c r="F278">
        <f t="shared" si="26"/>
        <v>0</v>
      </c>
      <c r="H278">
        <f>(1-Initialisation!$C$19/100)*C278</f>
        <v>0</v>
      </c>
      <c r="I278">
        <f t="shared" si="27"/>
        <v>0</v>
      </c>
      <c r="J278">
        <f t="shared" si="28"/>
        <v>0</v>
      </c>
      <c r="K278">
        <f t="shared" si="29"/>
        <v>0</v>
      </c>
      <c r="M278">
        <f>IF(ETR!A278&lt;=Initialisation!$C$24,Initialisation!$D$23,IF(ETR!A278&lt;=Initialisation!$C$25,Initialisation!$D$24,IF(ETR!A278&lt;=Initialisation!$C$26,Initialisation!$D$25,IF(ETR!A278&lt;=Initialisation!$C$27,Initialisation!$D$26,IF(ETR!A279&lt;=Initialisation!$C$28,Initialisation!$D$27,IF(ETR!A279&lt;=Initialisation!$C$29,Initialisation!$D$28,0))))))</f>
        <v>0.5</v>
      </c>
    </row>
    <row r="279" spans="1:13" x14ac:dyDescent="0.35">
      <c r="A279" s="5">
        <f>IF(MeteoJ!A279=$BP$5,A278,MeteoJ!A279)</f>
        <v>42144</v>
      </c>
      <c r="B279">
        <f>MeteoJ!D279</f>
        <v>0</v>
      </c>
      <c r="C279">
        <f t="shared" si="24"/>
        <v>0</v>
      </c>
      <c r="D279">
        <f>MeteoJ!B279</f>
        <v>0</v>
      </c>
      <c r="E279">
        <f t="shared" si="25"/>
        <v>0</v>
      </c>
      <c r="F279">
        <f t="shared" si="26"/>
        <v>0</v>
      </c>
      <c r="H279">
        <f>(1-Initialisation!$C$19/100)*C279</f>
        <v>0</v>
      </c>
      <c r="I279">
        <f t="shared" si="27"/>
        <v>0</v>
      </c>
      <c r="J279">
        <f t="shared" si="28"/>
        <v>0</v>
      </c>
      <c r="K279">
        <f t="shared" si="29"/>
        <v>0</v>
      </c>
      <c r="M279">
        <f>IF(ETR!A279&lt;=Initialisation!$C$24,Initialisation!$D$23,IF(ETR!A279&lt;=Initialisation!$C$25,Initialisation!$D$24,IF(ETR!A279&lt;=Initialisation!$C$26,Initialisation!$D$25,IF(ETR!A279&lt;=Initialisation!$C$27,Initialisation!$D$26,IF(ETR!A280&lt;=Initialisation!$C$28,Initialisation!$D$27,IF(ETR!A280&lt;=Initialisation!$C$29,Initialisation!$D$28,0))))))</f>
        <v>0.5</v>
      </c>
    </row>
    <row r="280" spans="1:13" x14ac:dyDescent="0.35">
      <c r="A280" s="5">
        <f>IF(MeteoJ!A280=$BP$5,A279,MeteoJ!A280)</f>
        <v>42144</v>
      </c>
      <c r="B280">
        <f>MeteoJ!D280</f>
        <v>0</v>
      </c>
      <c r="C280">
        <f t="shared" si="24"/>
        <v>0</v>
      </c>
      <c r="D280">
        <f>MeteoJ!B280</f>
        <v>0</v>
      </c>
      <c r="E280">
        <f t="shared" si="25"/>
        <v>0</v>
      </c>
      <c r="F280">
        <f t="shared" si="26"/>
        <v>0</v>
      </c>
      <c r="H280">
        <f>(1-Initialisation!$C$19/100)*C280</f>
        <v>0</v>
      </c>
      <c r="I280">
        <f t="shared" si="27"/>
        <v>0</v>
      </c>
      <c r="J280">
        <f t="shared" si="28"/>
        <v>0</v>
      </c>
      <c r="K280">
        <f t="shared" si="29"/>
        <v>0</v>
      </c>
      <c r="M280">
        <f>IF(ETR!A280&lt;=Initialisation!$C$24,Initialisation!$D$23,IF(ETR!A280&lt;=Initialisation!$C$25,Initialisation!$D$24,IF(ETR!A280&lt;=Initialisation!$C$26,Initialisation!$D$25,IF(ETR!A280&lt;=Initialisation!$C$27,Initialisation!$D$26,IF(ETR!A281&lt;=Initialisation!$C$28,Initialisation!$D$27,IF(ETR!A281&lt;=Initialisation!$C$29,Initialisation!$D$28,0))))))</f>
        <v>0.5</v>
      </c>
    </row>
    <row r="281" spans="1:13" x14ac:dyDescent="0.35">
      <c r="A281" s="5">
        <f>IF(MeteoJ!A281=$BP$5,A280,MeteoJ!A281)</f>
        <v>42144</v>
      </c>
      <c r="B281">
        <f>MeteoJ!D281</f>
        <v>0</v>
      </c>
      <c r="C281">
        <f t="shared" si="24"/>
        <v>0</v>
      </c>
      <c r="D281">
        <f>MeteoJ!B281</f>
        <v>0</v>
      </c>
      <c r="E281">
        <f t="shared" si="25"/>
        <v>0</v>
      </c>
      <c r="F281">
        <f t="shared" si="26"/>
        <v>0</v>
      </c>
      <c r="H281">
        <f>(1-Initialisation!$C$19/100)*C281</f>
        <v>0</v>
      </c>
      <c r="I281">
        <f t="shared" si="27"/>
        <v>0</v>
      </c>
      <c r="J281">
        <f t="shared" si="28"/>
        <v>0</v>
      </c>
      <c r="K281">
        <f t="shared" si="29"/>
        <v>0</v>
      </c>
      <c r="M281">
        <f>IF(ETR!A281&lt;=Initialisation!$C$24,Initialisation!$D$23,IF(ETR!A281&lt;=Initialisation!$C$25,Initialisation!$D$24,IF(ETR!A281&lt;=Initialisation!$C$26,Initialisation!$D$25,IF(ETR!A281&lt;=Initialisation!$C$27,Initialisation!$D$26,IF(ETR!A282&lt;=Initialisation!$C$28,Initialisation!$D$27,IF(ETR!A282&lt;=Initialisation!$C$29,Initialisation!$D$28,0))))))</f>
        <v>0.5</v>
      </c>
    </row>
    <row r="282" spans="1:13" x14ac:dyDescent="0.35">
      <c r="A282" s="5">
        <f>IF(MeteoJ!A282=$BP$5,A281,MeteoJ!A282)</f>
        <v>42144</v>
      </c>
      <c r="B282">
        <f>MeteoJ!D282</f>
        <v>0</v>
      </c>
      <c r="C282">
        <f t="shared" si="24"/>
        <v>0</v>
      </c>
      <c r="D282">
        <f>MeteoJ!B282</f>
        <v>0</v>
      </c>
      <c r="E282">
        <f t="shared" si="25"/>
        <v>0</v>
      </c>
      <c r="F282">
        <f t="shared" si="26"/>
        <v>0</v>
      </c>
      <c r="H282">
        <f>(1-Initialisation!$C$19/100)*C282</f>
        <v>0</v>
      </c>
      <c r="I282">
        <f t="shared" si="27"/>
        <v>0</v>
      </c>
      <c r="J282">
        <f t="shared" si="28"/>
        <v>0</v>
      </c>
      <c r="K282">
        <f t="shared" si="29"/>
        <v>0</v>
      </c>
      <c r="M282">
        <f>IF(ETR!A282&lt;=Initialisation!$C$24,Initialisation!$D$23,IF(ETR!A282&lt;=Initialisation!$C$25,Initialisation!$D$24,IF(ETR!A282&lt;=Initialisation!$C$26,Initialisation!$D$25,IF(ETR!A282&lt;=Initialisation!$C$27,Initialisation!$D$26,IF(ETR!A283&lt;=Initialisation!$C$28,Initialisation!$D$27,IF(ETR!A283&lt;=Initialisation!$C$29,Initialisation!$D$28,0))))))</f>
        <v>0.5</v>
      </c>
    </row>
    <row r="283" spans="1:13" x14ac:dyDescent="0.35">
      <c r="A283" s="5">
        <f>IF(MeteoJ!A283=$BP$5,A282,MeteoJ!A283)</f>
        <v>42144</v>
      </c>
      <c r="B283">
        <f>MeteoJ!D283</f>
        <v>0</v>
      </c>
      <c r="C283">
        <f t="shared" si="24"/>
        <v>0</v>
      </c>
      <c r="D283">
        <f>MeteoJ!B283</f>
        <v>0</v>
      </c>
      <c r="E283">
        <f t="shared" si="25"/>
        <v>0</v>
      </c>
      <c r="F283">
        <f t="shared" si="26"/>
        <v>0</v>
      </c>
      <c r="H283">
        <f>(1-Initialisation!$C$19/100)*C283</f>
        <v>0</v>
      </c>
      <c r="I283">
        <f t="shared" si="27"/>
        <v>0</v>
      </c>
      <c r="J283">
        <f t="shared" si="28"/>
        <v>0</v>
      </c>
      <c r="K283">
        <f t="shared" si="29"/>
        <v>0</v>
      </c>
      <c r="M283">
        <f>IF(ETR!A283&lt;=Initialisation!$C$24,Initialisation!$D$23,IF(ETR!A283&lt;=Initialisation!$C$25,Initialisation!$D$24,IF(ETR!A283&lt;=Initialisation!$C$26,Initialisation!$D$25,IF(ETR!A283&lt;=Initialisation!$C$27,Initialisation!$D$26,IF(ETR!A284&lt;=Initialisation!$C$28,Initialisation!$D$27,IF(ETR!A284&lt;=Initialisation!$C$29,Initialisation!$D$28,0))))))</f>
        <v>0.5</v>
      </c>
    </row>
    <row r="284" spans="1:13" x14ac:dyDescent="0.35">
      <c r="A284" s="5">
        <f>IF(MeteoJ!A284=$BP$5,A283,MeteoJ!A284)</f>
        <v>42144</v>
      </c>
      <c r="B284">
        <f>MeteoJ!D284</f>
        <v>0</v>
      </c>
      <c r="C284">
        <f t="shared" si="24"/>
        <v>0</v>
      </c>
      <c r="D284">
        <f>MeteoJ!B284</f>
        <v>0</v>
      </c>
      <c r="E284">
        <f t="shared" si="25"/>
        <v>0</v>
      </c>
      <c r="F284">
        <f t="shared" si="26"/>
        <v>0</v>
      </c>
      <c r="H284">
        <f>(1-Initialisation!$C$19/100)*C284</f>
        <v>0</v>
      </c>
      <c r="I284">
        <f t="shared" si="27"/>
        <v>0</v>
      </c>
      <c r="J284">
        <f t="shared" si="28"/>
        <v>0</v>
      </c>
      <c r="K284">
        <f t="shared" si="29"/>
        <v>0</v>
      </c>
      <c r="M284">
        <f>IF(ETR!A284&lt;=Initialisation!$C$24,Initialisation!$D$23,IF(ETR!A284&lt;=Initialisation!$C$25,Initialisation!$D$24,IF(ETR!A284&lt;=Initialisation!$C$26,Initialisation!$D$25,IF(ETR!A284&lt;=Initialisation!$C$27,Initialisation!$D$26,IF(ETR!A285&lt;=Initialisation!$C$28,Initialisation!$D$27,IF(ETR!A285&lt;=Initialisation!$C$29,Initialisation!$D$28,0))))))</f>
        <v>0.5</v>
      </c>
    </row>
    <row r="285" spans="1:13" x14ac:dyDescent="0.35">
      <c r="A285" s="5">
        <f>IF(MeteoJ!A285=$BP$5,A284,MeteoJ!A285)</f>
        <v>42144</v>
      </c>
      <c r="B285">
        <f>MeteoJ!D285</f>
        <v>0</v>
      </c>
      <c r="C285">
        <f t="shared" si="24"/>
        <v>0</v>
      </c>
      <c r="D285">
        <f>MeteoJ!B285</f>
        <v>0</v>
      </c>
      <c r="E285">
        <f t="shared" si="25"/>
        <v>0</v>
      </c>
      <c r="F285">
        <f t="shared" si="26"/>
        <v>0</v>
      </c>
      <c r="H285">
        <f>(1-Initialisation!$C$19/100)*C285</f>
        <v>0</v>
      </c>
      <c r="I285">
        <f t="shared" si="27"/>
        <v>0</v>
      </c>
      <c r="J285">
        <f t="shared" si="28"/>
        <v>0</v>
      </c>
      <c r="K285">
        <f t="shared" si="29"/>
        <v>0</v>
      </c>
      <c r="M285">
        <f>IF(ETR!A285&lt;=Initialisation!$C$24,Initialisation!$D$23,IF(ETR!A285&lt;=Initialisation!$C$25,Initialisation!$D$24,IF(ETR!A285&lt;=Initialisation!$C$26,Initialisation!$D$25,IF(ETR!A285&lt;=Initialisation!$C$27,Initialisation!$D$26,IF(ETR!A286&lt;=Initialisation!$C$28,Initialisation!$D$27,IF(ETR!A286&lt;=Initialisation!$C$29,Initialisation!$D$28,0))))))</f>
        <v>0.5</v>
      </c>
    </row>
    <row r="286" spans="1:13" x14ac:dyDescent="0.35">
      <c r="A286" s="5">
        <f>IF(MeteoJ!A286=$BP$5,A285,MeteoJ!A286)</f>
        <v>42144</v>
      </c>
      <c r="B286">
        <f>MeteoJ!D286</f>
        <v>0</v>
      </c>
      <c r="C286">
        <f t="shared" si="24"/>
        <v>0</v>
      </c>
      <c r="D286">
        <f>MeteoJ!B286</f>
        <v>0</v>
      </c>
      <c r="E286">
        <f t="shared" si="25"/>
        <v>0</v>
      </c>
      <c r="F286">
        <f t="shared" si="26"/>
        <v>0</v>
      </c>
      <c r="H286">
        <f>(1-Initialisation!$C$19/100)*C286</f>
        <v>0</v>
      </c>
      <c r="I286">
        <f t="shared" si="27"/>
        <v>0</v>
      </c>
      <c r="J286">
        <f t="shared" si="28"/>
        <v>0</v>
      </c>
      <c r="K286">
        <f t="shared" si="29"/>
        <v>0</v>
      </c>
      <c r="M286">
        <f>IF(ETR!A286&lt;=Initialisation!$C$24,Initialisation!$D$23,IF(ETR!A286&lt;=Initialisation!$C$25,Initialisation!$D$24,IF(ETR!A286&lt;=Initialisation!$C$26,Initialisation!$D$25,IF(ETR!A286&lt;=Initialisation!$C$27,Initialisation!$D$26,IF(ETR!A287&lt;=Initialisation!$C$28,Initialisation!$D$27,IF(ETR!A287&lt;=Initialisation!$C$29,Initialisation!$D$28,0))))))</f>
        <v>0.5</v>
      </c>
    </row>
    <row r="287" spans="1:13" x14ac:dyDescent="0.35">
      <c r="A287" s="5">
        <f>IF(MeteoJ!A287=$BP$5,A286,MeteoJ!A287)</f>
        <v>42144</v>
      </c>
      <c r="B287">
        <f>MeteoJ!D287</f>
        <v>0</v>
      </c>
      <c r="C287">
        <f t="shared" si="24"/>
        <v>0</v>
      </c>
      <c r="D287">
        <f>MeteoJ!B287</f>
        <v>0</v>
      </c>
      <c r="E287">
        <f t="shared" si="25"/>
        <v>0</v>
      </c>
      <c r="F287">
        <f t="shared" si="26"/>
        <v>0</v>
      </c>
      <c r="H287">
        <f>(1-Initialisation!$C$19/100)*C287</f>
        <v>0</v>
      </c>
      <c r="I287">
        <f t="shared" si="27"/>
        <v>0</v>
      </c>
      <c r="J287">
        <f t="shared" si="28"/>
        <v>0</v>
      </c>
      <c r="K287">
        <f t="shared" si="29"/>
        <v>0</v>
      </c>
      <c r="M287">
        <f>IF(ETR!A287&lt;=Initialisation!$C$24,Initialisation!$D$23,IF(ETR!A287&lt;=Initialisation!$C$25,Initialisation!$D$24,IF(ETR!A287&lt;=Initialisation!$C$26,Initialisation!$D$25,IF(ETR!A287&lt;=Initialisation!$C$27,Initialisation!$D$26,IF(ETR!A288&lt;=Initialisation!$C$28,Initialisation!$D$27,IF(ETR!A288&lt;=Initialisation!$C$29,Initialisation!$D$28,0))))))</f>
        <v>0.5</v>
      </c>
    </row>
    <row r="288" spans="1:13" x14ac:dyDescent="0.35">
      <c r="A288" s="5">
        <f>IF(MeteoJ!A288=$BP$5,A287,MeteoJ!A288)</f>
        <v>42144</v>
      </c>
      <c r="B288">
        <f>MeteoJ!D288</f>
        <v>0</v>
      </c>
      <c r="C288">
        <f t="shared" si="24"/>
        <v>0</v>
      </c>
      <c r="D288">
        <f>MeteoJ!B288</f>
        <v>0</v>
      </c>
      <c r="E288">
        <f t="shared" si="25"/>
        <v>0</v>
      </c>
      <c r="F288">
        <f t="shared" si="26"/>
        <v>0</v>
      </c>
      <c r="H288">
        <f>(1-Initialisation!$C$19/100)*C288</f>
        <v>0</v>
      </c>
      <c r="I288">
        <f t="shared" si="27"/>
        <v>0</v>
      </c>
      <c r="J288">
        <f t="shared" si="28"/>
        <v>0</v>
      </c>
      <c r="K288">
        <f t="shared" si="29"/>
        <v>0</v>
      </c>
      <c r="M288">
        <f>IF(ETR!A288&lt;=Initialisation!$C$24,Initialisation!$D$23,IF(ETR!A288&lt;=Initialisation!$C$25,Initialisation!$D$24,IF(ETR!A288&lt;=Initialisation!$C$26,Initialisation!$D$25,IF(ETR!A288&lt;=Initialisation!$C$27,Initialisation!$D$26,IF(ETR!A289&lt;=Initialisation!$C$28,Initialisation!$D$27,IF(ETR!A289&lt;=Initialisation!$C$29,Initialisation!$D$28,0))))))</f>
        <v>0.5</v>
      </c>
    </row>
    <row r="289" spans="1:13" x14ac:dyDescent="0.35">
      <c r="A289" s="5">
        <f>IF(MeteoJ!A289=$BP$5,A288,MeteoJ!A289)</f>
        <v>42144</v>
      </c>
      <c r="B289">
        <f>MeteoJ!D289</f>
        <v>0</v>
      </c>
      <c r="C289">
        <f t="shared" si="24"/>
        <v>0</v>
      </c>
      <c r="D289">
        <f>MeteoJ!B289</f>
        <v>0</v>
      </c>
      <c r="E289">
        <f t="shared" si="25"/>
        <v>0</v>
      </c>
      <c r="F289">
        <f t="shared" si="26"/>
        <v>0</v>
      </c>
      <c r="H289">
        <f>(1-Initialisation!$C$19/100)*C289</f>
        <v>0</v>
      </c>
      <c r="I289">
        <f t="shared" si="27"/>
        <v>0</v>
      </c>
      <c r="J289">
        <f t="shared" si="28"/>
        <v>0</v>
      </c>
      <c r="K289">
        <f t="shared" si="29"/>
        <v>0</v>
      </c>
      <c r="M289">
        <f>IF(ETR!A289&lt;=Initialisation!$C$24,Initialisation!$D$23,IF(ETR!A289&lt;=Initialisation!$C$25,Initialisation!$D$24,IF(ETR!A289&lt;=Initialisation!$C$26,Initialisation!$D$25,IF(ETR!A289&lt;=Initialisation!$C$27,Initialisation!$D$26,IF(ETR!A290&lt;=Initialisation!$C$28,Initialisation!$D$27,IF(ETR!A290&lt;=Initialisation!$C$29,Initialisation!$D$28,0))))))</f>
        <v>0.5</v>
      </c>
    </row>
    <row r="290" spans="1:13" x14ac:dyDescent="0.35">
      <c r="A290" s="5">
        <f>IF(MeteoJ!A290=$BP$5,A289,MeteoJ!A290)</f>
        <v>42144</v>
      </c>
      <c r="B290">
        <f>MeteoJ!D290</f>
        <v>0</v>
      </c>
      <c r="C290">
        <f t="shared" si="24"/>
        <v>0</v>
      </c>
      <c r="D290">
        <f>MeteoJ!B290</f>
        <v>0</v>
      </c>
      <c r="E290">
        <f t="shared" si="25"/>
        <v>0</v>
      </c>
      <c r="F290">
        <f t="shared" si="26"/>
        <v>0</v>
      </c>
      <c r="H290">
        <f>(1-Initialisation!$C$19/100)*C290</f>
        <v>0</v>
      </c>
      <c r="I290">
        <f t="shared" si="27"/>
        <v>0</v>
      </c>
      <c r="J290">
        <f t="shared" si="28"/>
        <v>0</v>
      </c>
      <c r="K290">
        <f t="shared" si="29"/>
        <v>0</v>
      </c>
      <c r="M290">
        <f>IF(ETR!A290&lt;=Initialisation!$C$24,Initialisation!$D$23,IF(ETR!A290&lt;=Initialisation!$C$25,Initialisation!$D$24,IF(ETR!A290&lt;=Initialisation!$C$26,Initialisation!$D$25,IF(ETR!A290&lt;=Initialisation!$C$27,Initialisation!$D$26,IF(ETR!A291&lt;=Initialisation!$C$28,Initialisation!$D$27,IF(ETR!A291&lt;=Initialisation!$C$29,Initialisation!$D$28,0))))))</f>
        <v>0.5</v>
      </c>
    </row>
    <row r="291" spans="1:13" x14ac:dyDescent="0.35">
      <c r="A291" s="5">
        <f>IF(MeteoJ!A291=$BP$5,A290,MeteoJ!A291)</f>
        <v>42144</v>
      </c>
      <c r="B291">
        <f>MeteoJ!D291</f>
        <v>0</v>
      </c>
      <c r="C291">
        <f t="shared" si="24"/>
        <v>0</v>
      </c>
      <c r="D291">
        <f>MeteoJ!B291</f>
        <v>0</v>
      </c>
      <c r="E291">
        <f t="shared" si="25"/>
        <v>0</v>
      </c>
      <c r="F291">
        <f t="shared" si="26"/>
        <v>0</v>
      </c>
      <c r="H291">
        <f>(1-Initialisation!$C$19/100)*C291</f>
        <v>0</v>
      </c>
      <c r="I291">
        <f t="shared" si="27"/>
        <v>0</v>
      </c>
      <c r="J291">
        <f t="shared" si="28"/>
        <v>0</v>
      </c>
      <c r="K291">
        <f t="shared" si="29"/>
        <v>0</v>
      </c>
      <c r="M291">
        <f>IF(ETR!A291&lt;=Initialisation!$C$24,Initialisation!$D$23,IF(ETR!A291&lt;=Initialisation!$C$25,Initialisation!$D$24,IF(ETR!A291&lt;=Initialisation!$C$26,Initialisation!$D$25,IF(ETR!A291&lt;=Initialisation!$C$27,Initialisation!$D$26,IF(ETR!A292&lt;=Initialisation!$C$28,Initialisation!$D$27,IF(ETR!A292&lt;=Initialisation!$C$29,Initialisation!$D$28,0))))))</f>
        <v>0.5</v>
      </c>
    </row>
    <row r="292" spans="1:13" x14ac:dyDescent="0.35">
      <c r="A292" s="5">
        <f>IF(MeteoJ!A292=$BP$5,A291,MeteoJ!A292)</f>
        <v>42144</v>
      </c>
      <c r="B292">
        <f>MeteoJ!D292</f>
        <v>0</v>
      </c>
      <c r="C292">
        <f t="shared" si="24"/>
        <v>0</v>
      </c>
      <c r="D292">
        <f>MeteoJ!B292</f>
        <v>0</v>
      </c>
      <c r="E292">
        <f t="shared" si="25"/>
        <v>0</v>
      </c>
      <c r="F292">
        <f t="shared" si="26"/>
        <v>0</v>
      </c>
      <c r="H292">
        <f>(1-Initialisation!$C$19/100)*C292</f>
        <v>0</v>
      </c>
      <c r="I292">
        <f t="shared" si="27"/>
        <v>0</v>
      </c>
      <c r="J292">
        <f t="shared" si="28"/>
        <v>0</v>
      </c>
      <c r="K292">
        <f t="shared" si="29"/>
        <v>0</v>
      </c>
      <c r="M292">
        <f>IF(ETR!A292&lt;=Initialisation!$C$24,Initialisation!$D$23,IF(ETR!A292&lt;=Initialisation!$C$25,Initialisation!$D$24,IF(ETR!A292&lt;=Initialisation!$C$26,Initialisation!$D$25,IF(ETR!A292&lt;=Initialisation!$C$27,Initialisation!$D$26,IF(ETR!A293&lt;=Initialisation!$C$28,Initialisation!$D$27,IF(ETR!A293&lt;=Initialisation!$C$29,Initialisation!$D$28,0))))))</f>
        <v>0.5</v>
      </c>
    </row>
    <row r="293" spans="1:13" x14ac:dyDescent="0.35">
      <c r="A293" s="5">
        <f>IF(MeteoJ!A293=$BP$5,A292,MeteoJ!A293)</f>
        <v>42144</v>
      </c>
      <c r="B293">
        <f>MeteoJ!D293</f>
        <v>0</v>
      </c>
      <c r="C293">
        <f t="shared" si="24"/>
        <v>0</v>
      </c>
      <c r="D293">
        <f>MeteoJ!B293</f>
        <v>0</v>
      </c>
      <c r="E293">
        <f t="shared" si="25"/>
        <v>0</v>
      </c>
      <c r="F293">
        <f t="shared" si="26"/>
        <v>0</v>
      </c>
      <c r="H293">
        <f>(1-Initialisation!$C$19/100)*C293</f>
        <v>0</v>
      </c>
      <c r="I293">
        <f t="shared" si="27"/>
        <v>0</v>
      </c>
      <c r="J293">
        <f t="shared" si="28"/>
        <v>0</v>
      </c>
      <c r="K293">
        <f t="shared" si="29"/>
        <v>0</v>
      </c>
      <c r="M293">
        <f>IF(ETR!A293&lt;=Initialisation!$C$24,Initialisation!$D$23,IF(ETR!A293&lt;=Initialisation!$C$25,Initialisation!$D$24,IF(ETR!A293&lt;=Initialisation!$C$26,Initialisation!$D$25,IF(ETR!A293&lt;=Initialisation!$C$27,Initialisation!$D$26,IF(ETR!A294&lt;=Initialisation!$C$28,Initialisation!$D$27,IF(ETR!A294&lt;=Initialisation!$C$29,Initialisation!$D$28,0))))))</f>
        <v>0.5</v>
      </c>
    </row>
    <row r="294" spans="1:13" x14ac:dyDescent="0.35">
      <c r="A294" s="5">
        <f>IF(MeteoJ!A294=$BP$5,A293,MeteoJ!A294)</f>
        <v>42144</v>
      </c>
      <c r="B294">
        <f>MeteoJ!D294</f>
        <v>0</v>
      </c>
      <c r="C294">
        <f t="shared" si="24"/>
        <v>0</v>
      </c>
      <c r="D294">
        <f>MeteoJ!B294</f>
        <v>0</v>
      </c>
      <c r="E294">
        <f t="shared" si="25"/>
        <v>0</v>
      </c>
      <c r="F294">
        <f t="shared" si="26"/>
        <v>0</v>
      </c>
      <c r="H294">
        <f>(1-Initialisation!$C$19/100)*C294</f>
        <v>0</v>
      </c>
      <c r="I294">
        <f t="shared" si="27"/>
        <v>0</v>
      </c>
      <c r="J294">
        <f t="shared" si="28"/>
        <v>0</v>
      </c>
      <c r="K294">
        <f t="shared" si="29"/>
        <v>0</v>
      </c>
      <c r="M294">
        <f>IF(ETR!A294&lt;=Initialisation!$C$24,Initialisation!$D$23,IF(ETR!A294&lt;=Initialisation!$C$25,Initialisation!$D$24,IF(ETR!A294&lt;=Initialisation!$C$26,Initialisation!$D$25,IF(ETR!A294&lt;=Initialisation!$C$27,Initialisation!$D$26,IF(ETR!A295&lt;=Initialisation!$C$28,Initialisation!$D$27,IF(ETR!A295&lt;=Initialisation!$C$29,Initialisation!$D$28,0))))))</f>
        <v>0.5</v>
      </c>
    </row>
    <row r="295" spans="1:13" x14ac:dyDescent="0.35">
      <c r="A295" s="5">
        <f>IF(MeteoJ!A295=$BP$5,A294,MeteoJ!A295)</f>
        <v>42144</v>
      </c>
      <c r="B295">
        <f>MeteoJ!D295</f>
        <v>0</v>
      </c>
      <c r="C295">
        <f t="shared" si="24"/>
        <v>0</v>
      </c>
      <c r="D295">
        <f>MeteoJ!B295</f>
        <v>0</v>
      </c>
      <c r="E295">
        <f t="shared" si="25"/>
        <v>0</v>
      </c>
      <c r="F295">
        <f t="shared" si="26"/>
        <v>0</v>
      </c>
      <c r="H295">
        <f>(1-Initialisation!$C$19/100)*C295</f>
        <v>0</v>
      </c>
      <c r="I295">
        <f t="shared" si="27"/>
        <v>0</v>
      </c>
      <c r="J295">
        <f t="shared" si="28"/>
        <v>0</v>
      </c>
      <c r="K295">
        <f t="shared" si="29"/>
        <v>0</v>
      </c>
      <c r="M295">
        <f>IF(ETR!A295&lt;=Initialisation!$C$24,Initialisation!$D$23,IF(ETR!A295&lt;=Initialisation!$C$25,Initialisation!$D$24,IF(ETR!A295&lt;=Initialisation!$C$26,Initialisation!$D$25,IF(ETR!A295&lt;=Initialisation!$C$27,Initialisation!$D$26,IF(ETR!A296&lt;=Initialisation!$C$28,Initialisation!$D$27,IF(ETR!A296&lt;=Initialisation!$C$29,Initialisation!$D$28,0))))))</f>
        <v>0.5</v>
      </c>
    </row>
    <row r="296" spans="1:13" x14ac:dyDescent="0.35">
      <c r="A296" s="5">
        <f>IF(MeteoJ!A296=$BP$5,A295,MeteoJ!A296)</f>
        <v>42144</v>
      </c>
      <c r="B296">
        <f>MeteoJ!D296</f>
        <v>0</v>
      </c>
      <c r="C296">
        <f t="shared" si="24"/>
        <v>0</v>
      </c>
      <c r="D296">
        <f>MeteoJ!B296</f>
        <v>0</v>
      </c>
      <c r="E296">
        <f t="shared" si="25"/>
        <v>0</v>
      </c>
      <c r="F296">
        <f t="shared" si="26"/>
        <v>0</v>
      </c>
      <c r="H296">
        <f>(1-Initialisation!$C$19/100)*C296</f>
        <v>0</v>
      </c>
      <c r="I296">
        <f t="shared" si="27"/>
        <v>0</v>
      </c>
      <c r="J296">
        <f t="shared" si="28"/>
        <v>0</v>
      </c>
      <c r="K296">
        <f t="shared" si="29"/>
        <v>0</v>
      </c>
      <c r="M296">
        <f>IF(ETR!A296&lt;=Initialisation!$C$24,Initialisation!$D$23,IF(ETR!A296&lt;=Initialisation!$C$25,Initialisation!$D$24,IF(ETR!A296&lt;=Initialisation!$C$26,Initialisation!$D$25,IF(ETR!A296&lt;=Initialisation!$C$27,Initialisation!$D$26,IF(ETR!A297&lt;=Initialisation!$C$28,Initialisation!$D$27,IF(ETR!A297&lt;=Initialisation!$C$29,Initialisation!$D$28,0))))))</f>
        <v>0.5</v>
      </c>
    </row>
    <row r="297" spans="1:13" x14ac:dyDescent="0.35">
      <c r="A297" s="5">
        <f>IF(MeteoJ!A297=$BP$5,A296,MeteoJ!A297)</f>
        <v>42144</v>
      </c>
      <c r="B297">
        <f>MeteoJ!D297</f>
        <v>0</v>
      </c>
      <c r="C297">
        <f t="shared" si="24"/>
        <v>0</v>
      </c>
      <c r="D297">
        <f>MeteoJ!B297</f>
        <v>0</v>
      </c>
      <c r="E297">
        <f t="shared" si="25"/>
        <v>0</v>
      </c>
      <c r="F297">
        <f t="shared" si="26"/>
        <v>0</v>
      </c>
      <c r="H297">
        <f>(1-Initialisation!$C$19/100)*C297</f>
        <v>0</v>
      </c>
      <c r="I297">
        <f t="shared" si="27"/>
        <v>0</v>
      </c>
      <c r="J297">
        <f t="shared" si="28"/>
        <v>0</v>
      </c>
      <c r="K297">
        <f t="shared" si="29"/>
        <v>0</v>
      </c>
      <c r="M297">
        <f>IF(ETR!A297&lt;=Initialisation!$C$24,Initialisation!$D$23,IF(ETR!A297&lt;=Initialisation!$C$25,Initialisation!$D$24,IF(ETR!A297&lt;=Initialisation!$C$26,Initialisation!$D$25,IF(ETR!A297&lt;=Initialisation!$C$27,Initialisation!$D$26,IF(ETR!A298&lt;=Initialisation!$C$28,Initialisation!$D$27,IF(ETR!A298&lt;=Initialisation!$C$29,Initialisation!$D$28,0))))))</f>
        <v>0.5</v>
      </c>
    </row>
    <row r="298" spans="1:13" x14ac:dyDescent="0.35">
      <c r="A298" s="5">
        <f>IF(MeteoJ!A298=$BP$5,A297,MeteoJ!A298)</f>
        <v>42144</v>
      </c>
      <c r="B298">
        <f>MeteoJ!D298</f>
        <v>0</v>
      </c>
      <c r="C298">
        <f t="shared" si="24"/>
        <v>0</v>
      </c>
      <c r="D298">
        <f>MeteoJ!B298</f>
        <v>0</v>
      </c>
      <c r="E298">
        <f t="shared" si="25"/>
        <v>0</v>
      </c>
      <c r="F298">
        <f t="shared" si="26"/>
        <v>0</v>
      </c>
      <c r="H298">
        <f>(1-Initialisation!$C$19/100)*C298</f>
        <v>0</v>
      </c>
      <c r="I298">
        <f t="shared" si="27"/>
        <v>0</v>
      </c>
      <c r="J298">
        <f t="shared" si="28"/>
        <v>0</v>
      </c>
      <c r="K298">
        <f t="shared" si="29"/>
        <v>0</v>
      </c>
      <c r="M298">
        <f>IF(ETR!A298&lt;=Initialisation!$C$24,Initialisation!$D$23,IF(ETR!A298&lt;=Initialisation!$C$25,Initialisation!$D$24,IF(ETR!A298&lt;=Initialisation!$C$26,Initialisation!$D$25,IF(ETR!A298&lt;=Initialisation!$C$27,Initialisation!$D$26,IF(ETR!A299&lt;=Initialisation!$C$28,Initialisation!$D$27,IF(ETR!A299&lt;=Initialisation!$C$29,Initialisation!$D$28,0))))))</f>
        <v>0.5</v>
      </c>
    </row>
    <row r="299" spans="1:13" x14ac:dyDescent="0.35">
      <c r="A299" s="5">
        <f>IF(MeteoJ!A299=$BP$5,A298,MeteoJ!A299)</f>
        <v>42144</v>
      </c>
      <c r="B299">
        <f>MeteoJ!D299</f>
        <v>0</v>
      </c>
      <c r="C299">
        <f t="shared" si="24"/>
        <v>0</v>
      </c>
      <c r="D299">
        <f>MeteoJ!B299</f>
        <v>0</v>
      </c>
      <c r="E299">
        <f t="shared" si="25"/>
        <v>0</v>
      </c>
      <c r="F299">
        <f t="shared" si="26"/>
        <v>0</v>
      </c>
      <c r="H299">
        <f>(1-Initialisation!$C$19/100)*C299</f>
        <v>0</v>
      </c>
      <c r="I299">
        <f t="shared" si="27"/>
        <v>0</v>
      </c>
      <c r="J299">
        <f t="shared" si="28"/>
        <v>0</v>
      </c>
      <c r="K299">
        <f t="shared" si="29"/>
        <v>0</v>
      </c>
      <c r="M299">
        <f>IF(ETR!A299&lt;=Initialisation!$C$24,Initialisation!$D$23,IF(ETR!A299&lt;=Initialisation!$C$25,Initialisation!$D$24,IF(ETR!A299&lt;=Initialisation!$C$26,Initialisation!$D$25,IF(ETR!A299&lt;=Initialisation!$C$27,Initialisation!$D$26,IF(ETR!A300&lt;=Initialisation!$C$28,Initialisation!$D$27,IF(ETR!A300&lt;=Initialisation!$C$29,Initialisation!$D$28,0))))))</f>
        <v>0.5</v>
      </c>
    </row>
    <row r="300" spans="1:13" x14ac:dyDescent="0.35">
      <c r="A300" s="5">
        <f>IF(MeteoJ!A300=$BP$5,A299,MeteoJ!A300)</f>
        <v>42144</v>
      </c>
      <c r="B300">
        <f>MeteoJ!D300</f>
        <v>0</v>
      </c>
      <c r="C300">
        <f t="shared" si="24"/>
        <v>0</v>
      </c>
      <c r="D300">
        <f>MeteoJ!B300</f>
        <v>0</v>
      </c>
      <c r="E300">
        <f t="shared" si="25"/>
        <v>0</v>
      </c>
      <c r="F300">
        <f t="shared" si="26"/>
        <v>0</v>
      </c>
      <c r="H300">
        <f>(1-Initialisation!$C$19/100)*C300</f>
        <v>0</v>
      </c>
      <c r="I300">
        <f t="shared" si="27"/>
        <v>0</v>
      </c>
      <c r="J300">
        <f t="shared" si="28"/>
        <v>0</v>
      </c>
      <c r="K300">
        <f t="shared" si="29"/>
        <v>0</v>
      </c>
      <c r="M300">
        <f>IF(ETR!A300&lt;=Initialisation!$C$24,Initialisation!$D$23,IF(ETR!A300&lt;=Initialisation!$C$25,Initialisation!$D$24,IF(ETR!A300&lt;=Initialisation!$C$26,Initialisation!$D$25,IF(ETR!A300&lt;=Initialisation!$C$27,Initialisation!$D$26,IF(ETR!A301&lt;=Initialisation!$C$28,Initialisation!$D$27,IF(ETR!A301&lt;=Initialisation!$C$29,Initialisation!$D$28,0))))))</f>
        <v>0.5</v>
      </c>
    </row>
    <row r="301" spans="1:13" x14ac:dyDescent="0.35">
      <c r="A301" s="5">
        <f>IF(MeteoJ!A301=$BP$5,A300,MeteoJ!A301)</f>
        <v>42144</v>
      </c>
      <c r="B301">
        <f>MeteoJ!D301</f>
        <v>0</v>
      </c>
      <c r="C301">
        <f t="shared" si="24"/>
        <v>0</v>
      </c>
      <c r="D301">
        <f>MeteoJ!B301</f>
        <v>0</v>
      </c>
      <c r="E301">
        <f t="shared" si="25"/>
        <v>0</v>
      </c>
      <c r="F301">
        <f t="shared" si="26"/>
        <v>0</v>
      </c>
      <c r="H301">
        <f>(1-Initialisation!$C$19/100)*C301</f>
        <v>0</v>
      </c>
      <c r="I301">
        <f t="shared" si="27"/>
        <v>0</v>
      </c>
      <c r="J301">
        <f t="shared" si="28"/>
        <v>0</v>
      </c>
      <c r="K301">
        <f t="shared" si="29"/>
        <v>0</v>
      </c>
      <c r="M301">
        <f>IF(ETR!A301&lt;=Initialisation!$C$24,Initialisation!$D$23,IF(ETR!A301&lt;=Initialisation!$C$25,Initialisation!$D$24,IF(ETR!A301&lt;=Initialisation!$C$26,Initialisation!$D$25,IF(ETR!A301&lt;=Initialisation!$C$27,Initialisation!$D$26,IF(ETR!A302&lt;=Initialisation!$C$28,Initialisation!$D$27,IF(ETR!A302&lt;=Initialisation!$C$29,Initialisation!$D$28,0))))))</f>
        <v>0.5</v>
      </c>
    </row>
    <row r="302" spans="1:13" x14ac:dyDescent="0.35">
      <c r="A302" s="5">
        <f>IF(MeteoJ!A302=$BP$5,A301,MeteoJ!A302)</f>
        <v>42144</v>
      </c>
      <c r="B302">
        <f>MeteoJ!D302</f>
        <v>0</v>
      </c>
      <c r="C302">
        <f t="shared" si="24"/>
        <v>0</v>
      </c>
      <c r="D302">
        <f>MeteoJ!B302</f>
        <v>0</v>
      </c>
      <c r="E302">
        <f t="shared" si="25"/>
        <v>0</v>
      </c>
      <c r="F302">
        <f t="shared" si="26"/>
        <v>0</v>
      </c>
      <c r="H302">
        <f>(1-Initialisation!$C$19/100)*C302</f>
        <v>0</v>
      </c>
      <c r="I302">
        <f t="shared" si="27"/>
        <v>0</v>
      </c>
      <c r="J302">
        <f t="shared" si="28"/>
        <v>0</v>
      </c>
      <c r="K302">
        <f t="shared" si="29"/>
        <v>0</v>
      </c>
      <c r="M302">
        <f>IF(ETR!A302&lt;=Initialisation!$C$24,Initialisation!$D$23,IF(ETR!A302&lt;=Initialisation!$C$25,Initialisation!$D$24,IF(ETR!A302&lt;=Initialisation!$C$26,Initialisation!$D$25,IF(ETR!A302&lt;=Initialisation!$C$27,Initialisation!$D$26,IF(ETR!A303&lt;=Initialisation!$C$28,Initialisation!$D$27,IF(ETR!A303&lt;=Initialisation!$C$29,Initialisation!$D$28,0))))))</f>
        <v>0.5</v>
      </c>
    </row>
    <row r="303" spans="1:13" x14ac:dyDescent="0.35">
      <c r="A303" s="5">
        <f>IF(MeteoJ!A303=$BP$5,A302,MeteoJ!A303)</f>
        <v>42144</v>
      </c>
      <c r="B303">
        <f>MeteoJ!D303</f>
        <v>0</v>
      </c>
      <c r="C303">
        <f t="shared" si="24"/>
        <v>0</v>
      </c>
      <c r="D303">
        <f>MeteoJ!B303</f>
        <v>0</v>
      </c>
      <c r="E303">
        <f t="shared" si="25"/>
        <v>0</v>
      </c>
      <c r="F303">
        <f t="shared" si="26"/>
        <v>0</v>
      </c>
      <c r="H303">
        <f>(1-Initialisation!$C$19/100)*C303</f>
        <v>0</v>
      </c>
      <c r="I303">
        <f t="shared" si="27"/>
        <v>0</v>
      </c>
      <c r="J303">
        <f t="shared" si="28"/>
        <v>0</v>
      </c>
      <c r="K303">
        <f t="shared" si="29"/>
        <v>0</v>
      </c>
      <c r="M303">
        <f>IF(ETR!A303&lt;=Initialisation!$C$24,Initialisation!$D$23,IF(ETR!A303&lt;=Initialisation!$C$25,Initialisation!$D$24,IF(ETR!A303&lt;=Initialisation!$C$26,Initialisation!$D$25,IF(ETR!A303&lt;=Initialisation!$C$27,Initialisation!$D$26,IF(ETR!A304&lt;=Initialisation!$C$28,Initialisation!$D$27,IF(ETR!A304&lt;=Initialisation!$C$29,Initialisation!$D$28,0))))))</f>
        <v>0.5</v>
      </c>
    </row>
    <row r="304" spans="1:13" x14ac:dyDescent="0.35">
      <c r="A304" s="5">
        <f>IF(MeteoJ!A304=$BP$5,A303,MeteoJ!A304)</f>
        <v>42144</v>
      </c>
      <c r="B304">
        <f>MeteoJ!D304</f>
        <v>0</v>
      </c>
      <c r="C304">
        <f t="shared" si="24"/>
        <v>0</v>
      </c>
      <c r="D304">
        <f>MeteoJ!B304</f>
        <v>0</v>
      </c>
      <c r="E304">
        <f t="shared" si="25"/>
        <v>0</v>
      </c>
      <c r="F304">
        <f t="shared" si="26"/>
        <v>0</v>
      </c>
      <c r="H304">
        <f>(1-Initialisation!$C$19/100)*C304</f>
        <v>0</v>
      </c>
      <c r="I304">
        <f t="shared" si="27"/>
        <v>0</v>
      </c>
      <c r="J304">
        <f t="shared" si="28"/>
        <v>0</v>
      </c>
      <c r="K304">
        <f t="shared" si="29"/>
        <v>0</v>
      </c>
      <c r="M304">
        <f>IF(ETR!A304&lt;=Initialisation!$C$24,Initialisation!$D$23,IF(ETR!A304&lt;=Initialisation!$C$25,Initialisation!$D$24,IF(ETR!A304&lt;=Initialisation!$C$26,Initialisation!$D$25,IF(ETR!A304&lt;=Initialisation!$C$27,Initialisation!$D$26,IF(ETR!A305&lt;=Initialisation!$C$28,Initialisation!$D$27,IF(ETR!A305&lt;=Initialisation!$C$29,Initialisation!$D$28,0))))))</f>
        <v>0.5</v>
      </c>
    </row>
    <row r="305" spans="1:13" x14ac:dyDescent="0.35">
      <c r="A305" s="5">
        <f>IF(MeteoJ!A305=$BP$5,A304,MeteoJ!A305)</f>
        <v>42144</v>
      </c>
      <c r="B305">
        <f>MeteoJ!D305</f>
        <v>0</v>
      </c>
      <c r="C305">
        <f t="shared" si="24"/>
        <v>0</v>
      </c>
      <c r="D305">
        <f>MeteoJ!B305</f>
        <v>0</v>
      </c>
      <c r="E305">
        <f t="shared" si="25"/>
        <v>0</v>
      </c>
      <c r="F305">
        <f t="shared" si="26"/>
        <v>0</v>
      </c>
      <c r="H305">
        <f>(1-Initialisation!$C$19/100)*C305</f>
        <v>0</v>
      </c>
      <c r="I305">
        <f t="shared" si="27"/>
        <v>0</v>
      </c>
      <c r="J305">
        <f t="shared" si="28"/>
        <v>0</v>
      </c>
      <c r="K305">
        <f t="shared" si="29"/>
        <v>0</v>
      </c>
      <c r="M305">
        <f>IF(ETR!A305&lt;=Initialisation!$C$24,Initialisation!$D$23,IF(ETR!A305&lt;=Initialisation!$C$25,Initialisation!$D$24,IF(ETR!A305&lt;=Initialisation!$C$26,Initialisation!$D$25,IF(ETR!A305&lt;=Initialisation!$C$27,Initialisation!$D$26,IF(ETR!A306&lt;=Initialisation!$C$28,Initialisation!$D$27,IF(ETR!A306&lt;=Initialisation!$C$29,Initialisation!$D$28,0))))))</f>
        <v>0.5</v>
      </c>
    </row>
    <row r="306" spans="1:13" x14ac:dyDescent="0.35">
      <c r="A306" s="5">
        <f>IF(MeteoJ!A306=$BP$5,A305,MeteoJ!A306)</f>
        <v>42144</v>
      </c>
      <c r="B306">
        <f>MeteoJ!D306</f>
        <v>0</v>
      </c>
      <c r="C306">
        <f t="shared" si="24"/>
        <v>0</v>
      </c>
      <c r="D306">
        <f>MeteoJ!B306</f>
        <v>0</v>
      </c>
      <c r="E306">
        <f t="shared" si="25"/>
        <v>0</v>
      </c>
      <c r="F306">
        <f t="shared" si="26"/>
        <v>0</v>
      </c>
      <c r="H306">
        <f>(1-Initialisation!$C$19/100)*C306</f>
        <v>0</v>
      </c>
      <c r="I306">
        <f t="shared" si="27"/>
        <v>0</v>
      </c>
      <c r="J306">
        <f t="shared" si="28"/>
        <v>0</v>
      </c>
      <c r="K306">
        <f t="shared" si="29"/>
        <v>0</v>
      </c>
      <c r="M306">
        <f>IF(ETR!A306&lt;=Initialisation!$C$24,Initialisation!$D$23,IF(ETR!A306&lt;=Initialisation!$C$25,Initialisation!$D$24,IF(ETR!A306&lt;=Initialisation!$C$26,Initialisation!$D$25,IF(ETR!A306&lt;=Initialisation!$C$27,Initialisation!$D$26,IF(ETR!A307&lt;=Initialisation!$C$28,Initialisation!$D$27,IF(ETR!A307&lt;=Initialisation!$C$29,Initialisation!$D$28,0))))))</f>
        <v>0.5</v>
      </c>
    </row>
    <row r="307" spans="1:13" x14ac:dyDescent="0.35">
      <c r="A307" s="5">
        <f>IF(MeteoJ!A307=$BP$5,A306,MeteoJ!A307)</f>
        <v>42144</v>
      </c>
      <c r="B307">
        <f>MeteoJ!D307</f>
        <v>0</v>
      </c>
      <c r="C307">
        <f t="shared" si="24"/>
        <v>0</v>
      </c>
      <c r="D307">
        <f>MeteoJ!B307</f>
        <v>0</v>
      </c>
      <c r="E307">
        <f t="shared" si="25"/>
        <v>0</v>
      </c>
      <c r="F307">
        <f t="shared" si="26"/>
        <v>0</v>
      </c>
      <c r="H307">
        <f>(1-Initialisation!$C$19/100)*C307</f>
        <v>0</v>
      </c>
      <c r="I307">
        <f t="shared" si="27"/>
        <v>0</v>
      </c>
      <c r="J307">
        <f t="shared" si="28"/>
        <v>0</v>
      </c>
      <c r="K307">
        <f t="shared" si="29"/>
        <v>0</v>
      </c>
      <c r="M307">
        <f>IF(ETR!A307&lt;=Initialisation!$C$24,Initialisation!$D$23,IF(ETR!A307&lt;=Initialisation!$C$25,Initialisation!$D$24,IF(ETR!A307&lt;=Initialisation!$C$26,Initialisation!$D$25,IF(ETR!A307&lt;=Initialisation!$C$27,Initialisation!$D$26,IF(ETR!A308&lt;=Initialisation!$C$28,Initialisation!$D$27,IF(ETR!A308&lt;=Initialisation!$C$29,Initialisation!$D$28,0))))))</f>
        <v>0.5</v>
      </c>
    </row>
    <row r="308" spans="1:13" x14ac:dyDescent="0.35">
      <c r="A308" s="5">
        <f>IF(MeteoJ!A308=$BP$5,A307,MeteoJ!A308)</f>
        <v>42144</v>
      </c>
      <c r="B308">
        <f>MeteoJ!D308</f>
        <v>0</v>
      </c>
      <c r="C308">
        <f t="shared" si="24"/>
        <v>0</v>
      </c>
      <c r="D308">
        <f>MeteoJ!B308</f>
        <v>0</v>
      </c>
      <c r="E308">
        <f t="shared" si="25"/>
        <v>0</v>
      </c>
      <c r="F308">
        <f t="shared" si="26"/>
        <v>0</v>
      </c>
      <c r="H308">
        <f>(1-Initialisation!$C$19/100)*C308</f>
        <v>0</v>
      </c>
      <c r="I308">
        <f t="shared" si="27"/>
        <v>0</v>
      </c>
      <c r="J308">
        <f t="shared" si="28"/>
        <v>0</v>
      </c>
      <c r="K308">
        <f t="shared" si="29"/>
        <v>0</v>
      </c>
      <c r="M308">
        <f>IF(ETR!A308&lt;=Initialisation!$C$24,Initialisation!$D$23,IF(ETR!A308&lt;=Initialisation!$C$25,Initialisation!$D$24,IF(ETR!A308&lt;=Initialisation!$C$26,Initialisation!$D$25,IF(ETR!A308&lt;=Initialisation!$C$27,Initialisation!$D$26,IF(ETR!A309&lt;=Initialisation!$C$28,Initialisation!$D$27,IF(ETR!A309&lt;=Initialisation!$C$29,Initialisation!$D$28,0))))))</f>
        <v>0.5</v>
      </c>
    </row>
    <row r="309" spans="1:13" x14ac:dyDescent="0.35">
      <c r="A309" s="5">
        <f>IF(MeteoJ!A309=$BP$5,A308,MeteoJ!A309)</f>
        <v>42144</v>
      </c>
      <c r="B309">
        <f>MeteoJ!D309</f>
        <v>0</v>
      </c>
      <c r="C309">
        <f t="shared" si="24"/>
        <v>0</v>
      </c>
      <c r="D309">
        <f>MeteoJ!B309</f>
        <v>0</v>
      </c>
      <c r="E309">
        <f t="shared" si="25"/>
        <v>0</v>
      </c>
      <c r="F309">
        <f t="shared" si="26"/>
        <v>0</v>
      </c>
      <c r="H309">
        <f>(1-Initialisation!$C$19/100)*C309</f>
        <v>0</v>
      </c>
      <c r="I309">
        <f t="shared" si="27"/>
        <v>0</v>
      </c>
      <c r="J309">
        <f t="shared" si="28"/>
        <v>0</v>
      </c>
      <c r="K309">
        <f t="shared" si="29"/>
        <v>0</v>
      </c>
      <c r="M309">
        <f>IF(ETR!A309&lt;=Initialisation!$C$24,Initialisation!$D$23,IF(ETR!A309&lt;=Initialisation!$C$25,Initialisation!$D$24,IF(ETR!A309&lt;=Initialisation!$C$26,Initialisation!$D$25,IF(ETR!A309&lt;=Initialisation!$C$27,Initialisation!$D$26,IF(ETR!A310&lt;=Initialisation!$C$28,Initialisation!$D$27,IF(ETR!A310&lt;=Initialisation!$C$29,Initialisation!$D$28,0))))))</f>
        <v>0.5</v>
      </c>
    </row>
    <row r="310" spans="1:13" x14ac:dyDescent="0.35">
      <c r="A310" s="5">
        <f>IF(MeteoJ!A310=$BP$5,A309,MeteoJ!A310)</f>
        <v>42144</v>
      </c>
      <c r="B310">
        <f>MeteoJ!D310</f>
        <v>0</v>
      </c>
      <c r="C310">
        <f t="shared" si="24"/>
        <v>0</v>
      </c>
      <c r="D310">
        <f>MeteoJ!B310</f>
        <v>0</v>
      </c>
      <c r="E310">
        <f t="shared" si="25"/>
        <v>0</v>
      </c>
      <c r="F310">
        <f t="shared" si="26"/>
        <v>0</v>
      </c>
      <c r="H310">
        <f>(1-Initialisation!$C$19/100)*C310</f>
        <v>0</v>
      </c>
      <c r="I310">
        <f t="shared" si="27"/>
        <v>0</v>
      </c>
      <c r="J310">
        <f t="shared" si="28"/>
        <v>0</v>
      </c>
      <c r="K310">
        <f t="shared" si="29"/>
        <v>0</v>
      </c>
      <c r="M310">
        <f>IF(ETR!A310&lt;=Initialisation!$C$24,Initialisation!$D$23,IF(ETR!A310&lt;=Initialisation!$C$25,Initialisation!$D$24,IF(ETR!A310&lt;=Initialisation!$C$26,Initialisation!$D$25,IF(ETR!A310&lt;=Initialisation!$C$27,Initialisation!$D$26,IF(ETR!A311&lt;=Initialisation!$C$28,Initialisation!$D$27,IF(ETR!A311&lt;=Initialisation!$C$29,Initialisation!$D$28,0))))))</f>
        <v>0.5</v>
      </c>
    </row>
    <row r="311" spans="1:13" x14ac:dyDescent="0.35">
      <c r="A311" s="5">
        <f>IF(MeteoJ!A311=$BP$5,A310,MeteoJ!A311)</f>
        <v>42144</v>
      </c>
      <c r="B311">
        <f>MeteoJ!D311</f>
        <v>0</v>
      </c>
      <c r="C311">
        <f t="shared" si="24"/>
        <v>0</v>
      </c>
      <c r="D311">
        <f>MeteoJ!B311</f>
        <v>0</v>
      </c>
      <c r="E311">
        <f t="shared" si="25"/>
        <v>0</v>
      </c>
      <c r="F311">
        <f t="shared" si="26"/>
        <v>0</v>
      </c>
      <c r="H311">
        <f>(1-Initialisation!$C$19/100)*C311</f>
        <v>0</v>
      </c>
      <c r="I311">
        <f t="shared" si="27"/>
        <v>0</v>
      </c>
      <c r="J311">
        <f t="shared" si="28"/>
        <v>0</v>
      </c>
      <c r="K311">
        <f t="shared" si="29"/>
        <v>0</v>
      </c>
      <c r="M311">
        <f>IF(ETR!A311&lt;=Initialisation!$C$24,Initialisation!$D$23,IF(ETR!A311&lt;=Initialisation!$C$25,Initialisation!$D$24,IF(ETR!A311&lt;=Initialisation!$C$26,Initialisation!$D$25,IF(ETR!A311&lt;=Initialisation!$C$27,Initialisation!$D$26,IF(ETR!A312&lt;=Initialisation!$C$28,Initialisation!$D$27,IF(ETR!A312&lt;=Initialisation!$C$29,Initialisation!$D$28,0))))))</f>
        <v>0.5</v>
      </c>
    </row>
    <row r="312" spans="1:13" x14ac:dyDescent="0.35">
      <c r="A312" s="5">
        <f>IF(MeteoJ!A312=$BP$5,A311,MeteoJ!A312)</f>
        <v>42144</v>
      </c>
      <c r="B312">
        <f>MeteoJ!D312</f>
        <v>0</v>
      </c>
      <c r="C312">
        <f t="shared" si="24"/>
        <v>0</v>
      </c>
      <c r="D312">
        <f>MeteoJ!B312</f>
        <v>0</v>
      </c>
      <c r="E312">
        <f t="shared" si="25"/>
        <v>0</v>
      </c>
      <c r="F312">
        <f t="shared" si="26"/>
        <v>0</v>
      </c>
      <c r="H312">
        <f>(1-Initialisation!$C$19/100)*C312</f>
        <v>0</v>
      </c>
      <c r="I312">
        <f t="shared" si="27"/>
        <v>0</v>
      </c>
      <c r="J312">
        <f t="shared" si="28"/>
        <v>0</v>
      </c>
      <c r="K312">
        <f t="shared" si="29"/>
        <v>0</v>
      </c>
      <c r="M312">
        <f>IF(ETR!A312&lt;=Initialisation!$C$24,Initialisation!$D$23,IF(ETR!A312&lt;=Initialisation!$C$25,Initialisation!$D$24,IF(ETR!A312&lt;=Initialisation!$C$26,Initialisation!$D$25,IF(ETR!A312&lt;=Initialisation!$C$27,Initialisation!$D$26,IF(ETR!A313&lt;=Initialisation!$C$28,Initialisation!$D$27,IF(ETR!A313&lt;=Initialisation!$C$29,Initialisation!$D$28,0))))))</f>
        <v>0.5</v>
      </c>
    </row>
    <row r="313" spans="1:13" x14ac:dyDescent="0.35">
      <c r="A313" s="5">
        <f>IF(MeteoJ!A313=$BP$5,A312,MeteoJ!A313)</f>
        <v>42144</v>
      </c>
      <c r="B313">
        <f>MeteoJ!D313</f>
        <v>0</v>
      </c>
      <c r="C313">
        <f t="shared" si="24"/>
        <v>0</v>
      </c>
      <c r="D313">
        <f>MeteoJ!B313</f>
        <v>0</v>
      </c>
      <c r="E313">
        <f t="shared" si="25"/>
        <v>0</v>
      </c>
      <c r="F313">
        <f t="shared" si="26"/>
        <v>0</v>
      </c>
      <c r="H313">
        <f>(1-Initialisation!$C$19/100)*C313</f>
        <v>0</v>
      </c>
      <c r="I313">
        <f t="shared" si="27"/>
        <v>0</v>
      </c>
      <c r="J313">
        <f t="shared" si="28"/>
        <v>0</v>
      </c>
      <c r="K313">
        <f t="shared" si="29"/>
        <v>0</v>
      </c>
      <c r="M313">
        <f>IF(ETR!A313&lt;=Initialisation!$C$24,Initialisation!$D$23,IF(ETR!A313&lt;=Initialisation!$C$25,Initialisation!$D$24,IF(ETR!A313&lt;=Initialisation!$C$26,Initialisation!$D$25,IF(ETR!A313&lt;=Initialisation!$C$27,Initialisation!$D$26,IF(ETR!A314&lt;=Initialisation!$C$28,Initialisation!$D$27,IF(ETR!A314&lt;=Initialisation!$C$29,Initialisation!$D$28,0))))))</f>
        <v>0.5</v>
      </c>
    </row>
    <row r="314" spans="1:13" x14ac:dyDescent="0.35">
      <c r="A314" s="5">
        <f>IF(MeteoJ!A314=$BP$5,A313,MeteoJ!A314)</f>
        <v>42144</v>
      </c>
      <c r="B314">
        <f>MeteoJ!D314</f>
        <v>0</v>
      </c>
      <c r="C314">
        <f t="shared" si="24"/>
        <v>0</v>
      </c>
      <c r="D314">
        <f>MeteoJ!B314</f>
        <v>0</v>
      </c>
      <c r="E314">
        <f t="shared" si="25"/>
        <v>0</v>
      </c>
      <c r="F314">
        <f t="shared" si="26"/>
        <v>0</v>
      </c>
      <c r="H314">
        <f>(1-Initialisation!$C$19/100)*C314</f>
        <v>0</v>
      </c>
      <c r="I314">
        <f t="shared" si="27"/>
        <v>0</v>
      </c>
      <c r="J314">
        <f t="shared" si="28"/>
        <v>0</v>
      </c>
      <c r="K314">
        <f t="shared" si="29"/>
        <v>0</v>
      </c>
      <c r="M314">
        <f>IF(ETR!A314&lt;=Initialisation!$C$24,Initialisation!$D$23,IF(ETR!A314&lt;=Initialisation!$C$25,Initialisation!$D$24,IF(ETR!A314&lt;=Initialisation!$C$26,Initialisation!$D$25,IF(ETR!A314&lt;=Initialisation!$C$27,Initialisation!$D$26,IF(ETR!A315&lt;=Initialisation!$C$28,Initialisation!$D$27,IF(ETR!A315&lt;=Initialisation!$C$29,Initialisation!$D$28,0))))))</f>
        <v>0.5</v>
      </c>
    </row>
    <row r="315" spans="1:13" x14ac:dyDescent="0.35">
      <c r="A315" s="5">
        <f>IF(MeteoJ!A315=$BP$5,A314,MeteoJ!A315)</f>
        <v>42144</v>
      </c>
      <c r="B315">
        <f>MeteoJ!D315</f>
        <v>0</v>
      </c>
      <c r="C315">
        <f t="shared" si="24"/>
        <v>0</v>
      </c>
      <c r="D315">
        <f>MeteoJ!B315</f>
        <v>0</v>
      </c>
      <c r="E315">
        <f t="shared" si="25"/>
        <v>0</v>
      </c>
      <c r="F315">
        <f t="shared" si="26"/>
        <v>0</v>
      </c>
      <c r="H315">
        <f>(1-Initialisation!$C$19/100)*C315</f>
        <v>0</v>
      </c>
      <c r="I315">
        <f t="shared" si="27"/>
        <v>0</v>
      </c>
      <c r="J315">
        <f t="shared" si="28"/>
        <v>0</v>
      </c>
      <c r="K315">
        <f t="shared" si="29"/>
        <v>0</v>
      </c>
      <c r="M315">
        <f>IF(ETR!A315&lt;=Initialisation!$C$24,Initialisation!$D$23,IF(ETR!A315&lt;=Initialisation!$C$25,Initialisation!$D$24,IF(ETR!A315&lt;=Initialisation!$C$26,Initialisation!$D$25,IF(ETR!A315&lt;=Initialisation!$C$27,Initialisation!$D$26,IF(ETR!A316&lt;=Initialisation!$C$28,Initialisation!$D$27,IF(ETR!A316&lt;=Initialisation!$C$29,Initialisation!$D$28,0))))))</f>
        <v>0.5</v>
      </c>
    </row>
    <row r="316" spans="1:13" x14ac:dyDescent="0.35">
      <c r="A316" s="5">
        <f>IF(MeteoJ!A316=$BP$5,A315,MeteoJ!A316)</f>
        <v>42144</v>
      </c>
      <c r="B316">
        <f>MeteoJ!D316</f>
        <v>0</v>
      </c>
      <c r="C316">
        <f t="shared" si="24"/>
        <v>0</v>
      </c>
      <c r="D316">
        <f>MeteoJ!B316</f>
        <v>0</v>
      </c>
      <c r="E316">
        <f t="shared" si="25"/>
        <v>0</v>
      </c>
      <c r="F316">
        <f t="shared" si="26"/>
        <v>0</v>
      </c>
      <c r="H316">
        <f>(1-Initialisation!$C$19/100)*C316</f>
        <v>0</v>
      </c>
      <c r="I316">
        <f t="shared" si="27"/>
        <v>0</v>
      </c>
      <c r="J316">
        <f t="shared" si="28"/>
        <v>0</v>
      </c>
      <c r="K316">
        <f t="shared" si="29"/>
        <v>0</v>
      </c>
      <c r="M316">
        <f>IF(ETR!A316&lt;=Initialisation!$C$24,Initialisation!$D$23,IF(ETR!A316&lt;=Initialisation!$C$25,Initialisation!$D$24,IF(ETR!A316&lt;=Initialisation!$C$26,Initialisation!$D$25,IF(ETR!A316&lt;=Initialisation!$C$27,Initialisation!$D$26,IF(ETR!A317&lt;=Initialisation!$C$28,Initialisation!$D$27,IF(ETR!A317&lt;=Initialisation!$C$29,Initialisation!$D$28,0))))))</f>
        <v>0.5</v>
      </c>
    </row>
    <row r="317" spans="1:13" x14ac:dyDescent="0.35">
      <c r="A317" s="5">
        <f>IF(MeteoJ!A317=$BP$5,A316,MeteoJ!A317)</f>
        <v>42144</v>
      </c>
      <c r="B317">
        <f>MeteoJ!D317</f>
        <v>0</v>
      </c>
      <c r="C317">
        <f t="shared" si="24"/>
        <v>0</v>
      </c>
      <c r="D317">
        <f>MeteoJ!B317</f>
        <v>0</v>
      </c>
      <c r="E317">
        <f t="shared" si="25"/>
        <v>0</v>
      </c>
      <c r="F317">
        <f t="shared" si="26"/>
        <v>0</v>
      </c>
      <c r="H317">
        <f>(1-Initialisation!$C$19/100)*C317</f>
        <v>0</v>
      </c>
      <c r="I317">
        <f t="shared" si="27"/>
        <v>0</v>
      </c>
      <c r="J317">
        <f t="shared" si="28"/>
        <v>0</v>
      </c>
      <c r="K317">
        <f t="shared" si="29"/>
        <v>0</v>
      </c>
      <c r="M317">
        <f>IF(ETR!A317&lt;=Initialisation!$C$24,Initialisation!$D$23,IF(ETR!A317&lt;=Initialisation!$C$25,Initialisation!$D$24,IF(ETR!A317&lt;=Initialisation!$C$26,Initialisation!$D$25,IF(ETR!A317&lt;=Initialisation!$C$27,Initialisation!$D$26,IF(ETR!A318&lt;=Initialisation!$C$28,Initialisation!$D$27,IF(ETR!A318&lt;=Initialisation!$C$29,Initialisation!$D$28,0))))))</f>
        <v>0.5</v>
      </c>
    </row>
    <row r="318" spans="1:13" x14ac:dyDescent="0.35">
      <c r="A318" s="5">
        <f>IF(MeteoJ!A318=$BP$5,A317,MeteoJ!A318)</f>
        <v>42144</v>
      </c>
      <c r="B318">
        <f>MeteoJ!D318</f>
        <v>0</v>
      </c>
      <c r="C318">
        <f t="shared" si="24"/>
        <v>0</v>
      </c>
      <c r="D318">
        <f>MeteoJ!B318</f>
        <v>0</v>
      </c>
      <c r="E318">
        <f t="shared" si="25"/>
        <v>0</v>
      </c>
      <c r="F318">
        <f t="shared" si="26"/>
        <v>0</v>
      </c>
      <c r="H318">
        <f>(1-Initialisation!$C$19/100)*C318</f>
        <v>0</v>
      </c>
      <c r="I318">
        <f t="shared" si="27"/>
        <v>0</v>
      </c>
      <c r="J318">
        <f t="shared" si="28"/>
        <v>0</v>
      </c>
      <c r="K318">
        <f t="shared" si="29"/>
        <v>0</v>
      </c>
      <c r="M318">
        <f>IF(ETR!A318&lt;=Initialisation!$C$24,Initialisation!$D$23,IF(ETR!A318&lt;=Initialisation!$C$25,Initialisation!$D$24,IF(ETR!A318&lt;=Initialisation!$C$26,Initialisation!$D$25,IF(ETR!A318&lt;=Initialisation!$C$27,Initialisation!$D$26,IF(ETR!A319&lt;=Initialisation!$C$28,Initialisation!$D$27,IF(ETR!A319&lt;=Initialisation!$C$29,Initialisation!$D$28,0))))))</f>
        <v>0.5</v>
      </c>
    </row>
    <row r="319" spans="1:13" x14ac:dyDescent="0.35">
      <c r="A319" s="5">
        <f>IF(MeteoJ!A319=$BP$5,A318,MeteoJ!A319)</f>
        <v>42144</v>
      </c>
      <c r="B319">
        <f>MeteoJ!D319</f>
        <v>0</v>
      </c>
      <c r="C319">
        <f t="shared" si="24"/>
        <v>0</v>
      </c>
      <c r="D319">
        <f>MeteoJ!B319</f>
        <v>0</v>
      </c>
      <c r="E319">
        <f t="shared" si="25"/>
        <v>0</v>
      </c>
      <c r="F319">
        <f t="shared" si="26"/>
        <v>0</v>
      </c>
      <c r="H319">
        <f>(1-Initialisation!$C$19/100)*C319</f>
        <v>0</v>
      </c>
      <c r="I319">
        <f t="shared" si="27"/>
        <v>0</v>
      </c>
      <c r="J319">
        <f t="shared" si="28"/>
        <v>0</v>
      </c>
      <c r="K319">
        <f t="shared" si="29"/>
        <v>0</v>
      </c>
      <c r="M319">
        <f>IF(ETR!A319&lt;=Initialisation!$C$24,Initialisation!$D$23,IF(ETR!A319&lt;=Initialisation!$C$25,Initialisation!$D$24,IF(ETR!A319&lt;=Initialisation!$C$26,Initialisation!$D$25,IF(ETR!A319&lt;=Initialisation!$C$27,Initialisation!$D$26,IF(ETR!A320&lt;=Initialisation!$C$28,Initialisation!$D$27,IF(ETR!A320&lt;=Initialisation!$C$29,Initialisation!$D$28,0))))))</f>
        <v>0.5</v>
      </c>
    </row>
    <row r="320" spans="1:13" x14ac:dyDescent="0.35">
      <c r="A320" s="5">
        <f>IF(MeteoJ!A320=$BP$5,A319,MeteoJ!A320)</f>
        <v>42144</v>
      </c>
      <c r="B320">
        <f>MeteoJ!D320</f>
        <v>0</v>
      </c>
      <c r="C320">
        <f t="shared" si="24"/>
        <v>0</v>
      </c>
      <c r="D320">
        <f>MeteoJ!B320</f>
        <v>0</v>
      </c>
      <c r="E320">
        <f t="shared" si="25"/>
        <v>0</v>
      </c>
      <c r="F320">
        <f t="shared" si="26"/>
        <v>0</v>
      </c>
      <c r="H320">
        <f>(1-Initialisation!$C$19/100)*C320</f>
        <v>0</v>
      </c>
      <c r="I320">
        <f t="shared" si="27"/>
        <v>0</v>
      </c>
      <c r="J320">
        <f t="shared" si="28"/>
        <v>0</v>
      </c>
      <c r="K320">
        <f t="shared" si="29"/>
        <v>0</v>
      </c>
      <c r="M320">
        <f>IF(ETR!A320&lt;=Initialisation!$C$24,Initialisation!$D$23,IF(ETR!A320&lt;=Initialisation!$C$25,Initialisation!$D$24,IF(ETR!A320&lt;=Initialisation!$C$26,Initialisation!$D$25,IF(ETR!A320&lt;=Initialisation!$C$27,Initialisation!$D$26,IF(ETR!A321&lt;=Initialisation!$C$28,Initialisation!$D$27,IF(ETR!A321&lt;=Initialisation!$C$29,Initialisation!$D$28,0))))))</f>
        <v>0.5</v>
      </c>
    </row>
    <row r="321" spans="1:13" x14ac:dyDescent="0.35">
      <c r="A321" s="5">
        <f>IF(MeteoJ!A321=$BP$5,A320,MeteoJ!A321)</f>
        <v>42144</v>
      </c>
      <c r="B321">
        <f>MeteoJ!D321</f>
        <v>0</v>
      </c>
      <c r="C321">
        <f t="shared" si="24"/>
        <v>0</v>
      </c>
      <c r="D321">
        <f>MeteoJ!B321</f>
        <v>0</v>
      </c>
      <c r="E321">
        <f t="shared" si="25"/>
        <v>0</v>
      </c>
      <c r="F321">
        <f t="shared" si="26"/>
        <v>0</v>
      </c>
      <c r="H321">
        <f>(1-Initialisation!$C$19/100)*C321</f>
        <v>0</v>
      </c>
      <c r="I321">
        <f t="shared" si="27"/>
        <v>0</v>
      </c>
      <c r="J321">
        <f t="shared" si="28"/>
        <v>0</v>
      </c>
      <c r="K321">
        <f t="shared" si="29"/>
        <v>0</v>
      </c>
      <c r="M321">
        <f>IF(ETR!A321&lt;=Initialisation!$C$24,Initialisation!$D$23,IF(ETR!A321&lt;=Initialisation!$C$25,Initialisation!$D$24,IF(ETR!A321&lt;=Initialisation!$C$26,Initialisation!$D$25,IF(ETR!A321&lt;=Initialisation!$C$27,Initialisation!$D$26,IF(ETR!A322&lt;=Initialisation!$C$28,Initialisation!$D$27,IF(ETR!A322&lt;=Initialisation!$C$29,Initialisation!$D$28,0))))))</f>
        <v>0.5</v>
      </c>
    </row>
    <row r="322" spans="1:13" x14ac:dyDescent="0.35">
      <c r="A322" s="5">
        <f>IF(MeteoJ!A322=$BP$5,A321,MeteoJ!A322)</f>
        <v>42144</v>
      </c>
      <c r="B322">
        <f>MeteoJ!D322</f>
        <v>0</v>
      </c>
      <c r="C322">
        <f t="shared" si="24"/>
        <v>0</v>
      </c>
      <c r="D322">
        <f>MeteoJ!B322</f>
        <v>0</v>
      </c>
      <c r="E322">
        <f t="shared" si="25"/>
        <v>0</v>
      </c>
      <c r="F322">
        <f t="shared" si="26"/>
        <v>0</v>
      </c>
      <c r="H322">
        <f>(1-Initialisation!$C$19/100)*C322</f>
        <v>0</v>
      </c>
      <c r="I322">
        <f t="shared" si="27"/>
        <v>0</v>
      </c>
      <c r="J322">
        <f t="shared" si="28"/>
        <v>0</v>
      </c>
      <c r="K322">
        <f t="shared" si="29"/>
        <v>0</v>
      </c>
      <c r="M322">
        <f>IF(ETR!A322&lt;=Initialisation!$C$24,Initialisation!$D$23,IF(ETR!A322&lt;=Initialisation!$C$25,Initialisation!$D$24,IF(ETR!A322&lt;=Initialisation!$C$26,Initialisation!$D$25,IF(ETR!A322&lt;=Initialisation!$C$27,Initialisation!$D$26,IF(ETR!A323&lt;=Initialisation!$C$28,Initialisation!$D$27,IF(ETR!A323&lt;=Initialisation!$C$29,Initialisation!$D$28,0))))))</f>
        <v>0.5</v>
      </c>
    </row>
    <row r="323" spans="1:13" x14ac:dyDescent="0.35">
      <c r="A323" s="5">
        <f>IF(MeteoJ!A323=$BP$5,A322,MeteoJ!A323)</f>
        <v>42144</v>
      </c>
      <c r="B323">
        <f>MeteoJ!D323</f>
        <v>0</v>
      </c>
      <c r="C323">
        <f t="shared" ref="C323:C367" si="30">B323*0.000023885*3600</f>
        <v>0</v>
      </c>
      <c r="D323">
        <f>MeteoJ!B323</f>
        <v>0</v>
      </c>
      <c r="E323">
        <f t="shared" ref="E323:E361" si="31">0.013*1*(C323+50)*D323/(D323+15)</f>
        <v>0</v>
      </c>
      <c r="F323">
        <f t="shared" ref="F323:F367" si="32">E323*M323</f>
        <v>0</v>
      </c>
      <c r="H323">
        <f>(1-Initialisation!$C$19/100)*C323</f>
        <v>0</v>
      </c>
      <c r="I323">
        <f t="shared" ref="I323:I361" si="33">D323</f>
        <v>0</v>
      </c>
      <c r="J323">
        <f t="shared" ref="J323:J361" si="34">0.013*1*(H323+50)*I323/(I323+15)</f>
        <v>0</v>
      </c>
      <c r="K323">
        <f t="shared" ref="K323:K367" si="35">J323*M323</f>
        <v>0</v>
      </c>
      <c r="M323">
        <f>IF(ETR!A323&lt;=Initialisation!$C$24,Initialisation!$D$23,IF(ETR!A323&lt;=Initialisation!$C$25,Initialisation!$D$24,IF(ETR!A323&lt;=Initialisation!$C$26,Initialisation!$D$25,IF(ETR!A323&lt;=Initialisation!$C$27,Initialisation!$D$26,IF(ETR!A324&lt;=Initialisation!$C$28,Initialisation!$D$27,IF(ETR!A324&lt;=Initialisation!$C$29,Initialisation!$D$28,0))))))</f>
        <v>0.5</v>
      </c>
    </row>
    <row r="324" spans="1:13" x14ac:dyDescent="0.35">
      <c r="A324" s="5">
        <f>IF(MeteoJ!A324=$BP$5,A323,MeteoJ!A324)</f>
        <v>42144</v>
      </c>
      <c r="B324">
        <f>MeteoJ!D324</f>
        <v>0</v>
      </c>
      <c r="C324">
        <f t="shared" si="30"/>
        <v>0</v>
      </c>
      <c r="D324">
        <f>MeteoJ!B324</f>
        <v>0</v>
      </c>
      <c r="E324">
        <f t="shared" si="31"/>
        <v>0</v>
      </c>
      <c r="F324">
        <f t="shared" si="32"/>
        <v>0</v>
      </c>
      <c r="H324">
        <f>(1-Initialisation!$C$19/100)*C324</f>
        <v>0</v>
      </c>
      <c r="I324">
        <f t="shared" si="33"/>
        <v>0</v>
      </c>
      <c r="J324">
        <f t="shared" si="34"/>
        <v>0</v>
      </c>
      <c r="K324">
        <f t="shared" si="35"/>
        <v>0</v>
      </c>
      <c r="M324">
        <f>IF(ETR!A324&lt;=Initialisation!$C$24,Initialisation!$D$23,IF(ETR!A324&lt;=Initialisation!$C$25,Initialisation!$D$24,IF(ETR!A324&lt;=Initialisation!$C$26,Initialisation!$D$25,IF(ETR!A324&lt;=Initialisation!$C$27,Initialisation!$D$26,IF(ETR!A325&lt;=Initialisation!$C$28,Initialisation!$D$27,IF(ETR!A325&lt;=Initialisation!$C$29,Initialisation!$D$28,0))))))</f>
        <v>0.5</v>
      </c>
    </row>
    <row r="325" spans="1:13" x14ac:dyDescent="0.35">
      <c r="A325" s="5">
        <f>IF(MeteoJ!A325=$BP$5,A324,MeteoJ!A325)</f>
        <v>42144</v>
      </c>
      <c r="B325">
        <f>MeteoJ!D325</f>
        <v>0</v>
      </c>
      <c r="C325">
        <f t="shared" si="30"/>
        <v>0</v>
      </c>
      <c r="D325">
        <f>MeteoJ!B325</f>
        <v>0</v>
      </c>
      <c r="E325">
        <f t="shared" si="31"/>
        <v>0</v>
      </c>
      <c r="F325">
        <f t="shared" si="32"/>
        <v>0</v>
      </c>
      <c r="H325">
        <f>(1-Initialisation!$C$19/100)*C325</f>
        <v>0</v>
      </c>
      <c r="I325">
        <f t="shared" si="33"/>
        <v>0</v>
      </c>
      <c r="J325">
        <f t="shared" si="34"/>
        <v>0</v>
      </c>
      <c r="K325">
        <f t="shared" si="35"/>
        <v>0</v>
      </c>
      <c r="M325">
        <f>IF(ETR!A325&lt;=Initialisation!$C$24,Initialisation!$D$23,IF(ETR!A325&lt;=Initialisation!$C$25,Initialisation!$D$24,IF(ETR!A325&lt;=Initialisation!$C$26,Initialisation!$D$25,IF(ETR!A325&lt;=Initialisation!$C$27,Initialisation!$D$26,IF(ETR!A326&lt;=Initialisation!$C$28,Initialisation!$D$27,IF(ETR!A326&lt;=Initialisation!$C$29,Initialisation!$D$28,0))))))</f>
        <v>0.5</v>
      </c>
    </row>
    <row r="326" spans="1:13" x14ac:dyDescent="0.35">
      <c r="A326" s="5">
        <f>IF(MeteoJ!A326=$BP$5,A325,MeteoJ!A326)</f>
        <v>42144</v>
      </c>
      <c r="B326">
        <f>MeteoJ!D326</f>
        <v>0</v>
      </c>
      <c r="C326">
        <f t="shared" si="30"/>
        <v>0</v>
      </c>
      <c r="D326">
        <f>MeteoJ!B326</f>
        <v>0</v>
      </c>
      <c r="E326">
        <f t="shared" si="31"/>
        <v>0</v>
      </c>
      <c r="F326">
        <f t="shared" si="32"/>
        <v>0</v>
      </c>
      <c r="H326">
        <f>(1-Initialisation!$C$19/100)*C326</f>
        <v>0</v>
      </c>
      <c r="I326">
        <f t="shared" si="33"/>
        <v>0</v>
      </c>
      <c r="J326">
        <f t="shared" si="34"/>
        <v>0</v>
      </c>
      <c r="K326">
        <f t="shared" si="35"/>
        <v>0</v>
      </c>
      <c r="M326">
        <f>IF(ETR!A326&lt;=Initialisation!$C$24,Initialisation!$D$23,IF(ETR!A326&lt;=Initialisation!$C$25,Initialisation!$D$24,IF(ETR!A326&lt;=Initialisation!$C$26,Initialisation!$D$25,IF(ETR!A326&lt;=Initialisation!$C$27,Initialisation!$D$26,IF(ETR!A327&lt;=Initialisation!$C$28,Initialisation!$D$27,IF(ETR!A327&lt;=Initialisation!$C$29,Initialisation!$D$28,0))))))</f>
        <v>0.5</v>
      </c>
    </row>
    <row r="327" spans="1:13" x14ac:dyDescent="0.35">
      <c r="A327" s="5">
        <f>IF(MeteoJ!A327=$BP$5,A326,MeteoJ!A327)</f>
        <v>42144</v>
      </c>
      <c r="B327">
        <f>MeteoJ!D327</f>
        <v>0</v>
      </c>
      <c r="C327">
        <f t="shared" si="30"/>
        <v>0</v>
      </c>
      <c r="D327">
        <f>MeteoJ!B327</f>
        <v>0</v>
      </c>
      <c r="E327">
        <f t="shared" si="31"/>
        <v>0</v>
      </c>
      <c r="F327">
        <f t="shared" si="32"/>
        <v>0</v>
      </c>
      <c r="H327">
        <f>(1-Initialisation!$C$19/100)*C327</f>
        <v>0</v>
      </c>
      <c r="I327">
        <f t="shared" si="33"/>
        <v>0</v>
      </c>
      <c r="J327">
        <f t="shared" si="34"/>
        <v>0</v>
      </c>
      <c r="K327">
        <f t="shared" si="35"/>
        <v>0</v>
      </c>
      <c r="M327">
        <f>IF(ETR!A327&lt;=Initialisation!$C$24,Initialisation!$D$23,IF(ETR!A327&lt;=Initialisation!$C$25,Initialisation!$D$24,IF(ETR!A327&lt;=Initialisation!$C$26,Initialisation!$D$25,IF(ETR!A327&lt;=Initialisation!$C$27,Initialisation!$D$26,IF(ETR!A328&lt;=Initialisation!$C$28,Initialisation!$D$27,IF(ETR!A328&lt;=Initialisation!$C$29,Initialisation!$D$28,0))))))</f>
        <v>0.5</v>
      </c>
    </row>
    <row r="328" spans="1:13" x14ac:dyDescent="0.35">
      <c r="A328" s="5">
        <f>IF(MeteoJ!A328=$BP$5,A327,MeteoJ!A328)</f>
        <v>42144</v>
      </c>
      <c r="B328">
        <f>MeteoJ!D328</f>
        <v>0</v>
      </c>
      <c r="C328">
        <f t="shared" si="30"/>
        <v>0</v>
      </c>
      <c r="D328">
        <f>MeteoJ!B328</f>
        <v>0</v>
      </c>
      <c r="E328">
        <f t="shared" si="31"/>
        <v>0</v>
      </c>
      <c r="F328">
        <f t="shared" si="32"/>
        <v>0</v>
      </c>
      <c r="H328">
        <f>(1-Initialisation!$C$19/100)*C328</f>
        <v>0</v>
      </c>
      <c r="I328">
        <f t="shared" si="33"/>
        <v>0</v>
      </c>
      <c r="J328">
        <f t="shared" si="34"/>
        <v>0</v>
      </c>
      <c r="K328">
        <f t="shared" si="35"/>
        <v>0</v>
      </c>
      <c r="M328">
        <f>IF(ETR!A328&lt;=Initialisation!$C$24,Initialisation!$D$23,IF(ETR!A328&lt;=Initialisation!$C$25,Initialisation!$D$24,IF(ETR!A328&lt;=Initialisation!$C$26,Initialisation!$D$25,IF(ETR!A328&lt;=Initialisation!$C$27,Initialisation!$D$26,IF(ETR!A329&lt;=Initialisation!$C$28,Initialisation!$D$27,IF(ETR!A329&lt;=Initialisation!$C$29,Initialisation!$D$28,0))))))</f>
        <v>0.5</v>
      </c>
    </row>
    <row r="329" spans="1:13" x14ac:dyDescent="0.35">
      <c r="A329" s="5">
        <f>IF(MeteoJ!A329=$BP$5,A328,MeteoJ!A329)</f>
        <v>42144</v>
      </c>
      <c r="B329">
        <f>MeteoJ!D329</f>
        <v>0</v>
      </c>
      <c r="C329">
        <f t="shared" si="30"/>
        <v>0</v>
      </c>
      <c r="D329">
        <f>MeteoJ!B329</f>
        <v>0</v>
      </c>
      <c r="E329">
        <f t="shared" si="31"/>
        <v>0</v>
      </c>
      <c r="F329">
        <f t="shared" si="32"/>
        <v>0</v>
      </c>
      <c r="H329">
        <f>(1-Initialisation!$C$19/100)*C329</f>
        <v>0</v>
      </c>
      <c r="I329">
        <f t="shared" si="33"/>
        <v>0</v>
      </c>
      <c r="J329">
        <f t="shared" si="34"/>
        <v>0</v>
      </c>
      <c r="K329">
        <f t="shared" si="35"/>
        <v>0</v>
      </c>
      <c r="M329">
        <f>IF(ETR!A329&lt;=Initialisation!$C$24,Initialisation!$D$23,IF(ETR!A329&lt;=Initialisation!$C$25,Initialisation!$D$24,IF(ETR!A329&lt;=Initialisation!$C$26,Initialisation!$D$25,IF(ETR!A329&lt;=Initialisation!$C$27,Initialisation!$D$26,IF(ETR!A330&lt;=Initialisation!$C$28,Initialisation!$D$27,IF(ETR!A330&lt;=Initialisation!$C$29,Initialisation!$D$28,0))))))</f>
        <v>0.5</v>
      </c>
    </row>
    <row r="330" spans="1:13" x14ac:dyDescent="0.35">
      <c r="A330" s="5">
        <f>IF(MeteoJ!A330=$BP$5,A329,MeteoJ!A330)</f>
        <v>42144</v>
      </c>
      <c r="B330">
        <f>MeteoJ!D330</f>
        <v>0</v>
      </c>
      <c r="C330">
        <f t="shared" si="30"/>
        <v>0</v>
      </c>
      <c r="D330">
        <f>MeteoJ!B330</f>
        <v>0</v>
      </c>
      <c r="E330">
        <f t="shared" si="31"/>
        <v>0</v>
      </c>
      <c r="F330">
        <f t="shared" si="32"/>
        <v>0</v>
      </c>
      <c r="H330">
        <f>(1-Initialisation!$C$19/100)*C330</f>
        <v>0</v>
      </c>
      <c r="I330">
        <f t="shared" si="33"/>
        <v>0</v>
      </c>
      <c r="J330">
        <f t="shared" si="34"/>
        <v>0</v>
      </c>
      <c r="K330">
        <f t="shared" si="35"/>
        <v>0</v>
      </c>
      <c r="M330">
        <f>IF(ETR!A330&lt;=Initialisation!$C$24,Initialisation!$D$23,IF(ETR!A330&lt;=Initialisation!$C$25,Initialisation!$D$24,IF(ETR!A330&lt;=Initialisation!$C$26,Initialisation!$D$25,IF(ETR!A330&lt;=Initialisation!$C$27,Initialisation!$D$26,IF(ETR!A331&lt;=Initialisation!$C$28,Initialisation!$D$27,IF(ETR!A331&lt;=Initialisation!$C$29,Initialisation!$D$28,0))))))</f>
        <v>0.5</v>
      </c>
    </row>
    <row r="331" spans="1:13" x14ac:dyDescent="0.35">
      <c r="A331" s="5">
        <f>IF(MeteoJ!A331=$BP$5,A330,MeteoJ!A331)</f>
        <v>42144</v>
      </c>
      <c r="B331">
        <f>MeteoJ!D331</f>
        <v>0</v>
      </c>
      <c r="C331">
        <f t="shared" si="30"/>
        <v>0</v>
      </c>
      <c r="D331">
        <f>MeteoJ!B331</f>
        <v>0</v>
      </c>
      <c r="E331">
        <f t="shared" si="31"/>
        <v>0</v>
      </c>
      <c r="F331">
        <f t="shared" si="32"/>
        <v>0</v>
      </c>
      <c r="H331">
        <f>(1-Initialisation!$C$19/100)*C331</f>
        <v>0</v>
      </c>
      <c r="I331">
        <f t="shared" si="33"/>
        <v>0</v>
      </c>
      <c r="J331">
        <f t="shared" si="34"/>
        <v>0</v>
      </c>
      <c r="K331">
        <f t="shared" si="35"/>
        <v>0</v>
      </c>
      <c r="M331">
        <f>IF(ETR!A331&lt;=Initialisation!$C$24,Initialisation!$D$23,IF(ETR!A331&lt;=Initialisation!$C$25,Initialisation!$D$24,IF(ETR!A331&lt;=Initialisation!$C$26,Initialisation!$D$25,IF(ETR!A331&lt;=Initialisation!$C$27,Initialisation!$D$26,IF(ETR!A332&lt;=Initialisation!$C$28,Initialisation!$D$27,IF(ETR!A332&lt;=Initialisation!$C$29,Initialisation!$D$28,0))))))</f>
        <v>0.5</v>
      </c>
    </row>
    <row r="332" spans="1:13" x14ac:dyDescent="0.35">
      <c r="A332" s="5">
        <f>IF(MeteoJ!A332=$BP$5,A331,MeteoJ!A332)</f>
        <v>42144</v>
      </c>
      <c r="B332">
        <f>MeteoJ!D332</f>
        <v>0</v>
      </c>
      <c r="C332">
        <f t="shared" si="30"/>
        <v>0</v>
      </c>
      <c r="D332">
        <f>MeteoJ!B332</f>
        <v>0</v>
      </c>
      <c r="E332">
        <f t="shared" si="31"/>
        <v>0</v>
      </c>
      <c r="F332">
        <f t="shared" si="32"/>
        <v>0</v>
      </c>
      <c r="H332">
        <f>(1-Initialisation!$C$19/100)*C332</f>
        <v>0</v>
      </c>
      <c r="I332">
        <f t="shared" si="33"/>
        <v>0</v>
      </c>
      <c r="J332">
        <f t="shared" si="34"/>
        <v>0</v>
      </c>
      <c r="K332">
        <f t="shared" si="35"/>
        <v>0</v>
      </c>
      <c r="M332">
        <f>IF(ETR!A332&lt;=Initialisation!$C$24,Initialisation!$D$23,IF(ETR!A332&lt;=Initialisation!$C$25,Initialisation!$D$24,IF(ETR!A332&lt;=Initialisation!$C$26,Initialisation!$D$25,IF(ETR!A332&lt;=Initialisation!$C$27,Initialisation!$D$26,IF(ETR!A333&lt;=Initialisation!$C$28,Initialisation!$D$27,IF(ETR!A333&lt;=Initialisation!$C$29,Initialisation!$D$28,0))))))</f>
        <v>0.5</v>
      </c>
    </row>
    <row r="333" spans="1:13" x14ac:dyDescent="0.35">
      <c r="A333" s="5">
        <f>IF(MeteoJ!A333=$BP$5,A332,MeteoJ!A333)</f>
        <v>42144</v>
      </c>
      <c r="B333">
        <f>MeteoJ!D333</f>
        <v>0</v>
      </c>
      <c r="C333">
        <f t="shared" si="30"/>
        <v>0</v>
      </c>
      <c r="D333">
        <f>MeteoJ!B333</f>
        <v>0</v>
      </c>
      <c r="E333">
        <f t="shared" si="31"/>
        <v>0</v>
      </c>
      <c r="F333">
        <f t="shared" si="32"/>
        <v>0</v>
      </c>
      <c r="H333">
        <f>(1-Initialisation!$C$19/100)*C333</f>
        <v>0</v>
      </c>
      <c r="I333">
        <f t="shared" si="33"/>
        <v>0</v>
      </c>
      <c r="J333">
        <f t="shared" si="34"/>
        <v>0</v>
      </c>
      <c r="K333">
        <f t="shared" si="35"/>
        <v>0</v>
      </c>
      <c r="M333">
        <f>IF(ETR!A333&lt;=Initialisation!$C$24,Initialisation!$D$23,IF(ETR!A333&lt;=Initialisation!$C$25,Initialisation!$D$24,IF(ETR!A333&lt;=Initialisation!$C$26,Initialisation!$D$25,IF(ETR!A333&lt;=Initialisation!$C$27,Initialisation!$D$26,IF(ETR!A334&lt;=Initialisation!$C$28,Initialisation!$D$27,IF(ETR!A334&lt;=Initialisation!$C$29,Initialisation!$D$28,0))))))</f>
        <v>0.5</v>
      </c>
    </row>
    <row r="334" spans="1:13" x14ac:dyDescent="0.35">
      <c r="A334" s="5">
        <f>IF(MeteoJ!A334=$BP$5,A333,MeteoJ!A334)</f>
        <v>42144</v>
      </c>
      <c r="B334">
        <f>MeteoJ!D334</f>
        <v>0</v>
      </c>
      <c r="C334">
        <f t="shared" si="30"/>
        <v>0</v>
      </c>
      <c r="D334">
        <f>MeteoJ!B334</f>
        <v>0</v>
      </c>
      <c r="E334">
        <f t="shared" si="31"/>
        <v>0</v>
      </c>
      <c r="F334">
        <f t="shared" si="32"/>
        <v>0</v>
      </c>
      <c r="H334">
        <f>(1-Initialisation!$C$19/100)*C334</f>
        <v>0</v>
      </c>
      <c r="I334">
        <f t="shared" si="33"/>
        <v>0</v>
      </c>
      <c r="J334">
        <f t="shared" si="34"/>
        <v>0</v>
      </c>
      <c r="K334">
        <f t="shared" si="35"/>
        <v>0</v>
      </c>
      <c r="M334">
        <f>IF(ETR!A334&lt;=Initialisation!$C$24,Initialisation!$D$23,IF(ETR!A334&lt;=Initialisation!$C$25,Initialisation!$D$24,IF(ETR!A334&lt;=Initialisation!$C$26,Initialisation!$D$25,IF(ETR!A334&lt;=Initialisation!$C$27,Initialisation!$D$26,IF(ETR!A335&lt;=Initialisation!$C$28,Initialisation!$D$27,IF(ETR!A335&lt;=Initialisation!$C$29,Initialisation!$D$28,0))))))</f>
        <v>0.5</v>
      </c>
    </row>
    <row r="335" spans="1:13" x14ac:dyDescent="0.35">
      <c r="A335" s="5">
        <f>IF(MeteoJ!A335=$BP$5,A334,MeteoJ!A335)</f>
        <v>42144</v>
      </c>
      <c r="B335">
        <f>MeteoJ!D335</f>
        <v>0</v>
      </c>
      <c r="C335">
        <f t="shared" si="30"/>
        <v>0</v>
      </c>
      <c r="D335">
        <f>MeteoJ!B335</f>
        <v>0</v>
      </c>
      <c r="E335">
        <f t="shared" si="31"/>
        <v>0</v>
      </c>
      <c r="F335">
        <f t="shared" si="32"/>
        <v>0</v>
      </c>
      <c r="H335">
        <f>(1-Initialisation!$C$19/100)*C335</f>
        <v>0</v>
      </c>
      <c r="I335">
        <f t="shared" si="33"/>
        <v>0</v>
      </c>
      <c r="J335">
        <f t="shared" si="34"/>
        <v>0</v>
      </c>
      <c r="K335">
        <f t="shared" si="35"/>
        <v>0</v>
      </c>
      <c r="M335">
        <f>IF(ETR!A335&lt;=Initialisation!$C$24,Initialisation!$D$23,IF(ETR!A335&lt;=Initialisation!$C$25,Initialisation!$D$24,IF(ETR!A335&lt;=Initialisation!$C$26,Initialisation!$D$25,IF(ETR!A335&lt;=Initialisation!$C$27,Initialisation!$D$26,IF(ETR!A336&lt;=Initialisation!$C$28,Initialisation!$D$27,IF(ETR!A336&lt;=Initialisation!$C$29,Initialisation!$D$28,0))))))</f>
        <v>0.5</v>
      </c>
    </row>
    <row r="336" spans="1:13" x14ac:dyDescent="0.35">
      <c r="A336" s="5">
        <f>IF(MeteoJ!A336=$BP$5,A335,MeteoJ!A336)</f>
        <v>42144</v>
      </c>
      <c r="B336">
        <f>MeteoJ!D336</f>
        <v>0</v>
      </c>
      <c r="C336">
        <f t="shared" si="30"/>
        <v>0</v>
      </c>
      <c r="D336">
        <f>MeteoJ!B336</f>
        <v>0</v>
      </c>
      <c r="E336">
        <f t="shared" si="31"/>
        <v>0</v>
      </c>
      <c r="F336">
        <f t="shared" si="32"/>
        <v>0</v>
      </c>
      <c r="H336">
        <f>(1-Initialisation!$C$19/100)*C336</f>
        <v>0</v>
      </c>
      <c r="I336">
        <f t="shared" si="33"/>
        <v>0</v>
      </c>
      <c r="J336">
        <f t="shared" si="34"/>
        <v>0</v>
      </c>
      <c r="K336">
        <f t="shared" si="35"/>
        <v>0</v>
      </c>
      <c r="M336">
        <f>IF(ETR!A336&lt;=Initialisation!$C$24,Initialisation!$D$23,IF(ETR!A336&lt;=Initialisation!$C$25,Initialisation!$D$24,IF(ETR!A336&lt;=Initialisation!$C$26,Initialisation!$D$25,IF(ETR!A336&lt;=Initialisation!$C$27,Initialisation!$D$26,IF(ETR!A337&lt;=Initialisation!$C$28,Initialisation!$D$27,IF(ETR!A337&lt;=Initialisation!$C$29,Initialisation!$D$28,0))))))</f>
        <v>0.5</v>
      </c>
    </row>
    <row r="337" spans="1:13" x14ac:dyDescent="0.35">
      <c r="A337" s="5">
        <f>IF(MeteoJ!A337=$BP$5,A336,MeteoJ!A337)</f>
        <v>42144</v>
      </c>
      <c r="B337">
        <f>MeteoJ!D337</f>
        <v>0</v>
      </c>
      <c r="C337">
        <f t="shared" si="30"/>
        <v>0</v>
      </c>
      <c r="D337">
        <f>MeteoJ!B337</f>
        <v>0</v>
      </c>
      <c r="E337">
        <f t="shared" si="31"/>
        <v>0</v>
      </c>
      <c r="F337">
        <f t="shared" si="32"/>
        <v>0</v>
      </c>
      <c r="H337">
        <f>(1-Initialisation!$C$19/100)*C337</f>
        <v>0</v>
      </c>
      <c r="I337">
        <f t="shared" si="33"/>
        <v>0</v>
      </c>
      <c r="J337">
        <f t="shared" si="34"/>
        <v>0</v>
      </c>
      <c r="K337">
        <f t="shared" si="35"/>
        <v>0</v>
      </c>
      <c r="M337">
        <f>IF(ETR!A337&lt;=Initialisation!$C$24,Initialisation!$D$23,IF(ETR!A337&lt;=Initialisation!$C$25,Initialisation!$D$24,IF(ETR!A337&lt;=Initialisation!$C$26,Initialisation!$D$25,IF(ETR!A337&lt;=Initialisation!$C$27,Initialisation!$D$26,IF(ETR!A338&lt;=Initialisation!$C$28,Initialisation!$D$27,IF(ETR!A338&lt;=Initialisation!$C$29,Initialisation!$D$28,0))))))</f>
        <v>0.5</v>
      </c>
    </row>
    <row r="338" spans="1:13" x14ac:dyDescent="0.35">
      <c r="A338" s="5">
        <f>IF(MeteoJ!A338=$BP$5,A337,MeteoJ!A338)</f>
        <v>42144</v>
      </c>
      <c r="B338">
        <f>MeteoJ!D338</f>
        <v>0</v>
      </c>
      <c r="C338">
        <f t="shared" si="30"/>
        <v>0</v>
      </c>
      <c r="D338">
        <f>MeteoJ!B338</f>
        <v>0</v>
      </c>
      <c r="E338">
        <f t="shared" si="31"/>
        <v>0</v>
      </c>
      <c r="F338">
        <f t="shared" si="32"/>
        <v>0</v>
      </c>
      <c r="H338">
        <f>(1-Initialisation!$C$19/100)*C338</f>
        <v>0</v>
      </c>
      <c r="I338">
        <f t="shared" si="33"/>
        <v>0</v>
      </c>
      <c r="J338">
        <f t="shared" si="34"/>
        <v>0</v>
      </c>
      <c r="K338">
        <f t="shared" si="35"/>
        <v>0</v>
      </c>
      <c r="M338">
        <f>IF(ETR!A338&lt;=Initialisation!$C$24,Initialisation!$D$23,IF(ETR!A338&lt;=Initialisation!$C$25,Initialisation!$D$24,IF(ETR!A338&lt;=Initialisation!$C$26,Initialisation!$D$25,IF(ETR!A338&lt;=Initialisation!$C$27,Initialisation!$D$26,IF(ETR!A339&lt;=Initialisation!$C$28,Initialisation!$D$27,IF(ETR!A339&lt;=Initialisation!$C$29,Initialisation!$D$28,0))))))</f>
        <v>0.5</v>
      </c>
    </row>
    <row r="339" spans="1:13" x14ac:dyDescent="0.35">
      <c r="A339" s="5">
        <f>IF(MeteoJ!A339=$BP$5,A338,MeteoJ!A339)</f>
        <v>42144</v>
      </c>
      <c r="B339">
        <f>MeteoJ!D339</f>
        <v>0</v>
      </c>
      <c r="C339">
        <f t="shared" si="30"/>
        <v>0</v>
      </c>
      <c r="D339">
        <f>MeteoJ!B339</f>
        <v>0</v>
      </c>
      <c r="E339">
        <f t="shared" si="31"/>
        <v>0</v>
      </c>
      <c r="F339">
        <f t="shared" si="32"/>
        <v>0</v>
      </c>
      <c r="H339">
        <f>(1-Initialisation!$C$19/100)*C339</f>
        <v>0</v>
      </c>
      <c r="I339">
        <f t="shared" si="33"/>
        <v>0</v>
      </c>
      <c r="J339">
        <f t="shared" si="34"/>
        <v>0</v>
      </c>
      <c r="K339">
        <f t="shared" si="35"/>
        <v>0</v>
      </c>
      <c r="M339">
        <f>IF(ETR!A339&lt;=Initialisation!$C$24,Initialisation!$D$23,IF(ETR!A339&lt;=Initialisation!$C$25,Initialisation!$D$24,IF(ETR!A339&lt;=Initialisation!$C$26,Initialisation!$D$25,IF(ETR!A339&lt;=Initialisation!$C$27,Initialisation!$D$26,IF(ETR!A340&lt;=Initialisation!$C$28,Initialisation!$D$27,IF(ETR!A340&lt;=Initialisation!$C$29,Initialisation!$D$28,0))))))</f>
        <v>0.5</v>
      </c>
    </row>
    <row r="340" spans="1:13" x14ac:dyDescent="0.35">
      <c r="A340" s="5">
        <f>IF(MeteoJ!A340=$BP$5,A339,MeteoJ!A340)</f>
        <v>42144</v>
      </c>
      <c r="B340">
        <f>MeteoJ!D340</f>
        <v>0</v>
      </c>
      <c r="C340">
        <f t="shared" si="30"/>
        <v>0</v>
      </c>
      <c r="D340">
        <f>MeteoJ!B340</f>
        <v>0</v>
      </c>
      <c r="E340">
        <f t="shared" si="31"/>
        <v>0</v>
      </c>
      <c r="F340">
        <f t="shared" si="32"/>
        <v>0</v>
      </c>
      <c r="H340">
        <f>(1-Initialisation!$C$19/100)*C340</f>
        <v>0</v>
      </c>
      <c r="I340">
        <f t="shared" si="33"/>
        <v>0</v>
      </c>
      <c r="J340">
        <f t="shared" si="34"/>
        <v>0</v>
      </c>
      <c r="K340">
        <f t="shared" si="35"/>
        <v>0</v>
      </c>
      <c r="M340">
        <f>IF(ETR!A340&lt;=Initialisation!$C$24,Initialisation!$D$23,IF(ETR!A340&lt;=Initialisation!$C$25,Initialisation!$D$24,IF(ETR!A340&lt;=Initialisation!$C$26,Initialisation!$D$25,IF(ETR!A340&lt;=Initialisation!$C$27,Initialisation!$D$26,IF(ETR!A341&lt;=Initialisation!$C$28,Initialisation!$D$27,IF(ETR!A341&lt;=Initialisation!$C$29,Initialisation!$D$28,0))))))</f>
        <v>0.5</v>
      </c>
    </row>
    <row r="341" spans="1:13" x14ac:dyDescent="0.35">
      <c r="A341" s="5">
        <f>IF(MeteoJ!A341=$BP$5,A340,MeteoJ!A341)</f>
        <v>42144</v>
      </c>
      <c r="B341">
        <f>MeteoJ!D341</f>
        <v>0</v>
      </c>
      <c r="C341">
        <f t="shared" si="30"/>
        <v>0</v>
      </c>
      <c r="D341">
        <f>MeteoJ!B341</f>
        <v>0</v>
      </c>
      <c r="E341">
        <f t="shared" si="31"/>
        <v>0</v>
      </c>
      <c r="F341">
        <f t="shared" si="32"/>
        <v>0</v>
      </c>
      <c r="H341">
        <f>(1-Initialisation!$C$19/100)*C341</f>
        <v>0</v>
      </c>
      <c r="I341">
        <f t="shared" si="33"/>
        <v>0</v>
      </c>
      <c r="J341">
        <f t="shared" si="34"/>
        <v>0</v>
      </c>
      <c r="K341">
        <f t="shared" si="35"/>
        <v>0</v>
      </c>
      <c r="M341">
        <f>IF(ETR!A341&lt;=Initialisation!$C$24,Initialisation!$D$23,IF(ETR!A341&lt;=Initialisation!$C$25,Initialisation!$D$24,IF(ETR!A341&lt;=Initialisation!$C$26,Initialisation!$D$25,IF(ETR!A341&lt;=Initialisation!$C$27,Initialisation!$D$26,IF(ETR!A342&lt;=Initialisation!$C$28,Initialisation!$D$27,IF(ETR!A342&lt;=Initialisation!$C$29,Initialisation!$D$28,0))))))</f>
        <v>0.5</v>
      </c>
    </row>
    <row r="342" spans="1:13" x14ac:dyDescent="0.35">
      <c r="A342" s="5">
        <f>IF(MeteoJ!A342=$BP$5,A341,MeteoJ!A342)</f>
        <v>42144</v>
      </c>
      <c r="B342">
        <f>MeteoJ!D342</f>
        <v>0</v>
      </c>
      <c r="C342">
        <f t="shared" si="30"/>
        <v>0</v>
      </c>
      <c r="D342">
        <f>MeteoJ!B342</f>
        <v>0</v>
      </c>
      <c r="E342">
        <f t="shared" si="31"/>
        <v>0</v>
      </c>
      <c r="F342">
        <f t="shared" si="32"/>
        <v>0</v>
      </c>
      <c r="H342">
        <f>(1-Initialisation!$C$19/100)*C342</f>
        <v>0</v>
      </c>
      <c r="I342">
        <f t="shared" si="33"/>
        <v>0</v>
      </c>
      <c r="J342">
        <f t="shared" si="34"/>
        <v>0</v>
      </c>
      <c r="K342">
        <f t="shared" si="35"/>
        <v>0</v>
      </c>
      <c r="M342">
        <f>IF(ETR!A342&lt;=Initialisation!$C$24,Initialisation!$D$23,IF(ETR!A342&lt;=Initialisation!$C$25,Initialisation!$D$24,IF(ETR!A342&lt;=Initialisation!$C$26,Initialisation!$D$25,IF(ETR!A342&lt;=Initialisation!$C$27,Initialisation!$D$26,IF(ETR!A343&lt;=Initialisation!$C$28,Initialisation!$D$27,IF(ETR!A343&lt;=Initialisation!$C$29,Initialisation!$D$28,0))))))</f>
        <v>0.5</v>
      </c>
    </row>
    <row r="343" spans="1:13" x14ac:dyDescent="0.35">
      <c r="A343" s="5">
        <f>IF(MeteoJ!A343=$BP$5,A342,MeteoJ!A343)</f>
        <v>42144</v>
      </c>
      <c r="B343">
        <f>MeteoJ!D343</f>
        <v>0</v>
      </c>
      <c r="C343">
        <f t="shared" si="30"/>
        <v>0</v>
      </c>
      <c r="D343">
        <f>MeteoJ!B343</f>
        <v>0</v>
      </c>
      <c r="E343">
        <f t="shared" si="31"/>
        <v>0</v>
      </c>
      <c r="F343">
        <f t="shared" si="32"/>
        <v>0</v>
      </c>
      <c r="H343">
        <f>(1-Initialisation!$C$19/100)*C343</f>
        <v>0</v>
      </c>
      <c r="I343">
        <f t="shared" si="33"/>
        <v>0</v>
      </c>
      <c r="J343">
        <f t="shared" si="34"/>
        <v>0</v>
      </c>
      <c r="K343">
        <f t="shared" si="35"/>
        <v>0</v>
      </c>
      <c r="M343">
        <f>IF(ETR!A343&lt;=Initialisation!$C$24,Initialisation!$D$23,IF(ETR!A343&lt;=Initialisation!$C$25,Initialisation!$D$24,IF(ETR!A343&lt;=Initialisation!$C$26,Initialisation!$D$25,IF(ETR!A343&lt;=Initialisation!$C$27,Initialisation!$D$26,IF(ETR!A344&lt;=Initialisation!$C$28,Initialisation!$D$27,IF(ETR!A344&lt;=Initialisation!$C$29,Initialisation!$D$28,0))))))</f>
        <v>0.5</v>
      </c>
    </row>
    <row r="344" spans="1:13" x14ac:dyDescent="0.35">
      <c r="A344" s="5">
        <f>IF(MeteoJ!A344=$BP$5,A343,MeteoJ!A344)</f>
        <v>42144</v>
      </c>
      <c r="B344">
        <f>MeteoJ!D344</f>
        <v>0</v>
      </c>
      <c r="C344">
        <f t="shared" si="30"/>
        <v>0</v>
      </c>
      <c r="D344">
        <f>MeteoJ!B344</f>
        <v>0</v>
      </c>
      <c r="E344">
        <f t="shared" si="31"/>
        <v>0</v>
      </c>
      <c r="F344">
        <f t="shared" si="32"/>
        <v>0</v>
      </c>
      <c r="H344">
        <f>(1-Initialisation!$C$19/100)*C344</f>
        <v>0</v>
      </c>
      <c r="I344">
        <f t="shared" si="33"/>
        <v>0</v>
      </c>
      <c r="J344">
        <f t="shared" si="34"/>
        <v>0</v>
      </c>
      <c r="K344">
        <f t="shared" si="35"/>
        <v>0</v>
      </c>
      <c r="M344">
        <f>IF(ETR!A344&lt;=Initialisation!$C$24,Initialisation!$D$23,IF(ETR!A344&lt;=Initialisation!$C$25,Initialisation!$D$24,IF(ETR!A344&lt;=Initialisation!$C$26,Initialisation!$D$25,IF(ETR!A344&lt;=Initialisation!$C$27,Initialisation!$D$26,IF(ETR!A345&lt;=Initialisation!$C$28,Initialisation!$D$27,IF(ETR!A345&lt;=Initialisation!$C$29,Initialisation!$D$28,0))))))</f>
        <v>0.5</v>
      </c>
    </row>
    <row r="345" spans="1:13" x14ac:dyDescent="0.35">
      <c r="A345" s="5">
        <f>IF(MeteoJ!A345=$BP$5,A344,MeteoJ!A345)</f>
        <v>42144</v>
      </c>
      <c r="B345">
        <f>MeteoJ!D345</f>
        <v>0</v>
      </c>
      <c r="C345">
        <f t="shared" si="30"/>
        <v>0</v>
      </c>
      <c r="D345">
        <f>MeteoJ!B345</f>
        <v>0</v>
      </c>
      <c r="E345">
        <f t="shared" si="31"/>
        <v>0</v>
      </c>
      <c r="F345">
        <f t="shared" si="32"/>
        <v>0</v>
      </c>
      <c r="H345">
        <f>(1-Initialisation!$C$19/100)*C345</f>
        <v>0</v>
      </c>
      <c r="I345">
        <f t="shared" si="33"/>
        <v>0</v>
      </c>
      <c r="J345">
        <f t="shared" si="34"/>
        <v>0</v>
      </c>
      <c r="K345">
        <f t="shared" si="35"/>
        <v>0</v>
      </c>
      <c r="M345">
        <f>IF(ETR!A345&lt;=Initialisation!$C$24,Initialisation!$D$23,IF(ETR!A345&lt;=Initialisation!$C$25,Initialisation!$D$24,IF(ETR!A345&lt;=Initialisation!$C$26,Initialisation!$D$25,IF(ETR!A345&lt;=Initialisation!$C$27,Initialisation!$D$26,IF(ETR!A346&lt;=Initialisation!$C$28,Initialisation!$D$27,IF(ETR!A346&lt;=Initialisation!$C$29,Initialisation!$D$28,0))))))</f>
        <v>0.5</v>
      </c>
    </row>
    <row r="346" spans="1:13" x14ac:dyDescent="0.35">
      <c r="A346" s="5">
        <f>IF(MeteoJ!A346=$BP$5,A345,MeteoJ!A346)</f>
        <v>42144</v>
      </c>
      <c r="B346">
        <f>MeteoJ!D346</f>
        <v>0</v>
      </c>
      <c r="C346">
        <f t="shared" si="30"/>
        <v>0</v>
      </c>
      <c r="D346">
        <f>MeteoJ!B346</f>
        <v>0</v>
      </c>
      <c r="E346">
        <f t="shared" si="31"/>
        <v>0</v>
      </c>
      <c r="F346">
        <f t="shared" si="32"/>
        <v>0</v>
      </c>
      <c r="H346">
        <f>(1-Initialisation!$C$19/100)*C346</f>
        <v>0</v>
      </c>
      <c r="I346">
        <f t="shared" si="33"/>
        <v>0</v>
      </c>
      <c r="J346">
        <f t="shared" si="34"/>
        <v>0</v>
      </c>
      <c r="K346">
        <f t="shared" si="35"/>
        <v>0</v>
      </c>
      <c r="M346">
        <f>IF(ETR!A346&lt;=Initialisation!$C$24,Initialisation!$D$23,IF(ETR!A346&lt;=Initialisation!$C$25,Initialisation!$D$24,IF(ETR!A346&lt;=Initialisation!$C$26,Initialisation!$D$25,IF(ETR!A346&lt;=Initialisation!$C$27,Initialisation!$D$26,IF(ETR!A347&lt;=Initialisation!$C$28,Initialisation!$D$27,IF(ETR!A347&lt;=Initialisation!$C$29,Initialisation!$D$28,0))))))</f>
        <v>0.5</v>
      </c>
    </row>
    <row r="347" spans="1:13" x14ac:dyDescent="0.35">
      <c r="A347" s="5">
        <f>IF(MeteoJ!A347=$BP$5,A346,MeteoJ!A347)</f>
        <v>42144</v>
      </c>
      <c r="B347">
        <f>MeteoJ!D347</f>
        <v>0</v>
      </c>
      <c r="C347">
        <f t="shared" si="30"/>
        <v>0</v>
      </c>
      <c r="D347">
        <f>MeteoJ!B347</f>
        <v>0</v>
      </c>
      <c r="E347">
        <f t="shared" si="31"/>
        <v>0</v>
      </c>
      <c r="F347">
        <f t="shared" si="32"/>
        <v>0</v>
      </c>
      <c r="H347">
        <f>(1-Initialisation!$C$19/100)*C347</f>
        <v>0</v>
      </c>
      <c r="I347">
        <f t="shared" si="33"/>
        <v>0</v>
      </c>
      <c r="J347">
        <f t="shared" si="34"/>
        <v>0</v>
      </c>
      <c r="K347">
        <f t="shared" si="35"/>
        <v>0</v>
      </c>
      <c r="M347">
        <f>IF(ETR!A347&lt;=Initialisation!$C$24,Initialisation!$D$23,IF(ETR!A347&lt;=Initialisation!$C$25,Initialisation!$D$24,IF(ETR!A347&lt;=Initialisation!$C$26,Initialisation!$D$25,IF(ETR!A347&lt;=Initialisation!$C$27,Initialisation!$D$26,IF(ETR!A348&lt;=Initialisation!$C$28,Initialisation!$D$27,IF(ETR!A348&lt;=Initialisation!$C$29,Initialisation!$D$28,0))))))</f>
        <v>0.5</v>
      </c>
    </row>
    <row r="348" spans="1:13" x14ac:dyDescent="0.35">
      <c r="A348" s="5">
        <f>IF(MeteoJ!A348=$BP$5,A347,MeteoJ!A348)</f>
        <v>42144</v>
      </c>
      <c r="B348">
        <f>MeteoJ!D348</f>
        <v>0</v>
      </c>
      <c r="C348">
        <f t="shared" si="30"/>
        <v>0</v>
      </c>
      <c r="D348">
        <f>MeteoJ!B348</f>
        <v>0</v>
      </c>
      <c r="E348">
        <f t="shared" si="31"/>
        <v>0</v>
      </c>
      <c r="F348">
        <f t="shared" si="32"/>
        <v>0</v>
      </c>
      <c r="H348">
        <f>(1-Initialisation!$C$19/100)*C348</f>
        <v>0</v>
      </c>
      <c r="I348">
        <f t="shared" si="33"/>
        <v>0</v>
      </c>
      <c r="J348">
        <f t="shared" si="34"/>
        <v>0</v>
      </c>
      <c r="K348">
        <f t="shared" si="35"/>
        <v>0</v>
      </c>
      <c r="M348">
        <f>IF(ETR!A348&lt;=Initialisation!$C$24,Initialisation!$D$23,IF(ETR!A348&lt;=Initialisation!$C$25,Initialisation!$D$24,IF(ETR!A348&lt;=Initialisation!$C$26,Initialisation!$D$25,IF(ETR!A348&lt;=Initialisation!$C$27,Initialisation!$D$26,IF(ETR!A349&lt;=Initialisation!$C$28,Initialisation!$D$27,IF(ETR!A349&lt;=Initialisation!$C$29,Initialisation!$D$28,0))))))</f>
        <v>0.5</v>
      </c>
    </row>
    <row r="349" spans="1:13" x14ac:dyDescent="0.35">
      <c r="A349" s="5">
        <f>IF(MeteoJ!A349=$BP$5,A348,MeteoJ!A349)</f>
        <v>42144</v>
      </c>
      <c r="B349">
        <f>MeteoJ!D349</f>
        <v>0</v>
      </c>
      <c r="C349">
        <f t="shared" si="30"/>
        <v>0</v>
      </c>
      <c r="D349">
        <f>MeteoJ!B349</f>
        <v>0</v>
      </c>
      <c r="E349">
        <f t="shared" si="31"/>
        <v>0</v>
      </c>
      <c r="F349">
        <f t="shared" si="32"/>
        <v>0</v>
      </c>
      <c r="H349">
        <f>(1-Initialisation!$C$19/100)*C349</f>
        <v>0</v>
      </c>
      <c r="I349">
        <f t="shared" si="33"/>
        <v>0</v>
      </c>
      <c r="J349">
        <f t="shared" si="34"/>
        <v>0</v>
      </c>
      <c r="K349">
        <f t="shared" si="35"/>
        <v>0</v>
      </c>
      <c r="M349">
        <f>IF(ETR!A349&lt;=Initialisation!$C$24,Initialisation!$D$23,IF(ETR!A349&lt;=Initialisation!$C$25,Initialisation!$D$24,IF(ETR!A349&lt;=Initialisation!$C$26,Initialisation!$D$25,IF(ETR!A349&lt;=Initialisation!$C$27,Initialisation!$D$26,IF(ETR!A350&lt;=Initialisation!$C$28,Initialisation!$D$27,IF(ETR!A350&lt;=Initialisation!$C$29,Initialisation!$D$28,0))))))</f>
        <v>0.5</v>
      </c>
    </row>
    <row r="350" spans="1:13" x14ac:dyDescent="0.35">
      <c r="A350" s="5">
        <f>IF(MeteoJ!A350=$BP$5,A349,MeteoJ!A350)</f>
        <v>42144</v>
      </c>
      <c r="B350">
        <f>MeteoJ!D350</f>
        <v>0</v>
      </c>
      <c r="C350">
        <f t="shared" si="30"/>
        <v>0</v>
      </c>
      <c r="D350">
        <f>MeteoJ!B350</f>
        <v>0</v>
      </c>
      <c r="E350">
        <f t="shared" si="31"/>
        <v>0</v>
      </c>
      <c r="F350">
        <f t="shared" si="32"/>
        <v>0</v>
      </c>
      <c r="H350">
        <f>(1-Initialisation!$C$19/100)*C350</f>
        <v>0</v>
      </c>
      <c r="I350">
        <f t="shared" si="33"/>
        <v>0</v>
      </c>
      <c r="J350">
        <f t="shared" si="34"/>
        <v>0</v>
      </c>
      <c r="K350">
        <f t="shared" si="35"/>
        <v>0</v>
      </c>
      <c r="M350">
        <f>IF(ETR!A350&lt;=Initialisation!$C$24,Initialisation!$D$23,IF(ETR!A350&lt;=Initialisation!$C$25,Initialisation!$D$24,IF(ETR!A350&lt;=Initialisation!$C$26,Initialisation!$D$25,IF(ETR!A350&lt;=Initialisation!$C$27,Initialisation!$D$26,IF(ETR!A351&lt;=Initialisation!$C$28,Initialisation!$D$27,IF(ETR!A351&lt;=Initialisation!$C$29,Initialisation!$D$28,0))))))</f>
        <v>0.5</v>
      </c>
    </row>
    <row r="351" spans="1:13" x14ac:dyDescent="0.35">
      <c r="A351" s="5">
        <f>IF(MeteoJ!A351=$BP$5,A350,MeteoJ!A351)</f>
        <v>42144</v>
      </c>
      <c r="B351">
        <f>MeteoJ!D351</f>
        <v>0</v>
      </c>
      <c r="C351">
        <f t="shared" si="30"/>
        <v>0</v>
      </c>
      <c r="D351">
        <f>MeteoJ!B351</f>
        <v>0</v>
      </c>
      <c r="E351">
        <f t="shared" si="31"/>
        <v>0</v>
      </c>
      <c r="F351">
        <f t="shared" si="32"/>
        <v>0</v>
      </c>
      <c r="H351">
        <f>(1-Initialisation!$C$19/100)*C351</f>
        <v>0</v>
      </c>
      <c r="I351">
        <f t="shared" si="33"/>
        <v>0</v>
      </c>
      <c r="J351">
        <f t="shared" si="34"/>
        <v>0</v>
      </c>
      <c r="K351">
        <f t="shared" si="35"/>
        <v>0</v>
      </c>
      <c r="M351">
        <f>IF(ETR!A351&lt;=Initialisation!$C$24,Initialisation!$D$23,IF(ETR!A351&lt;=Initialisation!$C$25,Initialisation!$D$24,IF(ETR!A351&lt;=Initialisation!$C$26,Initialisation!$D$25,IF(ETR!A351&lt;=Initialisation!$C$27,Initialisation!$D$26,IF(ETR!A352&lt;=Initialisation!$C$28,Initialisation!$D$27,IF(ETR!A352&lt;=Initialisation!$C$29,Initialisation!$D$28,0))))))</f>
        <v>0.5</v>
      </c>
    </row>
    <row r="352" spans="1:13" x14ac:dyDescent="0.35">
      <c r="A352" s="5">
        <f>IF(MeteoJ!A352=$BP$5,A351,MeteoJ!A352)</f>
        <v>42144</v>
      </c>
      <c r="B352">
        <f>MeteoJ!D352</f>
        <v>0</v>
      </c>
      <c r="C352">
        <f t="shared" si="30"/>
        <v>0</v>
      </c>
      <c r="D352">
        <f>MeteoJ!B352</f>
        <v>0</v>
      </c>
      <c r="E352">
        <f t="shared" si="31"/>
        <v>0</v>
      </c>
      <c r="F352">
        <f t="shared" si="32"/>
        <v>0</v>
      </c>
      <c r="H352">
        <f>(1-Initialisation!$C$19/100)*C352</f>
        <v>0</v>
      </c>
      <c r="I352">
        <f t="shared" si="33"/>
        <v>0</v>
      </c>
      <c r="J352">
        <f t="shared" si="34"/>
        <v>0</v>
      </c>
      <c r="K352">
        <f t="shared" si="35"/>
        <v>0</v>
      </c>
      <c r="M352">
        <f>IF(ETR!A352&lt;=Initialisation!$C$24,Initialisation!$D$23,IF(ETR!A352&lt;=Initialisation!$C$25,Initialisation!$D$24,IF(ETR!A352&lt;=Initialisation!$C$26,Initialisation!$D$25,IF(ETR!A352&lt;=Initialisation!$C$27,Initialisation!$D$26,IF(ETR!A353&lt;=Initialisation!$C$28,Initialisation!$D$27,IF(ETR!A353&lt;=Initialisation!$C$29,Initialisation!$D$28,0))))))</f>
        <v>0.5</v>
      </c>
    </row>
    <row r="353" spans="1:13" x14ac:dyDescent="0.35">
      <c r="A353" s="5">
        <f>IF(MeteoJ!A353=$BP$5,A352,MeteoJ!A353)</f>
        <v>42144</v>
      </c>
      <c r="B353">
        <f>MeteoJ!D353</f>
        <v>0</v>
      </c>
      <c r="C353">
        <f t="shared" si="30"/>
        <v>0</v>
      </c>
      <c r="D353">
        <f>MeteoJ!B353</f>
        <v>0</v>
      </c>
      <c r="E353">
        <f t="shared" si="31"/>
        <v>0</v>
      </c>
      <c r="F353">
        <f t="shared" si="32"/>
        <v>0</v>
      </c>
      <c r="H353">
        <f>(1-Initialisation!$C$19/100)*C353</f>
        <v>0</v>
      </c>
      <c r="I353">
        <f t="shared" si="33"/>
        <v>0</v>
      </c>
      <c r="J353">
        <f t="shared" si="34"/>
        <v>0</v>
      </c>
      <c r="K353">
        <f t="shared" si="35"/>
        <v>0</v>
      </c>
      <c r="M353">
        <f>IF(ETR!A353&lt;=Initialisation!$C$24,Initialisation!$D$23,IF(ETR!A353&lt;=Initialisation!$C$25,Initialisation!$D$24,IF(ETR!A353&lt;=Initialisation!$C$26,Initialisation!$D$25,IF(ETR!A353&lt;=Initialisation!$C$27,Initialisation!$D$26,IF(ETR!A354&lt;=Initialisation!$C$28,Initialisation!$D$27,IF(ETR!A354&lt;=Initialisation!$C$29,Initialisation!$D$28,0))))))</f>
        <v>0.5</v>
      </c>
    </row>
    <row r="354" spans="1:13" x14ac:dyDescent="0.35">
      <c r="A354" s="5">
        <f>IF(MeteoJ!A354=$BP$5,A353,MeteoJ!A354)</f>
        <v>42144</v>
      </c>
      <c r="B354">
        <f>MeteoJ!D354</f>
        <v>0</v>
      </c>
      <c r="C354">
        <f t="shared" si="30"/>
        <v>0</v>
      </c>
      <c r="D354">
        <f>MeteoJ!B354</f>
        <v>0</v>
      </c>
      <c r="E354">
        <f t="shared" si="31"/>
        <v>0</v>
      </c>
      <c r="F354">
        <f t="shared" si="32"/>
        <v>0</v>
      </c>
      <c r="H354">
        <f>(1-Initialisation!$C$19/100)*C354</f>
        <v>0</v>
      </c>
      <c r="I354">
        <f t="shared" si="33"/>
        <v>0</v>
      </c>
      <c r="J354">
        <f t="shared" si="34"/>
        <v>0</v>
      </c>
      <c r="K354">
        <f t="shared" si="35"/>
        <v>0</v>
      </c>
      <c r="M354">
        <f>IF(ETR!A354&lt;=Initialisation!$C$24,Initialisation!$D$23,IF(ETR!A354&lt;=Initialisation!$C$25,Initialisation!$D$24,IF(ETR!A354&lt;=Initialisation!$C$26,Initialisation!$D$25,IF(ETR!A354&lt;=Initialisation!$C$27,Initialisation!$D$26,IF(ETR!A355&lt;=Initialisation!$C$28,Initialisation!$D$27,IF(ETR!A355&lt;=Initialisation!$C$29,Initialisation!$D$28,0))))))</f>
        <v>0.5</v>
      </c>
    </row>
    <row r="355" spans="1:13" x14ac:dyDescent="0.35">
      <c r="A355" s="5">
        <f>IF(MeteoJ!A355=$BP$5,A354,MeteoJ!A355)</f>
        <v>42144</v>
      </c>
      <c r="B355">
        <f>MeteoJ!D355</f>
        <v>0</v>
      </c>
      <c r="C355">
        <f t="shared" si="30"/>
        <v>0</v>
      </c>
      <c r="D355">
        <f>MeteoJ!B355</f>
        <v>0</v>
      </c>
      <c r="E355">
        <f t="shared" si="31"/>
        <v>0</v>
      </c>
      <c r="F355">
        <f t="shared" si="32"/>
        <v>0</v>
      </c>
      <c r="H355">
        <f>(1-Initialisation!$C$19/100)*C355</f>
        <v>0</v>
      </c>
      <c r="I355">
        <f t="shared" si="33"/>
        <v>0</v>
      </c>
      <c r="J355">
        <f t="shared" si="34"/>
        <v>0</v>
      </c>
      <c r="K355">
        <f t="shared" si="35"/>
        <v>0</v>
      </c>
      <c r="M355">
        <f>IF(ETR!A355&lt;=Initialisation!$C$24,Initialisation!$D$23,IF(ETR!A355&lt;=Initialisation!$C$25,Initialisation!$D$24,IF(ETR!A355&lt;=Initialisation!$C$26,Initialisation!$D$25,IF(ETR!A355&lt;=Initialisation!$C$27,Initialisation!$D$26,IF(ETR!A356&lt;=Initialisation!$C$28,Initialisation!$D$27,IF(ETR!A356&lt;=Initialisation!$C$29,Initialisation!$D$28,0))))))</f>
        <v>0.5</v>
      </c>
    </row>
    <row r="356" spans="1:13" x14ac:dyDescent="0.35">
      <c r="A356" s="5">
        <f>IF(MeteoJ!A356=$BP$5,A355,MeteoJ!A356)</f>
        <v>42144</v>
      </c>
      <c r="B356">
        <f>MeteoJ!D356</f>
        <v>0</v>
      </c>
      <c r="C356">
        <f t="shared" si="30"/>
        <v>0</v>
      </c>
      <c r="D356">
        <f>MeteoJ!B356</f>
        <v>0</v>
      </c>
      <c r="E356">
        <f t="shared" si="31"/>
        <v>0</v>
      </c>
      <c r="F356">
        <f t="shared" si="32"/>
        <v>0</v>
      </c>
      <c r="H356">
        <f>(1-Initialisation!$C$19/100)*C356</f>
        <v>0</v>
      </c>
      <c r="I356">
        <f t="shared" si="33"/>
        <v>0</v>
      </c>
      <c r="J356">
        <f t="shared" si="34"/>
        <v>0</v>
      </c>
      <c r="K356">
        <f t="shared" si="35"/>
        <v>0</v>
      </c>
      <c r="M356">
        <f>IF(ETR!A356&lt;=Initialisation!$C$24,Initialisation!$D$23,IF(ETR!A356&lt;=Initialisation!$C$25,Initialisation!$D$24,IF(ETR!A356&lt;=Initialisation!$C$26,Initialisation!$D$25,IF(ETR!A356&lt;=Initialisation!$C$27,Initialisation!$D$26,IF(ETR!A357&lt;=Initialisation!$C$28,Initialisation!$D$27,IF(ETR!A357&lt;=Initialisation!$C$29,Initialisation!$D$28,0))))))</f>
        <v>0.5</v>
      </c>
    </row>
    <row r="357" spans="1:13" x14ac:dyDescent="0.35">
      <c r="A357" s="5">
        <f>IF(MeteoJ!A357=$BP$5,A356,MeteoJ!A357)</f>
        <v>42144</v>
      </c>
      <c r="B357">
        <f>MeteoJ!D357</f>
        <v>0</v>
      </c>
      <c r="C357">
        <f t="shared" si="30"/>
        <v>0</v>
      </c>
      <c r="D357">
        <f>MeteoJ!B357</f>
        <v>0</v>
      </c>
      <c r="E357">
        <f t="shared" si="31"/>
        <v>0</v>
      </c>
      <c r="F357">
        <f t="shared" si="32"/>
        <v>0</v>
      </c>
      <c r="H357">
        <f>(1-Initialisation!$C$19/100)*C357</f>
        <v>0</v>
      </c>
      <c r="I357">
        <f t="shared" si="33"/>
        <v>0</v>
      </c>
      <c r="J357">
        <f t="shared" si="34"/>
        <v>0</v>
      </c>
      <c r="K357">
        <f t="shared" si="35"/>
        <v>0</v>
      </c>
      <c r="M357">
        <f>IF(ETR!A357&lt;=Initialisation!$C$24,Initialisation!$D$23,IF(ETR!A357&lt;=Initialisation!$C$25,Initialisation!$D$24,IF(ETR!A357&lt;=Initialisation!$C$26,Initialisation!$D$25,IF(ETR!A357&lt;=Initialisation!$C$27,Initialisation!$D$26,IF(ETR!A358&lt;=Initialisation!$C$28,Initialisation!$D$27,IF(ETR!A358&lt;=Initialisation!$C$29,Initialisation!$D$28,0))))))</f>
        <v>0.5</v>
      </c>
    </row>
    <row r="358" spans="1:13" x14ac:dyDescent="0.35">
      <c r="A358" s="5">
        <f>IF(MeteoJ!A358=$BP$5,A357,MeteoJ!A358)</f>
        <v>42144</v>
      </c>
      <c r="B358">
        <f>MeteoJ!D358</f>
        <v>0</v>
      </c>
      <c r="C358">
        <f t="shared" si="30"/>
        <v>0</v>
      </c>
      <c r="D358">
        <f>MeteoJ!B358</f>
        <v>0</v>
      </c>
      <c r="E358">
        <f t="shared" si="31"/>
        <v>0</v>
      </c>
      <c r="F358">
        <f t="shared" si="32"/>
        <v>0</v>
      </c>
      <c r="H358">
        <f>(1-Initialisation!$C$19/100)*C358</f>
        <v>0</v>
      </c>
      <c r="I358">
        <f t="shared" si="33"/>
        <v>0</v>
      </c>
      <c r="J358">
        <f t="shared" si="34"/>
        <v>0</v>
      </c>
      <c r="K358">
        <f t="shared" si="35"/>
        <v>0</v>
      </c>
      <c r="M358">
        <f>IF(ETR!A358&lt;=Initialisation!$C$24,Initialisation!$D$23,IF(ETR!A358&lt;=Initialisation!$C$25,Initialisation!$D$24,IF(ETR!A358&lt;=Initialisation!$C$26,Initialisation!$D$25,IF(ETR!A358&lt;=Initialisation!$C$27,Initialisation!$D$26,IF(ETR!A359&lt;=Initialisation!$C$28,Initialisation!$D$27,IF(ETR!A359&lt;=Initialisation!$C$29,Initialisation!$D$28,0))))))</f>
        <v>0.5</v>
      </c>
    </row>
    <row r="359" spans="1:13" x14ac:dyDescent="0.35">
      <c r="A359" s="5">
        <f>IF(MeteoJ!A359=$BP$5,A358,MeteoJ!A359)</f>
        <v>42144</v>
      </c>
      <c r="B359">
        <f>MeteoJ!D359</f>
        <v>0</v>
      </c>
      <c r="C359">
        <f t="shared" si="30"/>
        <v>0</v>
      </c>
      <c r="D359">
        <f>MeteoJ!B359</f>
        <v>0</v>
      </c>
      <c r="E359">
        <f t="shared" si="31"/>
        <v>0</v>
      </c>
      <c r="F359">
        <f t="shared" si="32"/>
        <v>0</v>
      </c>
      <c r="H359">
        <f>(1-Initialisation!$C$19/100)*C359</f>
        <v>0</v>
      </c>
      <c r="I359">
        <f t="shared" si="33"/>
        <v>0</v>
      </c>
      <c r="J359">
        <f t="shared" si="34"/>
        <v>0</v>
      </c>
      <c r="K359">
        <f t="shared" si="35"/>
        <v>0</v>
      </c>
      <c r="M359">
        <f>IF(ETR!A359&lt;=Initialisation!$C$24,Initialisation!$D$23,IF(ETR!A359&lt;=Initialisation!$C$25,Initialisation!$D$24,IF(ETR!A359&lt;=Initialisation!$C$26,Initialisation!$D$25,IF(ETR!A359&lt;=Initialisation!$C$27,Initialisation!$D$26,IF(ETR!A360&lt;=Initialisation!$C$28,Initialisation!$D$27,IF(ETR!A360&lt;=Initialisation!$C$29,Initialisation!$D$28,0))))))</f>
        <v>0.5</v>
      </c>
    </row>
    <row r="360" spans="1:13" x14ac:dyDescent="0.35">
      <c r="A360" s="5">
        <f>IF(MeteoJ!A360=$BP$5,A359,MeteoJ!A360)</f>
        <v>42144</v>
      </c>
      <c r="B360">
        <f>MeteoJ!D360</f>
        <v>0</v>
      </c>
      <c r="C360">
        <f t="shared" si="30"/>
        <v>0</v>
      </c>
      <c r="D360">
        <f>MeteoJ!B360</f>
        <v>0</v>
      </c>
      <c r="E360">
        <f t="shared" si="31"/>
        <v>0</v>
      </c>
      <c r="F360">
        <f t="shared" si="32"/>
        <v>0</v>
      </c>
      <c r="H360">
        <f>(1-Initialisation!$C$19/100)*C360</f>
        <v>0</v>
      </c>
      <c r="I360">
        <f t="shared" si="33"/>
        <v>0</v>
      </c>
      <c r="J360">
        <f t="shared" si="34"/>
        <v>0</v>
      </c>
      <c r="K360">
        <f t="shared" si="35"/>
        <v>0</v>
      </c>
      <c r="M360">
        <f>IF(ETR!A360&lt;=Initialisation!$C$24,Initialisation!$D$23,IF(ETR!A360&lt;=Initialisation!$C$25,Initialisation!$D$24,IF(ETR!A360&lt;=Initialisation!$C$26,Initialisation!$D$25,IF(ETR!A360&lt;=Initialisation!$C$27,Initialisation!$D$26,IF(ETR!A361&lt;=Initialisation!$C$28,Initialisation!$D$27,IF(ETR!A361&lt;=Initialisation!$C$29,Initialisation!$D$28,0))))))</f>
        <v>0.5</v>
      </c>
    </row>
    <row r="361" spans="1:13" x14ac:dyDescent="0.35">
      <c r="A361" s="5">
        <f>IF(MeteoJ!A361=$BP$5,A360,MeteoJ!A361)</f>
        <v>42144</v>
      </c>
      <c r="B361">
        <f>MeteoJ!D361</f>
        <v>0</v>
      </c>
      <c r="C361">
        <f t="shared" si="30"/>
        <v>0</v>
      </c>
      <c r="D361">
        <f>MeteoJ!B361</f>
        <v>0</v>
      </c>
      <c r="E361">
        <f t="shared" si="31"/>
        <v>0</v>
      </c>
      <c r="F361">
        <f t="shared" si="32"/>
        <v>0</v>
      </c>
      <c r="H361">
        <f>(1-Initialisation!$C$19/100)*C361</f>
        <v>0</v>
      </c>
      <c r="I361">
        <f t="shared" si="33"/>
        <v>0</v>
      </c>
      <c r="J361">
        <f t="shared" si="34"/>
        <v>0</v>
      </c>
      <c r="K361">
        <f t="shared" si="35"/>
        <v>0</v>
      </c>
      <c r="M361">
        <f>IF(ETR!A361&lt;=Initialisation!$C$24,Initialisation!$D$23,IF(ETR!A361&lt;=Initialisation!$C$25,Initialisation!$D$24,IF(ETR!A361&lt;=Initialisation!$C$26,Initialisation!$D$25,IF(ETR!A361&lt;=Initialisation!$C$27,Initialisation!$D$26,IF(ETR!A362&lt;=Initialisation!$C$28,Initialisation!$D$27,IF(ETR!A362&lt;=Initialisation!$C$29,Initialisation!$D$28,0))))))</f>
        <v>0.5</v>
      </c>
    </row>
    <row r="362" spans="1:13" x14ac:dyDescent="0.35">
      <c r="A362" s="5">
        <f>IF(MeteoJ!A362=$BP$5,A361,MeteoJ!A362)</f>
        <v>42144</v>
      </c>
      <c r="B362">
        <f>MeteoJ!D362</f>
        <v>0</v>
      </c>
      <c r="C362">
        <f t="shared" si="30"/>
        <v>0</v>
      </c>
      <c r="D362">
        <f>MeteoJ!B362</f>
        <v>0</v>
      </c>
      <c r="E362">
        <f t="shared" ref="E362:E367" si="36">0.013*1*(C362+50)*D362/(D362+15)</f>
        <v>0</v>
      </c>
      <c r="F362">
        <f t="shared" si="32"/>
        <v>0</v>
      </c>
      <c r="H362">
        <f>(1-Initialisation!$C$19/100)*C362</f>
        <v>0</v>
      </c>
      <c r="I362">
        <f t="shared" ref="I362:I367" si="37">D362</f>
        <v>0</v>
      </c>
      <c r="J362">
        <f t="shared" ref="J362:J367" si="38">0.013*1*(H362+50)*I362/(I362+15)</f>
        <v>0</v>
      </c>
      <c r="K362">
        <f t="shared" si="35"/>
        <v>0</v>
      </c>
      <c r="M362">
        <f>IF(ETR!A362&lt;=Initialisation!$C$24,Initialisation!$D$23,IF(ETR!A362&lt;=Initialisation!$C$25,Initialisation!$D$24,IF(ETR!A362&lt;=Initialisation!$C$26,Initialisation!$D$25,IF(ETR!A362&lt;=Initialisation!$C$27,Initialisation!$D$26,IF(ETR!A363&lt;=Initialisation!$C$28,Initialisation!$D$27,IF(ETR!A363&lt;=Initialisation!$C$29,Initialisation!$D$28,0))))))</f>
        <v>0.5</v>
      </c>
    </row>
    <row r="363" spans="1:13" x14ac:dyDescent="0.35">
      <c r="A363" s="5">
        <f>IF(MeteoJ!A363=$BP$5,A362,MeteoJ!A363)</f>
        <v>42144</v>
      </c>
      <c r="B363">
        <f>MeteoJ!D363</f>
        <v>0</v>
      </c>
      <c r="C363">
        <f t="shared" si="30"/>
        <v>0</v>
      </c>
      <c r="D363">
        <f>MeteoJ!B363</f>
        <v>0</v>
      </c>
      <c r="E363">
        <f t="shared" si="36"/>
        <v>0</v>
      </c>
      <c r="F363">
        <f t="shared" si="32"/>
        <v>0</v>
      </c>
      <c r="H363">
        <f>(1-Initialisation!$C$19/100)*C363</f>
        <v>0</v>
      </c>
      <c r="I363">
        <f t="shared" si="37"/>
        <v>0</v>
      </c>
      <c r="J363">
        <f t="shared" si="38"/>
        <v>0</v>
      </c>
      <c r="K363">
        <f t="shared" si="35"/>
        <v>0</v>
      </c>
      <c r="M363">
        <f>IF(ETR!A363&lt;=Initialisation!$C$24,Initialisation!$D$23,IF(ETR!A363&lt;=Initialisation!$C$25,Initialisation!$D$24,IF(ETR!A363&lt;=Initialisation!$C$26,Initialisation!$D$25,IF(ETR!A363&lt;=Initialisation!$C$27,Initialisation!$D$26,IF(ETR!A364&lt;=Initialisation!$C$28,Initialisation!$D$27,IF(ETR!A364&lt;=Initialisation!$C$29,Initialisation!$D$28,0))))))</f>
        <v>0.5</v>
      </c>
    </row>
    <row r="364" spans="1:13" x14ac:dyDescent="0.35">
      <c r="A364" s="5">
        <f>IF(MeteoJ!A364=$BP$5,A363,MeteoJ!A364)</f>
        <v>42144</v>
      </c>
      <c r="B364">
        <f>MeteoJ!D364</f>
        <v>0</v>
      </c>
      <c r="C364">
        <f t="shared" si="30"/>
        <v>0</v>
      </c>
      <c r="D364">
        <f>MeteoJ!B364</f>
        <v>0</v>
      </c>
      <c r="E364">
        <f t="shared" si="36"/>
        <v>0</v>
      </c>
      <c r="F364">
        <f t="shared" si="32"/>
        <v>0</v>
      </c>
      <c r="H364">
        <f>(1-Initialisation!$C$19/100)*C364</f>
        <v>0</v>
      </c>
      <c r="I364">
        <f t="shared" si="37"/>
        <v>0</v>
      </c>
      <c r="J364">
        <f t="shared" si="38"/>
        <v>0</v>
      </c>
      <c r="K364">
        <f t="shared" si="35"/>
        <v>0</v>
      </c>
      <c r="M364">
        <f>IF(ETR!A364&lt;=Initialisation!$C$24,Initialisation!$D$23,IF(ETR!A364&lt;=Initialisation!$C$25,Initialisation!$D$24,IF(ETR!A364&lt;=Initialisation!$C$26,Initialisation!$D$25,IF(ETR!A364&lt;=Initialisation!$C$27,Initialisation!$D$26,IF(ETR!A365&lt;=Initialisation!$C$28,Initialisation!$D$27,IF(ETR!A365&lt;=Initialisation!$C$29,Initialisation!$D$28,0))))))</f>
        <v>0.5</v>
      </c>
    </row>
    <row r="365" spans="1:13" x14ac:dyDescent="0.35">
      <c r="A365" s="5">
        <f>IF(MeteoJ!A365=$BP$5,A364,MeteoJ!A365)</f>
        <v>42144</v>
      </c>
      <c r="B365">
        <f>MeteoJ!D365</f>
        <v>0</v>
      </c>
      <c r="C365">
        <f t="shared" si="30"/>
        <v>0</v>
      </c>
      <c r="D365">
        <f>MeteoJ!B365</f>
        <v>0</v>
      </c>
      <c r="E365">
        <f t="shared" si="36"/>
        <v>0</v>
      </c>
      <c r="F365">
        <f t="shared" si="32"/>
        <v>0</v>
      </c>
      <c r="H365">
        <f>(1-Initialisation!$C$19/100)*C365</f>
        <v>0</v>
      </c>
      <c r="I365">
        <f t="shared" si="37"/>
        <v>0</v>
      </c>
      <c r="J365">
        <f t="shared" si="38"/>
        <v>0</v>
      </c>
      <c r="K365">
        <f t="shared" si="35"/>
        <v>0</v>
      </c>
      <c r="M365">
        <f>IF(ETR!A365&lt;=Initialisation!$C$24,Initialisation!$D$23,IF(ETR!A365&lt;=Initialisation!$C$25,Initialisation!$D$24,IF(ETR!A365&lt;=Initialisation!$C$26,Initialisation!$D$25,IF(ETR!A365&lt;=Initialisation!$C$27,Initialisation!$D$26,IF(ETR!A366&lt;=Initialisation!$C$28,Initialisation!$D$27,IF(ETR!A366&lt;=Initialisation!$C$29,Initialisation!$D$28,0))))))</f>
        <v>0.5</v>
      </c>
    </row>
    <row r="366" spans="1:13" x14ac:dyDescent="0.35">
      <c r="A366" s="5">
        <f>IF(MeteoJ!A366=$BP$5,A365,MeteoJ!A366)</f>
        <v>42144</v>
      </c>
      <c r="B366">
        <f>MeteoJ!D366</f>
        <v>0</v>
      </c>
      <c r="C366">
        <f t="shared" si="30"/>
        <v>0</v>
      </c>
      <c r="D366">
        <f>MeteoJ!B366</f>
        <v>0</v>
      </c>
      <c r="E366">
        <f t="shared" si="36"/>
        <v>0</v>
      </c>
      <c r="F366">
        <f t="shared" si="32"/>
        <v>0</v>
      </c>
      <c r="H366">
        <f>(1-Initialisation!$C$19/100)*C366</f>
        <v>0</v>
      </c>
      <c r="I366">
        <f t="shared" si="37"/>
        <v>0</v>
      </c>
      <c r="J366">
        <f t="shared" si="38"/>
        <v>0</v>
      </c>
      <c r="K366">
        <f t="shared" si="35"/>
        <v>0</v>
      </c>
      <c r="M366">
        <f>IF(ETR!A366&lt;=Initialisation!$C$24,Initialisation!$D$23,IF(ETR!A366&lt;=Initialisation!$C$25,Initialisation!$D$24,IF(ETR!A366&lt;=Initialisation!$C$26,Initialisation!$D$25,IF(ETR!A366&lt;=Initialisation!$C$27,Initialisation!$D$26,IF(ETR!A367&lt;=Initialisation!$C$28,Initialisation!$D$27,IF(ETR!A367&lt;=Initialisation!$C$29,Initialisation!$D$28,0))))))</f>
        <v>0.5</v>
      </c>
    </row>
    <row r="367" spans="1:13" x14ac:dyDescent="0.35">
      <c r="A367" s="5">
        <f>IF(MeteoJ!A367=$BP$5,A366,MeteoJ!A367)</f>
        <v>42144</v>
      </c>
      <c r="B367">
        <f>MeteoJ!D367</f>
        <v>0</v>
      </c>
      <c r="C367">
        <f t="shared" si="30"/>
        <v>0</v>
      </c>
      <c r="D367">
        <f>MeteoJ!B367</f>
        <v>0</v>
      </c>
      <c r="E367">
        <f t="shared" si="36"/>
        <v>0</v>
      </c>
      <c r="F367">
        <f t="shared" si="32"/>
        <v>0</v>
      </c>
      <c r="H367">
        <f>(1-Initialisation!$C$19/100)*C367</f>
        <v>0</v>
      </c>
      <c r="I367">
        <f t="shared" si="37"/>
        <v>0</v>
      </c>
      <c r="J367">
        <f t="shared" si="38"/>
        <v>0</v>
      </c>
      <c r="K367">
        <f t="shared" si="35"/>
        <v>0</v>
      </c>
      <c r="M367">
        <f>IF(ETR!A367&lt;=Initialisation!$C$24,Initialisation!$D$23,IF(ETR!A367&lt;=Initialisation!$C$25,Initialisation!$D$24,IF(ETR!A367&lt;=Initialisation!$C$26,Initialisation!$D$25,IF(ETR!A367&lt;=Initialisation!$C$27,Initialisation!$D$26,IF(ETR!A368&lt;=Initialisation!$C$28,Initialisation!$D$27,IF(ETR!A368&lt;=Initialisation!$C$29,Initialisation!$D$28,0))))))</f>
        <v>0.5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E9510-49AF-407C-944D-3E87C2FFD912}">
  <sheetPr codeName="Feuil8">
    <tabColor theme="5"/>
  </sheetPr>
  <dimension ref="A1:U366"/>
  <sheetViews>
    <sheetView topLeftCell="F1" workbookViewId="0">
      <selection activeCell="M1" sqref="M1:M1048576"/>
    </sheetView>
  </sheetViews>
  <sheetFormatPr baseColWidth="10" defaultColWidth="10.81640625" defaultRowHeight="14.5" x14ac:dyDescent="0.35"/>
  <cols>
    <col min="1" max="1" width="10.81640625" style="8"/>
    <col min="15" max="15" width="12.54296875" customWidth="1"/>
  </cols>
  <sheetData>
    <row r="1" spans="1:21" x14ac:dyDescent="0.35">
      <c r="A1" s="8" t="s">
        <v>39</v>
      </c>
      <c r="B1" t="s">
        <v>85</v>
      </c>
      <c r="C1" t="s">
        <v>86</v>
      </c>
      <c r="D1" t="s">
        <v>87</v>
      </c>
      <c r="E1" t="s">
        <v>88</v>
      </c>
      <c r="G1" t="s">
        <v>89</v>
      </c>
      <c r="J1" t="s">
        <v>80</v>
      </c>
      <c r="K1" t="s">
        <v>90</v>
      </c>
      <c r="L1" t="s">
        <v>91</v>
      </c>
      <c r="M1" t="s">
        <v>92</v>
      </c>
      <c r="O1" t="s">
        <v>84</v>
      </c>
      <c r="P1" t="s">
        <v>93</v>
      </c>
      <c r="Q1" t="s">
        <v>94</v>
      </c>
      <c r="R1" t="s">
        <v>95</v>
      </c>
      <c r="U1" t="s">
        <v>96</v>
      </c>
    </row>
    <row r="2" spans="1:21" x14ac:dyDescent="0.35">
      <c r="A2" s="8">
        <f>ETR!A2</f>
        <v>42050</v>
      </c>
      <c r="B2">
        <f>MONTH(A2)</f>
        <v>2</v>
      </c>
      <c r="C2">
        <f>Initialisation!$C$11</f>
        <v>68.40100000000001</v>
      </c>
      <c r="D2">
        <f>Initialisation!$C$12</f>
        <v>22.800333333333334</v>
      </c>
      <c r="E2">
        <v>0</v>
      </c>
      <c r="G2">
        <f>MeteoJ!C2</f>
        <v>0</v>
      </c>
      <c r="J2">
        <f>ETR!F2</f>
        <v>0.49605122506021254</v>
      </c>
      <c r="K2">
        <f>C2</f>
        <v>68.40100000000001</v>
      </c>
      <c r="L2">
        <f>IF($K2+$G2-$J2&lt;2/3*$D2,2/3*$D2,0)</f>
        <v>0</v>
      </c>
      <c r="M2">
        <f>L2</f>
        <v>0</v>
      </c>
      <c r="O2">
        <f>ETR!K2</f>
        <v>0.39803967290241976</v>
      </c>
      <c r="P2">
        <f>C2</f>
        <v>68.40100000000001</v>
      </c>
      <c r="Q2">
        <f t="shared" ref="Q2:Q67" si="0">IF($P2+$G2-$O2&lt;2/3*$D2,2/3*$D2,0)</f>
        <v>0</v>
      </c>
      <c r="R2">
        <f>Q2</f>
        <v>0</v>
      </c>
      <c r="U2" t="str" cm="1">
        <f t="array" ref="U2:U7">_xlfn.UNIQUE(B:B)</f>
        <v>Mois</v>
      </c>
    </row>
    <row r="3" spans="1:21" x14ac:dyDescent="0.35">
      <c r="A3" s="8">
        <f>ETR!A3</f>
        <v>42051</v>
      </c>
      <c r="B3">
        <f t="shared" ref="B3:B66" si="1">MONTH(A3)</f>
        <v>2</v>
      </c>
      <c r="C3">
        <f>Initialisation!$C$11</f>
        <v>68.40100000000001</v>
      </c>
      <c r="D3">
        <f>Initialisation!$C$12</f>
        <v>22.800333333333334</v>
      </c>
      <c r="E3">
        <v>0</v>
      </c>
      <c r="G3">
        <f>MeteoJ!C3</f>
        <v>4</v>
      </c>
      <c r="J3">
        <f>ETR!F3</f>
        <v>0.59053924800247559</v>
      </c>
      <c r="K3">
        <f>IF($K2+$G2+$L2-$J2&gt;=$C$2,$C$2,IF($K2+$G2+$L2-$J2&gt;$D$2,$K2+$G2+$L2-$J2,IF($K2+$G2+$L2-$J2&gt;0,$K2+$G2+$L2-$J2*($K2/$D$2),$K2+$G2+$L2-$J2*($K2/$D$2))))</f>
        <v>67.904948774939797</v>
      </c>
      <c r="L3">
        <f>IF($K3+$G3-$J3&lt;2/3*$D3,2/3*$D3,0)</f>
        <v>0</v>
      </c>
      <c r="M3">
        <f>M2+L2</f>
        <v>0</v>
      </c>
      <c r="O3">
        <f>ETR!K3</f>
        <v>0.47125879572376694</v>
      </c>
      <c r="P3">
        <f>IF($P2+$G2+$Q2-$O2&gt;=$C$2,$C$2,IF($P2+$G2+$Q2-$O2&gt;$D$2,$P2+$G2+$Q2-$O2,IF($P2+$G2+$Q2-$O2&gt;0,$P2+$G2+$Q2-$O2*($P2/$D$2),$P2+$G2+$Q2-$O2*($P2/$D$2))))</f>
        <v>68.002960327097597</v>
      </c>
      <c r="Q3">
        <f t="shared" si="0"/>
        <v>0</v>
      </c>
      <c r="R3">
        <f>R2+Q2</f>
        <v>0</v>
      </c>
      <c r="U3">
        <v>2</v>
      </c>
    </row>
    <row r="4" spans="1:21" x14ac:dyDescent="0.35">
      <c r="A4" s="8">
        <f>ETR!A4</f>
        <v>42052</v>
      </c>
      <c r="B4">
        <f t="shared" si="1"/>
        <v>2</v>
      </c>
      <c r="C4">
        <f>Initialisation!$C$11</f>
        <v>68.40100000000001</v>
      </c>
      <c r="D4">
        <f>Initialisation!$C$12</f>
        <v>22.800333333333334</v>
      </c>
      <c r="E4">
        <v>0</v>
      </c>
      <c r="G4">
        <f>MeteoJ!C4</f>
        <v>1.4</v>
      </c>
      <c r="J4">
        <f>ETR!F4</f>
        <v>0.43160866240637591</v>
      </c>
      <c r="K4">
        <f t="shared" ref="K4:K67" si="2">IF($K3+$G3+$L3-$J3&gt;=$C$2,$C$2,IF($K3+$G3+$L3-$J3&gt;$D$2,$K3+$G3+$L3-$J3,IF($K3+$G3+$L3-$J3&gt;0,$K3+$G3+$L3-$J3*($K3/$D$2),$K3+$G3+$L3-$J3*($K3/$D$2))))</f>
        <v>68.40100000000001</v>
      </c>
      <c r="L4">
        <f t="shared" ref="L4:L67" si="3">IF($K4+$G4-$J4&lt;2/3*$D4,2/3*$D4,0)</f>
        <v>0</v>
      </c>
      <c r="M4">
        <f t="shared" ref="M4:M67" si="4">M3+L3</f>
        <v>0</v>
      </c>
      <c r="O4">
        <f>ETR!K4</f>
        <v>0.35321103197455661</v>
      </c>
      <c r="P4">
        <f t="shared" ref="P4:P67" si="5">IF($P3+$G3+$Q3-$O3&gt;=$C$2,$C$2,IF($P3+$G3+$Q3-$O3&gt;$D$2,$P3+$G3+$Q3-$O3,IF($P3+$G3+$Q3-$O3&gt;0,$P3+$G3+$Q3-$O3*($P3/$D$2),$P3+$G3+$Q3-$O3*($P3/$D$2))))</f>
        <v>68.40100000000001</v>
      </c>
      <c r="Q4">
        <f t="shared" si="0"/>
        <v>0</v>
      </c>
      <c r="R4">
        <f t="shared" ref="R4:R67" si="6">R3+Q3</f>
        <v>0</v>
      </c>
      <c r="U4">
        <v>3</v>
      </c>
    </row>
    <row r="5" spans="1:21" x14ac:dyDescent="0.35">
      <c r="A5" s="8">
        <f>ETR!A5</f>
        <v>42053</v>
      </c>
      <c r="B5">
        <f t="shared" si="1"/>
        <v>2</v>
      </c>
      <c r="C5">
        <f>Initialisation!$C$11</f>
        <v>68.40100000000001</v>
      </c>
      <c r="D5">
        <f>Initialisation!$C$12</f>
        <v>22.800333333333334</v>
      </c>
      <c r="E5">
        <v>0</v>
      </c>
      <c r="G5">
        <f>MeteoJ!C5</f>
        <v>0</v>
      </c>
      <c r="J5">
        <f>ETR!F5</f>
        <v>0.47652028877586849</v>
      </c>
      <c r="K5">
        <f t="shared" si="2"/>
        <v>68.40100000000001</v>
      </c>
      <c r="L5">
        <f t="shared" si="3"/>
        <v>0</v>
      </c>
      <c r="M5">
        <f t="shared" si="4"/>
        <v>0</v>
      </c>
      <c r="O5">
        <f>ETR!K5</f>
        <v>0.38613594460769696</v>
      </c>
      <c r="P5">
        <f t="shared" si="5"/>
        <v>68.40100000000001</v>
      </c>
      <c r="Q5">
        <f t="shared" si="0"/>
        <v>0</v>
      </c>
      <c r="R5">
        <f t="shared" si="6"/>
        <v>0</v>
      </c>
      <c r="U5">
        <v>4</v>
      </c>
    </row>
    <row r="6" spans="1:21" x14ac:dyDescent="0.35">
      <c r="A6" s="8">
        <f>ETR!A6</f>
        <v>42054</v>
      </c>
      <c r="B6">
        <f t="shared" si="1"/>
        <v>2</v>
      </c>
      <c r="C6">
        <f>Initialisation!$C$11</f>
        <v>68.40100000000001</v>
      </c>
      <c r="D6">
        <f>Initialisation!$C$12</f>
        <v>22.800333333333334</v>
      </c>
      <c r="E6">
        <v>0</v>
      </c>
      <c r="G6">
        <f>MeteoJ!C6</f>
        <v>0</v>
      </c>
      <c r="J6">
        <f>ETR!F6</f>
        <v>0.7036320618394869</v>
      </c>
      <c r="K6">
        <f t="shared" si="2"/>
        <v>67.924479711224137</v>
      </c>
      <c r="L6">
        <f t="shared" si="3"/>
        <v>0</v>
      </c>
      <c r="M6">
        <f t="shared" si="4"/>
        <v>0</v>
      </c>
      <c r="O6">
        <f>ETR!K6</f>
        <v>0.55561824253076164</v>
      </c>
      <c r="P6">
        <f t="shared" si="5"/>
        <v>68.014864055392309</v>
      </c>
      <c r="Q6">
        <f t="shared" si="0"/>
        <v>0</v>
      </c>
      <c r="R6">
        <f t="shared" si="6"/>
        <v>0</v>
      </c>
      <c r="U6">
        <v>5</v>
      </c>
    </row>
    <row r="7" spans="1:21" x14ac:dyDescent="0.35">
      <c r="A7" s="8">
        <f>ETR!A7</f>
        <v>42055</v>
      </c>
      <c r="B7">
        <f t="shared" si="1"/>
        <v>2</v>
      </c>
      <c r="C7">
        <f>Initialisation!$C$11</f>
        <v>68.40100000000001</v>
      </c>
      <c r="D7">
        <f>Initialisation!$C$12</f>
        <v>22.800333333333334</v>
      </c>
      <c r="E7">
        <v>0</v>
      </c>
      <c r="G7">
        <f>MeteoJ!C7</f>
        <v>6.4</v>
      </c>
      <c r="J7">
        <f>ETR!F7</f>
        <v>0.39593455333041655</v>
      </c>
      <c r="K7">
        <f t="shared" si="2"/>
        <v>67.220847649384652</v>
      </c>
      <c r="L7">
        <f t="shared" si="3"/>
        <v>0</v>
      </c>
      <c r="M7">
        <f t="shared" si="4"/>
        <v>0</v>
      </c>
      <c r="O7">
        <f>ETR!K7</f>
        <v>0.32424841203879273</v>
      </c>
      <c r="P7">
        <f t="shared" si="5"/>
        <v>67.459245812861553</v>
      </c>
      <c r="Q7">
        <f t="shared" si="0"/>
        <v>0</v>
      </c>
      <c r="R7">
        <f t="shared" si="6"/>
        <v>0</v>
      </c>
      <c r="U7">
        <v>0</v>
      </c>
    </row>
    <row r="8" spans="1:21" x14ac:dyDescent="0.35">
      <c r="A8" s="8">
        <f>ETR!A8</f>
        <v>42056</v>
      </c>
      <c r="B8">
        <f t="shared" si="1"/>
        <v>2</v>
      </c>
      <c r="C8">
        <f>Initialisation!$C$11</f>
        <v>68.40100000000001</v>
      </c>
      <c r="D8">
        <f>Initialisation!$C$12</f>
        <v>22.800333333333334</v>
      </c>
      <c r="E8">
        <v>0</v>
      </c>
      <c r="G8">
        <f>MeteoJ!C8</f>
        <v>8.3000000000000007</v>
      </c>
      <c r="J8">
        <f>ETR!F8</f>
        <v>0.55688570578910757</v>
      </c>
      <c r="K8">
        <f t="shared" si="2"/>
        <v>68.40100000000001</v>
      </c>
      <c r="L8">
        <f t="shared" si="3"/>
        <v>0</v>
      </c>
      <c r="M8">
        <f t="shared" si="4"/>
        <v>0</v>
      </c>
      <c r="O8">
        <f>ETR!K8</f>
        <v>0.44505787707479944</v>
      </c>
      <c r="P8">
        <f>IF($P7+$G7+$Q7-$O7&gt;=$C$2,$C$2,IF($P7+$G7+$Q7-$O7&gt;$D$2,$P7+$G7+$Q7-$O7,IF($P7+$G7+$Q7-$O7&gt;0,$P7+$G7+$Q7-$O7*($P7/$D$2),$P7+$G7+$Q7-$O7*($P7/$D$2))))</f>
        <v>68.40100000000001</v>
      </c>
      <c r="Q8">
        <f t="shared" si="0"/>
        <v>0</v>
      </c>
      <c r="R8">
        <f t="shared" si="6"/>
        <v>0</v>
      </c>
    </row>
    <row r="9" spans="1:21" x14ac:dyDescent="0.35">
      <c r="A9" s="8">
        <f>ETR!A9</f>
        <v>42057</v>
      </c>
      <c r="B9">
        <f t="shared" si="1"/>
        <v>2</v>
      </c>
      <c r="C9">
        <f>Initialisation!$C$11</f>
        <v>68.40100000000001</v>
      </c>
      <c r="D9">
        <f>Initialisation!$C$12</f>
        <v>22.800333333333334</v>
      </c>
      <c r="E9">
        <v>0</v>
      </c>
      <c r="G9">
        <f>MeteoJ!C9</f>
        <v>0</v>
      </c>
      <c r="J9">
        <f>ETR!F9</f>
        <v>0.59615415696196206</v>
      </c>
      <c r="K9">
        <f t="shared" si="2"/>
        <v>68.40100000000001</v>
      </c>
      <c r="L9">
        <f t="shared" si="3"/>
        <v>0</v>
      </c>
      <c r="M9">
        <f t="shared" si="4"/>
        <v>0</v>
      </c>
      <c r="O9">
        <f>ETR!K9</f>
        <v>0.47052494119529781</v>
      </c>
      <c r="P9">
        <f t="shared" si="5"/>
        <v>68.40100000000001</v>
      </c>
      <c r="Q9">
        <f t="shared" si="0"/>
        <v>0</v>
      </c>
      <c r="R9">
        <f t="shared" si="6"/>
        <v>0</v>
      </c>
    </row>
    <row r="10" spans="1:21" x14ac:dyDescent="0.35">
      <c r="A10" s="8">
        <f>ETR!A10</f>
        <v>42058</v>
      </c>
      <c r="B10">
        <f t="shared" si="1"/>
        <v>2</v>
      </c>
      <c r="C10">
        <f>Initialisation!$C$11</f>
        <v>68.40100000000001</v>
      </c>
      <c r="D10">
        <f>Initialisation!$C$12</f>
        <v>22.800333333333334</v>
      </c>
      <c r="E10">
        <v>0</v>
      </c>
      <c r="G10">
        <f>MeteoJ!C10</f>
        <v>2.9</v>
      </c>
      <c r="J10">
        <f>ETR!F10</f>
        <v>0.64693675917868954</v>
      </c>
      <c r="K10">
        <f t="shared" si="2"/>
        <v>67.804845843038052</v>
      </c>
      <c r="L10">
        <f t="shared" si="3"/>
        <v>0</v>
      </c>
      <c r="M10">
        <f t="shared" si="4"/>
        <v>0</v>
      </c>
      <c r="O10">
        <f>ETR!K10</f>
        <v>0.52102169052758718</v>
      </c>
      <c r="P10">
        <f t="shared" si="5"/>
        <v>67.930475058804717</v>
      </c>
      <c r="Q10">
        <f t="shared" si="0"/>
        <v>0</v>
      </c>
      <c r="R10">
        <f t="shared" si="6"/>
        <v>0</v>
      </c>
    </row>
    <row r="11" spans="1:21" x14ac:dyDescent="0.35">
      <c r="A11" s="8">
        <f>ETR!A11</f>
        <v>42059</v>
      </c>
      <c r="B11">
        <f t="shared" si="1"/>
        <v>2</v>
      </c>
      <c r="C11">
        <f>Initialisation!$C$11</f>
        <v>68.40100000000001</v>
      </c>
      <c r="D11">
        <f>Initialisation!$C$12</f>
        <v>22.800333333333334</v>
      </c>
      <c r="E11">
        <v>0</v>
      </c>
      <c r="G11">
        <f>MeteoJ!C11</f>
        <v>4.2</v>
      </c>
      <c r="J11">
        <f>ETR!F11</f>
        <v>0.5803602984009113</v>
      </c>
      <c r="K11">
        <f t="shared" si="2"/>
        <v>68.40100000000001</v>
      </c>
      <c r="L11">
        <f t="shared" si="3"/>
        <v>0</v>
      </c>
      <c r="M11">
        <f t="shared" si="4"/>
        <v>0</v>
      </c>
      <c r="O11">
        <f>ETR!K11</f>
        <v>0.46374167763493973</v>
      </c>
      <c r="P11">
        <f t="shared" si="5"/>
        <v>68.40100000000001</v>
      </c>
      <c r="Q11">
        <f t="shared" si="0"/>
        <v>0</v>
      </c>
      <c r="R11">
        <f t="shared" si="6"/>
        <v>0</v>
      </c>
    </row>
    <row r="12" spans="1:21" x14ac:dyDescent="0.35">
      <c r="A12" s="8">
        <f>ETR!A12</f>
        <v>42060</v>
      </c>
      <c r="B12">
        <f t="shared" si="1"/>
        <v>2</v>
      </c>
      <c r="C12">
        <f>Initialisation!$C$11</f>
        <v>68.40100000000001</v>
      </c>
      <c r="D12">
        <f>Initialisation!$C$12</f>
        <v>22.800333333333334</v>
      </c>
      <c r="E12">
        <v>0</v>
      </c>
      <c r="G12">
        <f>MeteoJ!C12</f>
        <v>8.5</v>
      </c>
      <c r="J12">
        <f>ETR!F12</f>
        <v>0.22829955681270533</v>
      </c>
      <c r="K12">
        <f t="shared" si="2"/>
        <v>68.40100000000001</v>
      </c>
      <c r="L12">
        <f t="shared" si="3"/>
        <v>0</v>
      </c>
      <c r="M12">
        <f t="shared" si="4"/>
        <v>0</v>
      </c>
      <c r="O12">
        <f>ETR!K12</f>
        <v>0.19975133447522178</v>
      </c>
      <c r="P12">
        <f t="shared" si="5"/>
        <v>68.40100000000001</v>
      </c>
      <c r="Q12">
        <f t="shared" si="0"/>
        <v>0</v>
      </c>
      <c r="R12">
        <f t="shared" si="6"/>
        <v>0</v>
      </c>
    </row>
    <row r="13" spans="1:21" x14ac:dyDescent="0.35">
      <c r="A13" s="8">
        <f>ETR!A13</f>
        <v>42061</v>
      </c>
      <c r="B13">
        <f t="shared" si="1"/>
        <v>2</v>
      </c>
      <c r="C13">
        <f>Initialisation!$C$11</f>
        <v>68.40100000000001</v>
      </c>
      <c r="D13">
        <f>Initialisation!$C$12</f>
        <v>22.800333333333334</v>
      </c>
      <c r="E13">
        <v>0</v>
      </c>
      <c r="G13">
        <f>MeteoJ!C13</f>
        <v>6.2</v>
      </c>
      <c r="J13">
        <f>ETR!F13</f>
        <v>0.33243864684318514</v>
      </c>
      <c r="K13">
        <f t="shared" si="2"/>
        <v>68.40100000000001</v>
      </c>
      <c r="L13">
        <f t="shared" si="3"/>
        <v>0</v>
      </c>
      <c r="M13">
        <f t="shared" si="4"/>
        <v>0</v>
      </c>
      <c r="O13">
        <f>ETR!K13</f>
        <v>0.28408658392721353</v>
      </c>
      <c r="P13">
        <f t="shared" si="5"/>
        <v>68.40100000000001</v>
      </c>
      <c r="Q13">
        <f t="shared" si="0"/>
        <v>0</v>
      </c>
      <c r="R13">
        <f t="shared" si="6"/>
        <v>0</v>
      </c>
    </row>
    <row r="14" spans="1:21" x14ac:dyDescent="0.35">
      <c r="A14" s="8">
        <f>ETR!A14</f>
        <v>42062</v>
      </c>
      <c r="B14">
        <f t="shared" si="1"/>
        <v>2</v>
      </c>
      <c r="C14">
        <f>Initialisation!$C$11</f>
        <v>68.40100000000001</v>
      </c>
      <c r="D14">
        <f>Initialisation!$C$12</f>
        <v>22.800333333333334</v>
      </c>
      <c r="E14">
        <v>0</v>
      </c>
      <c r="G14">
        <f>MeteoJ!C14</f>
        <v>0.2</v>
      </c>
      <c r="J14">
        <f>ETR!F14</f>
        <v>0.79821328732348107</v>
      </c>
      <c r="K14">
        <f t="shared" si="2"/>
        <v>68.40100000000001</v>
      </c>
      <c r="L14">
        <f t="shared" si="3"/>
        <v>0</v>
      </c>
      <c r="M14">
        <f t="shared" si="4"/>
        <v>0</v>
      </c>
      <c r="O14">
        <f>ETR!K14</f>
        <v>0.6304921898421757</v>
      </c>
      <c r="P14">
        <f t="shared" si="5"/>
        <v>68.40100000000001</v>
      </c>
      <c r="Q14">
        <f t="shared" si="0"/>
        <v>0</v>
      </c>
      <c r="R14">
        <f t="shared" si="6"/>
        <v>0</v>
      </c>
    </row>
    <row r="15" spans="1:21" x14ac:dyDescent="0.35">
      <c r="A15" s="8">
        <f>ETR!A15</f>
        <v>42063</v>
      </c>
      <c r="B15">
        <f t="shared" si="1"/>
        <v>2</v>
      </c>
      <c r="C15">
        <f>Initialisation!$C$11</f>
        <v>68.40100000000001</v>
      </c>
      <c r="D15">
        <f>Initialisation!$C$12</f>
        <v>22.800333333333334</v>
      </c>
      <c r="E15">
        <v>0</v>
      </c>
      <c r="G15">
        <f>MeteoJ!C15</f>
        <v>0</v>
      </c>
      <c r="J15">
        <f>ETR!F15</f>
        <v>0.1856388637170808</v>
      </c>
      <c r="K15">
        <f t="shared" si="2"/>
        <v>67.802786712676536</v>
      </c>
      <c r="L15">
        <f t="shared" si="3"/>
        <v>0</v>
      </c>
      <c r="M15">
        <f t="shared" si="4"/>
        <v>0</v>
      </c>
      <c r="O15">
        <f>ETR!K15</f>
        <v>0.16376459487969738</v>
      </c>
      <c r="P15">
        <f t="shared" si="5"/>
        <v>67.970507810157841</v>
      </c>
      <c r="Q15">
        <f t="shared" si="0"/>
        <v>0</v>
      </c>
      <c r="R15">
        <f t="shared" si="6"/>
        <v>0</v>
      </c>
    </row>
    <row r="16" spans="1:21" x14ac:dyDescent="0.35">
      <c r="A16" s="8">
        <f>ETR!A16</f>
        <v>42064</v>
      </c>
      <c r="B16">
        <f t="shared" si="1"/>
        <v>3</v>
      </c>
      <c r="C16">
        <f>Initialisation!$C$11</f>
        <v>68.40100000000001</v>
      </c>
      <c r="D16">
        <f>Initialisation!$C$12</f>
        <v>22.800333333333334</v>
      </c>
      <c r="E16">
        <v>0</v>
      </c>
      <c r="G16">
        <f>MeteoJ!C16</f>
        <v>5.4</v>
      </c>
      <c r="J16">
        <f>ETR!F16</f>
        <v>0.31324752351191765</v>
      </c>
      <c r="K16">
        <f t="shared" si="2"/>
        <v>67.617147848959462</v>
      </c>
      <c r="L16">
        <f t="shared" si="3"/>
        <v>0</v>
      </c>
      <c r="M16">
        <f t="shared" si="4"/>
        <v>0</v>
      </c>
      <c r="O16">
        <f>ETR!K16</f>
        <v>0.27217334807158827</v>
      </c>
      <c r="P16">
        <f t="shared" si="5"/>
        <v>67.806743215278146</v>
      </c>
      <c r="Q16">
        <f t="shared" si="0"/>
        <v>0</v>
      </c>
      <c r="R16">
        <f t="shared" si="6"/>
        <v>0</v>
      </c>
    </row>
    <row r="17" spans="1:18" x14ac:dyDescent="0.35">
      <c r="A17" s="8">
        <f>ETR!A17</f>
        <v>42065</v>
      </c>
      <c r="B17">
        <f t="shared" si="1"/>
        <v>3</v>
      </c>
      <c r="C17">
        <f>Initialisation!$C$11</f>
        <v>68.40100000000001</v>
      </c>
      <c r="D17">
        <f>Initialisation!$C$12</f>
        <v>22.800333333333334</v>
      </c>
      <c r="E17">
        <v>0</v>
      </c>
      <c r="G17">
        <f>MeteoJ!C17</f>
        <v>3.2</v>
      </c>
      <c r="J17">
        <f>ETR!F17</f>
        <v>0.67766468436366467</v>
      </c>
      <c r="K17">
        <f t="shared" si="2"/>
        <v>68.40100000000001</v>
      </c>
      <c r="L17">
        <f t="shared" si="3"/>
        <v>0</v>
      </c>
      <c r="M17">
        <f t="shared" si="4"/>
        <v>0</v>
      </c>
      <c r="O17">
        <f>ETR!K17</f>
        <v>0.54692316679828745</v>
      </c>
      <c r="P17">
        <f t="shared" si="5"/>
        <v>68.40100000000001</v>
      </c>
      <c r="Q17">
        <f t="shared" si="0"/>
        <v>0</v>
      </c>
      <c r="R17">
        <f t="shared" si="6"/>
        <v>0</v>
      </c>
    </row>
    <row r="18" spans="1:18" x14ac:dyDescent="0.35">
      <c r="A18" s="8">
        <f>ETR!A18</f>
        <v>42066</v>
      </c>
      <c r="B18">
        <f t="shared" si="1"/>
        <v>3</v>
      </c>
      <c r="C18">
        <f>Initialisation!$C$11</f>
        <v>68.40100000000001</v>
      </c>
      <c r="D18">
        <f>Initialisation!$C$12</f>
        <v>22.800333333333334</v>
      </c>
      <c r="E18">
        <v>0</v>
      </c>
      <c r="G18">
        <f>MeteoJ!C18</f>
        <v>2.6</v>
      </c>
      <c r="J18">
        <f>ETR!F18</f>
        <v>0.43424097060150618</v>
      </c>
      <c r="K18">
        <f t="shared" si="2"/>
        <v>68.40100000000001</v>
      </c>
      <c r="L18">
        <f t="shared" si="3"/>
        <v>0</v>
      </c>
      <c r="M18">
        <f t="shared" si="4"/>
        <v>0</v>
      </c>
      <c r="O18">
        <f>ETR!K18</f>
        <v>0.35864196863308118</v>
      </c>
      <c r="P18">
        <f t="shared" si="5"/>
        <v>68.40100000000001</v>
      </c>
      <c r="Q18">
        <f t="shared" si="0"/>
        <v>0</v>
      </c>
      <c r="R18">
        <f t="shared" si="6"/>
        <v>0</v>
      </c>
    </row>
    <row r="19" spans="1:18" x14ac:dyDescent="0.35">
      <c r="A19" s="8">
        <f>ETR!A19</f>
        <v>42067</v>
      </c>
      <c r="B19">
        <f t="shared" si="1"/>
        <v>3</v>
      </c>
      <c r="C19">
        <f>Initialisation!$C$11</f>
        <v>68.40100000000001</v>
      </c>
      <c r="D19">
        <f>Initialisation!$C$12</f>
        <v>22.800333333333334</v>
      </c>
      <c r="E19">
        <v>0</v>
      </c>
      <c r="G19">
        <f>MeteoJ!C19</f>
        <v>2</v>
      </c>
      <c r="J19">
        <f>ETR!F19</f>
        <v>0.8511448139189437</v>
      </c>
      <c r="K19">
        <f t="shared" si="2"/>
        <v>68.40100000000001</v>
      </c>
      <c r="L19">
        <f t="shared" si="3"/>
        <v>0</v>
      </c>
      <c r="M19">
        <f t="shared" si="4"/>
        <v>0</v>
      </c>
      <c r="O19">
        <f>ETR!K19</f>
        <v>0.67022746961841662</v>
      </c>
      <c r="P19">
        <f t="shared" si="5"/>
        <v>68.40100000000001</v>
      </c>
      <c r="Q19">
        <f t="shared" si="0"/>
        <v>0</v>
      </c>
      <c r="R19">
        <f t="shared" si="6"/>
        <v>0</v>
      </c>
    </row>
    <row r="20" spans="1:18" x14ac:dyDescent="0.35">
      <c r="A20" s="8">
        <f>ETR!A20</f>
        <v>42068</v>
      </c>
      <c r="B20">
        <f t="shared" si="1"/>
        <v>3</v>
      </c>
      <c r="C20">
        <f>Initialisation!$C$11</f>
        <v>68.40100000000001</v>
      </c>
      <c r="D20">
        <f>Initialisation!$C$12</f>
        <v>22.800333333333334</v>
      </c>
      <c r="E20">
        <v>0</v>
      </c>
      <c r="G20">
        <f>MeteoJ!C20</f>
        <v>0</v>
      </c>
      <c r="J20">
        <f>ETR!F20</f>
        <v>0.80743803112826618</v>
      </c>
      <c r="K20">
        <f t="shared" si="2"/>
        <v>68.40100000000001</v>
      </c>
      <c r="L20">
        <f t="shared" si="3"/>
        <v>0</v>
      </c>
      <c r="M20">
        <f t="shared" si="4"/>
        <v>0</v>
      </c>
      <c r="O20">
        <f>ETR!K20</f>
        <v>0.63303633062376186</v>
      </c>
      <c r="P20">
        <f t="shared" si="5"/>
        <v>68.40100000000001</v>
      </c>
      <c r="Q20">
        <f t="shared" si="0"/>
        <v>0</v>
      </c>
      <c r="R20">
        <f t="shared" si="6"/>
        <v>0</v>
      </c>
    </row>
    <row r="21" spans="1:18" x14ac:dyDescent="0.35">
      <c r="A21" s="8">
        <f>ETR!A21</f>
        <v>42069</v>
      </c>
      <c r="B21">
        <f t="shared" si="1"/>
        <v>3</v>
      </c>
      <c r="C21">
        <f>Initialisation!$C$11</f>
        <v>68.40100000000001</v>
      </c>
      <c r="D21">
        <f>Initialisation!$C$12</f>
        <v>22.800333333333334</v>
      </c>
      <c r="E21">
        <v>0</v>
      </c>
      <c r="G21">
        <f>MeteoJ!C21</f>
        <v>0</v>
      </c>
      <c r="J21">
        <f>ETR!F21</f>
        <v>0.90456316635535294</v>
      </c>
      <c r="K21">
        <f t="shared" si="2"/>
        <v>67.59356196887174</v>
      </c>
      <c r="L21">
        <f t="shared" si="3"/>
        <v>0</v>
      </c>
      <c r="M21">
        <f t="shared" si="4"/>
        <v>0</v>
      </c>
      <c r="O21">
        <f>ETR!K21</f>
        <v>0.70875799509150894</v>
      </c>
      <c r="P21">
        <f t="shared" si="5"/>
        <v>67.767963669376243</v>
      </c>
      <c r="Q21">
        <f t="shared" si="0"/>
        <v>0</v>
      </c>
      <c r="R21">
        <f t="shared" si="6"/>
        <v>0</v>
      </c>
    </row>
    <row r="22" spans="1:18" x14ac:dyDescent="0.35">
      <c r="A22" s="8">
        <f>ETR!A22</f>
        <v>42070</v>
      </c>
      <c r="B22">
        <f t="shared" si="1"/>
        <v>3</v>
      </c>
      <c r="C22">
        <f>Initialisation!$C$11</f>
        <v>68.40100000000001</v>
      </c>
      <c r="D22">
        <f>Initialisation!$C$12</f>
        <v>22.800333333333334</v>
      </c>
      <c r="E22">
        <v>0</v>
      </c>
      <c r="G22">
        <f>MeteoJ!C22</f>
        <v>0</v>
      </c>
      <c r="J22">
        <f>ETR!F22</f>
        <v>1.0836875253749996</v>
      </c>
      <c r="K22">
        <f t="shared" si="2"/>
        <v>66.68899880251638</v>
      </c>
      <c r="L22">
        <f t="shared" si="3"/>
        <v>0</v>
      </c>
      <c r="M22">
        <f t="shared" si="4"/>
        <v>0</v>
      </c>
      <c r="O22">
        <f>ETR!K22</f>
        <v>0.84876481605215615</v>
      </c>
      <c r="P22">
        <f t="shared" si="5"/>
        <v>67.05920567428474</v>
      </c>
      <c r="Q22">
        <f t="shared" si="0"/>
        <v>0</v>
      </c>
      <c r="R22">
        <f t="shared" si="6"/>
        <v>0</v>
      </c>
    </row>
    <row r="23" spans="1:18" x14ac:dyDescent="0.35">
      <c r="A23" s="8">
        <f>ETR!A23</f>
        <v>42071</v>
      </c>
      <c r="B23">
        <f t="shared" si="1"/>
        <v>3</v>
      </c>
      <c r="C23">
        <f>Initialisation!$C$11</f>
        <v>68.40100000000001</v>
      </c>
      <c r="D23">
        <f>Initialisation!$C$12</f>
        <v>22.800333333333334</v>
      </c>
      <c r="E23">
        <v>0</v>
      </c>
      <c r="G23">
        <f>MeteoJ!C23</f>
        <v>0</v>
      </c>
      <c r="J23">
        <f>ETR!F23</f>
        <v>1.1328102791192052</v>
      </c>
      <c r="K23">
        <f t="shared" si="2"/>
        <v>65.605311277141382</v>
      </c>
      <c r="L23">
        <f t="shared" si="3"/>
        <v>0</v>
      </c>
      <c r="M23">
        <f t="shared" si="4"/>
        <v>0</v>
      </c>
      <c r="O23">
        <f>ETR!K23</f>
        <v>0.88697612837811413</v>
      </c>
      <c r="P23">
        <f t="shared" si="5"/>
        <v>66.210440858232587</v>
      </c>
      <c r="Q23">
        <f t="shared" si="0"/>
        <v>0</v>
      </c>
      <c r="R23">
        <f t="shared" si="6"/>
        <v>0</v>
      </c>
    </row>
    <row r="24" spans="1:18" x14ac:dyDescent="0.35">
      <c r="A24" s="8">
        <f>ETR!A24</f>
        <v>42072</v>
      </c>
      <c r="B24">
        <f t="shared" si="1"/>
        <v>3</v>
      </c>
      <c r="C24">
        <f>Initialisation!$C$11</f>
        <v>68.40100000000001</v>
      </c>
      <c r="D24">
        <f>Initialisation!$C$12</f>
        <v>22.800333333333334</v>
      </c>
      <c r="E24">
        <v>0</v>
      </c>
      <c r="G24">
        <f>MeteoJ!C24</f>
        <v>0</v>
      </c>
      <c r="J24">
        <f>ETR!F24</f>
        <v>0.64420257107964596</v>
      </c>
      <c r="K24">
        <f t="shared" si="2"/>
        <v>64.472500998022184</v>
      </c>
      <c r="L24">
        <f t="shared" si="3"/>
        <v>0</v>
      </c>
      <c r="M24">
        <f t="shared" si="4"/>
        <v>0</v>
      </c>
      <c r="O24">
        <f>ETR!K24</f>
        <v>0.51355067273946009</v>
      </c>
      <c r="P24">
        <f t="shared" si="5"/>
        <v>65.323464729854479</v>
      </c>
      <c r="Q24">
        <f t="shared" si="0"/>
        <v>0</v>
      </c>
      <c r="R24">
        <f t="shared" si="6"/>
        <v>0</v>
      </c>
    </row>
    <row r="25" spans="1:18" x14ac:dyDescent="0.35">
      <c r="A25" s="8">
        <f>ETR!A25</f>
        <v>42073</v>
      </c>
      <c r="B25">
        <f t="shared" si="1"/>
        <v>3</v>
      </c>
      <c r="C25">
        <f>Initialisation!$C$11</f>
        <v>68.40100000000001</v>
      </c>
      <c r="D25">
        <f>Initialisation!$C$12</f>
        <v>22.800333333333334</v>
      </c>
      <c r="E25">
        <v>0</v>
      </c>
      <c r="G25">
        <f>MeteoJ!C25</f>
        <v>0</v>
      </c>
      <c r="J25">
        <f>ETR!F25</f>
        <v>1.0081978428929068</v>
      </c>
      <c r="K25">
        <f t="shared" si="2"/>
        <v>63.828298426942538</v>
      </c>
      <c r="L25">
        <f t="shared" si="3"/>
        <v>0</v>
      </c>
      <c r="M25">
        <f t="shared" si="4"/>
        <v>0</v>
      </c>
      <c r="O25">
        <f>ETR!K25</f>
        <v>0.79164448534350496</v>
      </c>
      <c r="P25">
        <f t="shared" si="5"/>
        <v>64.809914057115023</v>
      </c>
      <c r="Q25">
        <f t="shared" si="0"/>
        <v>0</v>
      </c>
      <c r="R25">
        <f t="shared" si="6"/>
        <v>0</v>
      </c>
    </row>
    <row r="26" spans="1:18" x14ac:dyDescent="0.35">
      <c r="A26" s="8">
        <f>ETR!A26</f>
        <v>42074</v>
      </c>
      <c r="B26">
        <f t="shared" si="1"/>
        <v>3</v>
      </c>
      <c r="C26">
        <f>Initialisation!$C$11</f>
        <v>68.40100000000001</v>
      </c>
      <c r="D26">
        <f>Initialisation!$C$12</f>
        <v>22.800333333333334</v>
      </c>
      <c r="E26">
        <v>0</v>
      </c>
      <c r="G26">
        <f>MeteoJ!C26</f>
        <v>0</v>
      </c>
      <c r="J26">
        <f>ETR!F26</f>
        <v>1.2585322627418145</v>
      </c>
      <c r="K26">
        <f t="shared" si="2"/>
        <v>62.820100584049634</v>
      </c>
      <c r="L26">
        <f t="shared" si="3"/>
        <v>0</v>
      </c>
      <c r="M26">
        <f t="shared" si="4"/>
        <v>0</v>
      </c>
      <c r="O26">
        <f>ETR!K26</f>
        <v>0.98596251738939011</v>
      </c>
      <c r="P26">
        <f t="shared" si="5"/>
        <v>64.018269571771512</v>
      </c>
      <c r="Q26">
        <f t="shared" si="0"/>
        <v>0</v>
      </c>
      <c r="R26">
        <f t="shared" si="6"/>
        <v>0</v>
      </c>
    </row>
    <row r="27" spans="1:18" x14ac:dyDescent="0.35">
      <c r="A27" s="8">
        <f>ETR!A27</f>
        <v>42075</v>
      </c>
      <c r="B27">
        <f t="shared" si="1"/>
        <v>3</v>
      </c>
      <c r="C27">
        <f>Initialisation!$C$11</f>
        <v>68.40100000000001</v>
      </c>
      <c r="D27">
        <f>Initialisation!$C$12</f>
        <v>22.800333333333334</v>
      </c>
      <c r="E27">
        <v>0</v>
      </c>
      <c r="G27">
        <f>MeteoJ!C27</f>
        <v>0</v>
      </c>
      <c r="J27">
        <f>ETR!F27</f>
        <v>1.1128214837404906</v>
      </c>
      <c r="K27">
        <f t="shared" si="2"/>
        <v>61.561568321307817</v>
      </c>
      <c r="L27">
        <f t="shared" si="3"/>
        <v>0</v>
      </c>
      <c r="M27">
        <f t="shared" si="4"/>
        <v>0</v>
      </c>
      <c r="O27">
        <f>ETR!K27</f>
        <v>0.87333985383234758</v>
      </c>
      <c r="P27">
        <f t="shared" si="5"/>
        <v>63.032307054382123</v>
      </c>
      <c r="Q27">
        <f t="shared" si="0"/>
        <v>0</v>
      </c>
      <c r="R27">
        <f t="shared" si="6"/>
        <v>0</v>
      </c>
    </row>
    <row r="28" spans="1:18" x14ac:dyDescent="0.35">
      <c r="A28" s="8">
        <f>ETR!A28</f>
        <v>42076</v>
      </c>
      <c r="B28">
        <f t="shared" si="1"/>
        <v>3</v>
      </c>
      <c r="C28">
        <f>Initialisation!$C$11</f>
        <v>68.40100000000001</v>
      </c>
      <c r="D28">
        <f>Initialisation!$C$12</f>
        <v>22.800333333333334</v>
      </c>
      <c r="E28">
        <v>0</v>
      </c>
      <c r="G28">
        <f>MeteoJ!C28</f>
        <v>1.8</v>
      </c>
      <c r="J28">
        <f>ETR!F28</f>
        <v>0.73391164961855682</v>
      </c>
      <c r="K28">
        <f t="shared" si="2"/>
        <v>60.448746837567327</v>
      </c>
      <c r="L28">
        <f t="shared" si="3"/>
        <v>0</v>
      </c>
      <c r="M28">
        <f t="shared" si="4"/>
        <v>0</v>
      </c>
      <c r="O28">
        <f>ETR!K28</f>
        <v>0.58493317507551301</v>
      </c>
      <c r="P28">
        <f t="shared" si="5"/>
        <v>62.158967200549775</v>
      </c>
      <c r="Q28">
        <f t="shared" si="0"/>
        <v>0</v>
      </c>
      <c r="R28">
        <f t="shared" si="6"/>
        <v>0</v>
      </c>
    </row>
    <row r="29" spans="1:18" x14ac:dyDescent="0.35">
      <c r="A29" s="8">
        <f>ETR!A29</f>
        <v>42077</v>
      </c>
      <c r="B29">
        <f t="shared" si="1"/>
        <v>3</v>
      </c>
      <c r="C29">
        <f>Initialisation!$C$11</f>
        <v>68.40100000000001</v>
      </c>
      <c r="D29">
        <f>Initialisation!$C$12</f>
        <v>22.800333333333334</v>
      </c>
      <c r="E29">
        <v>0</v>
      </c>
      <c r="G29">
        <f>MeteoJ!C29</f>
        <v>0.9</v>
      </c>
      <c r="J29">
        <f>ETR!F29</f>
        <v>0.61262043078924466</v>
      </c>
      <c r="K29">
        <f t="shared" si="2"/>
        <v>61.514835187948769</v>
      </c>
      <c r="L29">
        <f t="shared" si="3"/>
        <v>0</v>
      </c>
      <c r="M29">
        <f t="shared" si="4"/>
        <v>0</v>
      </c>
      <c r="O29">
        <f>ETR!K29</f>
        <v>0.48825580976041261</v>
      </c>
      <c r="P29">
        <f t="shared" si="5"/>
        <v>63.374034025474259</v>
      </c>
      <c r="Q29">
        <f t="shared" si="0"/>
        <v>0</v>
      </c>
      <c r="R29">
        <f t="shared" si="6"/>
        <v>0</v>
      </c>
    </row>
    <row r="30" spans="1:18" x14ac:dyDescent="0.35">
      <c r="A30" s="8">
        <f>ETR!A30</f>
        <v>42078</v>
      </c>
      <c r="B30">
        <f t="shared" si="1"/>
        <v>3</v>
      </c>
      <c r="C30">
        <f>Initialisation!$C$11</f>
        <v>68.40100000000001</v>
      </c>
      <c r="D30">
        <f>Initialisation!$C$12</f>
        <v>22.800333333333334</v>
      </c>
      <c r="E30">
        <v>0</v>
      </c>
      <c r="G30">
        <f>MeteoJ!C30</f>
        <v>0</v>
      </c>
      <c r="J30">
        <f>ETR!F30</f>
        <v>0.90174631781446291</v>
      </c>
      <c r="K30">
        <f t="shared" si="2"/>
        <v>61.802214757159526</v>
      </c>
      <c r="L30">
        <f t="shared" si="3"/>
        <v>0</v>
      </c>
      <c r="M30">
        <f t="shared" si="4"/>
        <v>0</v>
      </c>
      <c r="O30">
        <f>ETR!K30</f>
        <v>0.70868967103232716</v>
      </c>
      <c r="P30">
        <f t="shared" si="5"/>
        <v>63.785778215713854</v>
      </c>
      <c r="Q30">
        <f t="shared" si="0"/>
        <v>0</v>
      </c>
      <c r="R30">
        <f t="shared" si="6"/>
        <v>0</v>
      </c>
    </row>
    <row r="31" spans="1:18" x14ac:dyDescent="0.35">
      <c r="A31" s="8">
        <f>ETR!A31</f>
        <v>42079</v>
      </c>
      <c r="B31">
        <f t="shared" si="1"/>
        <v>3</v>
      </c>
      <c r="C31">
        <f>Initialisation!$C$11</f>
        <v>68.40100000000001</v>
      </c>
      <c r="D31">
        <f>Initialisation!$C$12</f>
        <v>22.800333333333334</v>
      </c>
      <c r="E31">
        <v>0</v>
      </c>
      <c r="G31">
        <f>MeteoJ!C31</f>
        <v>0.4</v>
      </c>
      <c r="J31">
        <f>ETR!F31</f>
        <v>0.90698745625359822</v>
      </c>
      <c r="K31">
        <f t="shared" si="2"/>
        <v>60.900468439345062</v>
      </c>
      <c r="L31">
        <f t="shared" si="3"/>
        <v>0</v>
      </c>
      <c r="M31">
        <f t="shared" si="4"/>
        <v>0</v>
      </c>
      <c r="O31">
        <f>ETR!K31</f>
        <v>0.715869833634596</v>
      </c>
      <c r="P31">
        <f t="shared" si="5"/>
        <v>63.07708854468153</v>
      </c>
      <c r="Q31">
        <f t="shared" si="0"/>
        <v>0</v>
      </c>
      <c r="R31">
        <f t="shared" si="6"/>
        <v>0</v>
      </c>
    </row>
    <row r="32" spans="1:18" x14ac:dyDescent="0.35">
      <c r="A32" s="8">
        <f>ETR!A32</f>
        <v>42080</v>
      </c>
      <c r="B32">
        <f t="shared" si="1"/>
        <v>3</v>
      </c>
      <c r="C32">
        <f>Initialisation!$C$11</f>
        <v>68.40100000000001</v>
      </c>
      <c r="D32">
        <f>Initialisation!$C$12</f>
        <v>22.800333333333334</v>
      </c>
      <c r="E32">
        <v>0</v>
      </c>
      <c r="G32">
        <f>MeteoJ!C32</f>
        <v>0</v>
      </c>
      <c r="J32">
        <f>ETR!F32</f>
        <v>1.2423803867339056</v>
      </c>
      <c r="K32">
        <f t="shared" si="2"/>
        <v>60.393480983091465</v>
      </c>
      <c r="L32">
        <f t="shared" si="3"/>
        <v>0</v>
      </c>
      <c r="M32">
        <f t="shared" si="4"/>
        <v>0</v>
      </c>
      <c r="O32">
        <f>ETR!K32</f>
        <v>0.97113748049303339</v>
      </c>
      <c r="P32">
        <f t="shared" si="5"/>
        <v>62.761218711046929</v>
      </c>
      <c r="Q32">
        <f t="shared" si="0"/>
        <v>0</v>
      </c>
      <c r="R32">
        <f t="shared" si="6"/>
        <v>0</v>
      </c>
    </row>
    <row r="33" spans="1:18" x14ac:dyDescent="0.35">
      <c r="A33" s="8">
        <f>ETR!A33</f>
        <v>42081</v>
      </c>
      <c r="B33">
        <f t="shared" si="1"/>
        <v>3</v>
      </c>
      <c r="C33">
        <f>Initialisation!$C$11</f>
        <v>68.40100000000001</v>
      </c>
      <c r="D33">
        <f>Initialisation!$C$12</f>
        <v>22.800333333333334</v>
      </c>
      <c r="E33">
        <v>0</v>
      </c>
      <c r="G33">
        <f>MeteoJ!C33</f>
        <v>0.1</v>
      </c>
      <c r="J33">
        <f>ETR!F33</f>
        <v>0.72867850443134208</v>
      </c>
      <c r="K33">
        <f t="shared" si="2"/>
        <v>59.151100596357558</v>
      </c>
      <c r="L33">
        <f t="shared" si="3"/>
        <v>0</v>
      </c>
      <c r="M33">
        <f t="shared" si="4"/>
        <v>0</v>
      </c>
      <c r="O33">
        <f>ETR!K33</f>
        <v>0.58573984353314112</v>
      </c>
      <c r="P33">
        <f t="shared" si="5"/>
        <v>61.790081230553895</v>
      </c>
      <c r="Q33">
        <f t="shared" si="0"/>
        <v>0</v>
      </c>
      <c r="R33">
        <f t="shared" si="6"/>
        <v>0</v>
      </c>
    </row>
    <row r="34" spans="1:18" x14ac:dyDescent="0.35">
      <c r="A34" s="8">
        <f>ETR!A34</f>
        <v>42082</v>
      </c>
      <c r="B34">
        <f t="shared" si="1"/>
        <v>3</v>
      </c>
      <c r="C34">
        <f>Initialisation!$C$11</f>
        <v>68.40100000000001</v>
      </c>
      <c r="D34">
        <f>Initialisation!$C$12</f>
        <v>22.800333333333334</v>
      </c>
      <c r="E34">
        <v>0</v>
      </c>
      <c r="G34">
        <f>MeteoJ!C34</f>
        <v>0.3</v>
      </c>
      <c r="J34">
        <f>ETR!F34</f>
        <v>1.2367069116365279</v>
      </c>
      <c r="K34">
        <f t="shared" si="2"/>
        <v>58.522422091926217</v>
      </c>
      <c r="L34">
        <f t="shared" si="3"/>
        <v>0</v>
      </c>
      <c r="M34">
        <f t="shared" si="4"/>
        <v>0</v>
      </c>
      <c r="O34">
        <f>ETR!K34</f>
        <v>0.97095852921071646</v>
      </c>
      <c r="P34">
        <f t="shared" si="5"/>
        <v>61.304341387020756</v>
      </c>
      <c r="Q34">
        <f t="shared" si="0"/>
        <v>0</v>
      </c>
      <c r="R34">
        <f t="shared" si="6"/>
        <v>0</v>
      </c>
    </row>
    <row r="35" spans="1:18" x14ac:dyDescent="0.35">
      <c r="A35" s="8">
        <f>ETR!A35</f>
        <v>42083</v>
      </c>
      <c r="B35">
        <f t="shared" si="1"/>
        <v>3</v>
      </c>
      <c r="C35">
        <f>Initialisation!$C$11</f>
        <v>68.40100000000001</v>
      </c>
      <c r="D35">
        <f>Initialisation!$C$12</f>
        <v>22.800333333333334</v>
      </c>
      <c r="E35">
        <v>0</v>
      </c>
      <c r="G35">
        <f>MeteoJ!C35</f>
        <v>6.2</v>
      </c>
      <c r="J35">
        <f>ETR!F35</f>
        <v>0.89611837645580517</v>
      </c>
      <c r="K35">
        <f t="shared" si="2"/>
        <v>57.585715180289682</v>
      </c>
      <c r="L35">
        <f t="shared" si="3"/>
        <v>0</v>
      </c>
      <c r="M35">
        <f t="shared" si="4"/>
        <v>0</v>
      </c>
      <c r="O35">
        <f>ETR!K35</f>
        <v>0.70832585649134883</v>
      </c>
      <c r="P35">
        <f t="shared" si="5"/>
        <v>60.633382857810034</v>
      </c>
      <c r="Q35">
        <f t="shared" si="0"/>
        <v>0</v>
      </c>
      <c r="R35">
        <f t="shared" si="6"/>
        <v>0</v>
      </c>
    </row>
    <row r="36" spans="1:18" x14ac:dyDescent="0.35">
      <c r="A36" s="8">
        <f>ETR!A36</f>
        <v>42084</v>
      </c>
      <c r="B36">
        <f t="shared" si="1"/>
        <v>3</v>
      </c>
      <c r="C36">
        <f>Initialisation!$C$11</f>
        <v>68.40100000000001</v>
      </c>
      <c r="D36">
        <f>Initialisation!$C$12</f>
        <v>22.800333333333334</v>
      </c>
      <c r="E36">
        <v>0</v>
      </c>
      <c r="G36">
        <f>MeteoJ!C36</f>
        <v>2.7</v>
      </c>
      <c r="J36">
        <f>ETR!F36</f>
        <v>0.84313925997325168</v>
      </c>
      <c r="K36">
        <f t="shared" si="2"/>
        <v>62.889596803833882</v>
      </c>
      <c r="L36">
        <f t="shared" si="3"/>
        <v>0</v>
      </c>
      <c r="M36">
        <f t="shared" si="4"/>
        <v>0</v>
      </c>
      <c r="O36">
        <f>ETR!K36</f>
        <v>0.67053596937931281</v>
      </c>
      <c r="P36">
        <f t="shared" si="5"/>
        <v>66.125057001318694</v>
      </c>
      <c r="Q36">
        <f t="shared" si="0"/>
        <v>0</v>
      </c>
      <c r="R36">
        <f t="shared" si="6"/>
        <v>0</v>
      </c>
    </row>
    <row r="37" spans="1:18" x14ac:dyDescent="0.35">
      <c r="A37" s="8">
        <f>ETR!A37</f>
        <v>42085</v>
      </c>
      <c r="B37">
        <f t="shared" si="1"/>
        <v>3</v>
      </c>
      <c r="C37">
        <f>Initialisation!$C$11</f>
        <v>68.40100000000001</v>
      </c>
      <c r="D37">
        <f>Initialisation!$C$12</f>
        <v>22.800333333333334</v>
      </c>
      <c r="E37">
        <v>0</v>
      </c>
      <c r="G37">
        <f>MeteoJ!C37</f>
        <v>0.2</v>
      </c>
      <c r="J37">
        <f>ETR!F37</f>
        <v>0.9022651147106916</v>
      </c>
      <c r="K37">
        <f t="shared" si="2"/>
        <v>64.746457543860629</v>
      </c>
      <c r="L37">
        <f t="shared" si="3"/>
        <v>0</v>
      </c>
      <c r="M37">
        <f t="shared" si="4"/>
        <v>0</v>
      </c>
      <c r="O37">
        <f>ETR!K37</f>
        <v>0.7113427959771963</v>
      </c>
      <c r="P37">
        <f t="shared" si="5"/>
        <v>68.154521031939382</v>
      </c>
      <c r="Q37">
        <f t="shared" si="0"/>
        <v>0</v>
      </c>
      <c r="R37">
        <f t="shared" si="6"/>
        <v>0</v>
      </c>
    </row>
    <row r="38" spans="1:18" x14ac:dyDescent="0.35">
      <c r="A38" s="8">
        <f>ETR!A38</f>
        <v>42086</v>
      </c>
      <c r="B38">
        <f t="shared" si="1"/>
        <v>3</v>
      </c>
      <c r="C38">
        <f>Initialisation!$C$11</f>
        <v>68.40100000000001</v>
      </c>
      <c r="D38">
        <f>Initialisation!$C$12</f>
        <v>22.800333333333334</v>
      </c>
      <c r="E38">
        <v>0</v>
      </c>
      <c r="G38">
        <f>MeteoJ!C38</f>
        <v>0.5</v>
      </c>
      <c r="J38">
        <f>ETR!F38</f>
        <v>0.67292366053923514</v>
      </c>
      <c r="K38">
        <f t="shared" si="2"/>
        <v>64.044192429149945</v>
      </c>
      <c r="L38">
        <f t="shared" si="3"/>
        <v>0</v>
      </c>
      <c r="M38">
        <f t="shared" si="4"/>
        <v>0</v>
      </c>
      <c r="O38">
        <f>ETR!K38</f>
        <v>0.5400270589676176</v>
      </c>
      <c r="P38">
        <f t="shared" si="5"/>
        <v>67.643178235962182</v>
      </c>
      <c r="Q38">
        <f t="shared" si="0"/>
        <v>0</v>
      </c>
      <c r="R38">
        <f t="shared" si="6"/>
        <v>0</v>
      </c>
    </row>
    <row r="39" spans="1:18" x14ac:dyDescent="0.35">
      <c r="A39" s="8">
        <f>ETR!A39</f>
        <v>42087</v>
      </c>
      <c r="B39">
        <f t="shared" si="1"/>
        <v>3</v>
      </c>
      <c r="C39">
        <f>Initialisation!$C$11</f>
        <v>68.40100000000001</v>
      </c>
      <c r="D39">
        <f>Initialisation!$C$12</f>
        <v>22.800333333333334</v>
      </c>
      <c r="E39">
        <v>0</v>
      </c>
      <c r="G39">
        <f>MeteoJ!C39</f>
        <v>1.6</v>
      </c>
      <c r="J39">
        <f>ETR!F39</f>
        <v>0.56996619487427669</v>
      </c>
      <c r="K39">
        <f t="shared" si="2"/>
        <v>63.871268768610712</v>
      </c>
      <c r="L39">
        <f t="shared" si="3"/>
        <v>0</v>
      </c>
      <c r="M39">
        <f t="shared" si="4"/>
        <v>0</v>
      </c>
      <c r="O39">
        <f>ETR!K39</f>
        <v>0.4600240486989069</v>
      </c>
      <c r="P39">
        <f t="shared" si="5"/>
        <v>67.603151176994558</v>
      </c>
      <c r="Q39">
        <f t="shared" si="0"/>
        <v>0</v>
      </c>
      <c r="R39">
        <f t="shared" si="6"/>
        <v>0</v>
      </c>
    </row>
    <row r="40" spans="1:18" x14ac:dyDescent="0.35">
      <c r="A40" s="8">
        <f>ETR!A40</f>
        <v>42088</v>
      </c>
      <c r="B40">
        <f t="shared" si="1"/>
        <v>3</v>
      </c>
      <c r="C40">
        <f>Initialisation!$C$11</f>
        <v>68.40100000000001</v>
      </c>
      <c r="D40">
        <f>Initialisation!$C$12</f>
        <v>22.800333333333334</v>
      </c>
      <c r="E40">
        <v>0</v>
      </c>
      <c r="G40">
        <f>MeteoJ!C40</f>
        <v>0.7</v>
      </c>
      <c r="J40">
        <f>ETR!F40</f>
        <v>0.96038055220806551</v>
      </c>
      <c r="K40">
        <f t="shared" si="2"/>
        <v>64.90130257373643</v>
      </c>
      <c r="L40">
        <f t="shared" si="3"/>
        <v>0</v>
      </c>
      <c r="M40">
        <f t="shared" si="4"/>
        <v>0</v>
      </c>
      <c r="O40">
        <f>ETR!K40</f>
        <v>0.74951526963107007</v>
      </c>
      <c r="P40">
        <f t="shared" si="5"/>
        <v>68.40100000000001</v>
      </c>
      <c r="Q40">
        <f t="shared" si="0"/>
        <v>0</v>
      </c>
      <c r="R40">
        <f t="shared" si="6"/>
        <v>0</v>
      </c>
    </row>
    <row r="41" spans="1:18" x14ac:dyDescent="0.35">
      <c r="A41" s="8">
        <f>ETR!A41</f>
        <v>42089</v>
      </c>
      <c r="B41">
        <f t="shared" si="1"/>
        <v>3</v>
      </c>
      <c r="C41">
        <f>Initialisation!$C$11</f>
        <v>68.40100000000001</v>
      </c>
      <c r="D41">
        <f>Initialisation!$C$12</f>
        <v>22.800333333333334</v>
      </c>
      <c r="E41">
        <v>0</v>
      </c>
      <c r="G41">
        <f>MeteoJ!C41</f>
        <v>0.2</v>
      </c>
      <c r="J41">
        <f>ETR!F41</f>
        <v>0.29864846022535207</v>
      </c>
      <c r="K41">
        <f t="shared" si="2"/>
        <v>64.640922021528368</v>
      </c>
      <c r="L41">
        <f t="shared" si="3"/>
        <v>0</v>
      </c>
      <c r="M41">
        <f t="shared" si="4"/>
        <v>0</v>
      </c>
      <c r="O41">
        <f>ETR!K41</f>
        <v>0.25141862663221126</v>
      </c>
      <c r="P41">
        <f t="shared" si="5"/>
        <v>68.351484730368938</v>
      </c>
      <c r="Q41">
        <f t="shared" si="0"/>
        <v>0</v>
      </c>
      <c r="R41">
        <f t="shared" si="6"/>
        <v>0</v>
      </c>
    </row>
    <row r="42" spans="1:18" x14ac:dyDescent="0.35">
      <c r="A42" s="8">
        <f>ETR!A42</f>
        <v>42090</v>
      </c>
      <c r="B42">
        <f t="shared" si="1"/>
        <v>3</v>
      </c>
      <c r="C42">
        <f>Initialisation!$C$11</f>
        <v>68.40100000000001</v>
      </c>
      <c r="D42">
        <f>Initialisation!$C$12</f>
        <v>22.800333333333334</v>
      </c>
      <c r="E42">
        <v>0</v>
      </c>
      <c r="G42">
        <f>MeteoJ!C42</f>
        <v>0.4</v>
      </c>
      <c r="J42">
        <f>ETR!F42</f>
        <v>0.63712863441415835</v>
      </c>
      <c r="K42">
        <f t="shared" si="2"/>
        <v>64.54227356130302</v>
      </c>
      <c r="L42">
        <f t="shared" si="3"/>
        <v>0</v>
      </c>
      <c r="M42">
        <f t="shared" si="4"/>
        <v>0</v>
      </c>
      <c r="O42">
        <f>ETR!K42</f>
        <v>0.51283799534751984</v>
      </c>
      <c r="P42">
        <f t="shared" si="5"/>
        <v>68.300066103736725</v>
      </c>
      <c r="Q42">
        <f t="shared" si="0"/>
        <v>0</v>
      </c>
      <c r="R42">
        <f t="shared" si="6"/>
        <v>0</v>
      </c>
    </row>
    <row r="43" spans="1:18" x14ac:dyDescent="0.35">
      <c r="A43" s="8">
        <f>ETR!A43</f>
        <v>42091</v>
      </c>
      <c r="B43">
        <f t="shared" si="1"/>
        <v>3</v>
      </c>
      <c r="C43">
        <f>Initialisation!$C$11</f>
        <v>68.40100000000001</v>
      </c>
      <c r="D43">
        <f>Initialisation!$C$12</f>
        <v>22.800333333333334</v>
      </c>
      <c r="E43">
        <v>0</v>
      </c>
      <c r="G43">
        <f>MeteoJ!C43</f>
        <v>0</v>
      </c>
      <c r="J43">
        <f>ETR!F43</f>
        <v>0.56504122346556551</v>
      </c>
      <c r="K43">
        <f t="shared" si="2"/>
        <v>64.305144926888872</v>
      </c>
      <c r="L43">
        <f t="shared" si="3"/>
        <v>0</v>
      </c>
      <c r="M43">
        <f t="shared" si="4"/>
        <v>0</v>
      </c>
      <c r="O43">
        <f>ETR!K43</f>
        <v>0.4618844329139391</v>
      </c>
      <c r="P43">
        <f t="shared" si="5"/>
        <v>68.187228108389206</v>
      </c>
      <c r="Q43">
        <f t="shared" si="0"/>
        <v>0</v>
      </c>
      <c r="R43">
        <f t="shared" si="6"/>
        <v>0</v>
      </c>
    </row>
    <row r="44" spans="1:18" x14ac:dyDescent="0.35">
      <c r="A44" s="8">
        <f>ETR!A44</f>
        <v>42092</v>
      </c>
      <c r="B44">
        <f t="shared" si="1"/>
        <v>3</v>
      </c>
      <c r="C44">
        <f>Initialisation!$C$11</f>
        <v>68.40100000000001</v>
      </c>
      <c r="D44">
        <f>Initialisation!$C$12</f>
        <v>22.800333333333334</v>
      </c>
      <c r="E44">
        <v>0</v>
      </c>
      <c r="G44">
        <f>MeteoJ!C44</f>
        <v>0.9</v>
      </c>
      <c r="J44">
        <f>ETR!F44</f>
        <v>0.63005676874005545</v>
      </c>
      <c r="K44">
        <f t="shared" si="2"/>
        <v>63.740103703423308</v>
      </c>
      <c r="L44">
        <f t="shared" si="3"/>
        <v>0</v>
      </c>
      <c r="M44">
        <f t="shared" si="4"/>
        <v>0</v>
      </c>
      <c r="O44">
        <f>ETR!K44</f>
        <v>0.51148675473292871</v>
      </c>
      <c r="P44">
        <f t="shared" si="5"/>
        <v>67.725343675475273</v>
      </c>
      <c r="Q44">
        <f t="shared" si="0"/>
        <v>0</v>
      </c>
      <c r="R44">
        <f t="shared" si="6"/>
        <v>0</v>
      </c>
    </row>
    <row r="45" spans="1:18" x14ac:dyDescent="0.35">
      <c r="A45" s="8">
        <f>ETR!A45</f>
        <v>42093</v>
      </c>
      <c r="B45">
        <f t="shared" si="1"/>
        <v>3</v>
      </c>
      <c r="C45">
        <f>Initialisation!$C$11</f>
        <v>68.40100000000001</v>
      </c>
      <c r="D45">
        <f>Initialisation!$C$12</f>
        <v>22.800333333333334</v>
      </c>
      <c r="E45">
        <v>0</v>
      </c>
      <c r="G45">
        <f>MeteoJ!C45</f>
        <v>0.3</v>
      </c>
      <c r="J45">
        <f>ETR!F45</f>
        <v>0.33929951573224038</v>
      </c>
      <c r="K45">
        <f t="shared" si="2"/>
        <v>64.010046934683245</v>
      </c>
      <c r="L45">
        <f t="shared" si="3"/>
        <v>0</v>
      </c>
      <c r="M45">
        <f t="shared" si="4"/>
        <v>0</v>
      </c>
      <c r="O45">
        <f>ETR!K45</f>
        <v>0.29242912677420352</v>
      </c>
      <c r="P45">
        <f t="shared" si="5"/>
        <v>68.11385692074235</v>
      </c>
      <c r="Q45">
        <f t="shared" si="0"/>
        <v>0</v>
      </c>
      <c r="R45">
        <f t="shared" si="6"/>
        <v>0</v>
      </c>
    </row>
    <row r="46" spans="1:18" x14ac:dyDescent="0.35">
      <c r="A46" s="8">
        <f>ETR!A46</f>
        <v>42094</v>
      </c>
      <c r="B46">
        <f t="shared" si="1"/>
        <v>3</v>
      </c>
      <c r="C46">
        <f>Initialisation!$C$11</f>
        <v>68.40100000000001</v>
      </c>
      <c r="D46">
        <f>Initialisation!$C$12</f>
        <v>22.800333333333334</v>
      </c>
      <c r="E46">
        <v>0</v>
      </c>
      <c r="G46">
        <f>MeteoJ!C46</f>
        <v>1.1000000000000001</v>
      </c>
      <c r="J46">
        <f>ETR!F46</f>
        <v>0.77638792745023677</v>
      </c>
      <c r="K46">
        <f t="shared" si="2"/>
        <v>63.970747418950999</v>
      </c>
      <c r="L46">
        <f t="shared" si="3"/>
        <v>0</v>
      </c>
      <c r="M46">
        <f t="shared" si="4"/>
        <v>0</v>
      </c>
      <c r="O46">
        <f>ETR!K46</f>
        <v>0.62244700559262311</v>
      </c>
      <c r="P46">
        <f t="shared" si="5"/>
        <v>68.121427793968138</v>
      </c>
      <c r="Q46">
        <f t="shared" si="0"/>
        <v>0</v>
      </c>
      <c r="R46">
        <f t="shared" si="6"/>
        <v>0</v>
      </c>
    </row>
    <row r="47" spans="1:18" x14ac:dyDescent="0.35">
      <c r="A47" s="8">
        <f>ETR!A47</f>
        <v>42095</v>
      </c>
      <c r="B47">
        <f t="shared" si="1"/>
        <v>4</v>
      </c>
      <c r="C47">
        <f>Initialisation!$C$11</f>
        <v>68.40100000000001</v>
      </c>
      <c r="D47">
        <f>Initialisation!$C$12</f>
        <v>22.800333333333334</v>
      </c>
      <c r="E47">
        <v>0</v>
      </c>
      <c r="G47">
        <f>MeteoJ!C47</f>
        <v>0</v>
      </c>
      <c r="J47">
        <f>ETR!F47</f>
        <v>0.78032165087172589</v>
      </c>
      <c r="K47">
        <f t="shared" si="2"/>
        <v>64.294359491500771</v>
      </c>
      <c r="L47">
        <f t="shared" si="3"/>
        <v>0</v>
      </c>
      <c r="M47">
        <f t="shared" si="4"/>
        <v>0</v>
      </c>
      <c r="O47">
        <f>ETR!K47</f>
        <v>0.62112872985584344</v>
      </c>
      <c r="P47">
        <f t="shared" si="5"/>
        <v>68.40100000000001</v>
      </c>
      <c r="Q47">
        <f t="shared" si="0"/>
        <v>0</v>
      </c>
      <c r="R47">
        <f t="shared" si="6"/>
        <v>0</v>
      </c>
    </row>
    <row r="48" spans="1:18" x14ac:dyDescent="0.35">
      <c r="A48" s="8">
        <f>ETR!A48</f>
        <v>42096</v>
      </c>
      <c r="B48">
        <f t="shared" si="1"/>
        <v>4</v>
      </c>
      <c r="C48">
        <f>Initialisation!$C$11</f>
        <v>68.40100000000001</v>
      </c>
      <c r="D48">
        <f>Initialisation!$C$12</f>
        <v>22.800333333333334</v>
      </c>
      <c r="E48">
        <v>0</v>
      </c>
      <c r="G48">
        <f>MeteoJ!C48</f>
        <v>0</v>
      </c>
      <c r="J48">
        <f>ETR!F48</f>
        <v>0.73807522092685052</v>
      </c>
      <c r="K48">
        <f t="shared" si="2"/>
        <v>63.514037840629044</v>
      </c>
      <c r="L48">
        <f t="shared" si="3"/>
        <v>0</v>
      </c>
      <c r="M48">
        <f t="shared" si="4"/>
        <v>0</v>
      </c>
      <c r="O48">
        <f>ETR!K48</f>
        <v>0.58693146633574156</v>
      </c>
      <c r="P48">
        <f t="shared" si="5"/>
        <v>67.77987127014417</v>
      </c>
      <c r="Q48">
        <f t="shared" si="0"/>
        <v>0</v>
      </c>
      <c r="R48">
        <f t="shared" si="6"/>
        <v>0</v>
      </c>
    </row>
    <row r="49" spans="1:18" x14ac:dyDescent="0.35">
      <c r="A49" s="8">
        <f>ETR!A49</f>
        <v>42097</v>
      </c>
      <c r="B49">
        <f t="shared" si="1"/>
        <v>4</v>
      </c>
      <c r="C49">
        <f>Initialisation!$C$11</f>
        <v>68.40100000000001</v>
      </c>
      <c r="D49">
        <f>Initialisation!$C$12</f>
        <v>22.800333333333334</v>
      </c>
      <c r="E49">
        <v>0</v>
      </c>
      <c r="G49">
        <f>MeteoJ!C49</f>
        <v>0</v>
      </c>
      <c r="J49">
        <f>ETR!F49</f>
        <v>0.57092860838080495</v>
      </c>
      <c r="K49">
        <f t="shared" si="2"/>
        <v>62.775962619702192</v>
      </c>
      <c r="L49">
        <f t="shared" si="3"/>
        <v>0</v>
      </c>
      <c r="M49">
        <f t="shared" si="4"/>
        <v>0</v>
      </c>
      <c r="O49">
        <f>ETR!K49</f>
        <v>0.46170806900360756</v>
      </c>
      <c r="P49">
        <f t="shared" si="5"/>
        <v>67.192939803808429</v>
      </c>
      <c r="Q49">
        <f t="shared" si="0"/>
        <v>0</v>
      </c>
      <c r="R49">
        <f t="shared" si="6"/>
        <v>0</v>
      </c>
    </row>
    <row r="50" spans="1:18" x14ac:dyDescent="0.35">
      <c r="A50" s="8">
        <f>ETR!A50</f>
        <v>42098</v>
      </c>
      <c r="B50">
        <f t="shared" si="1"/>
        <v>4</v>
      </c>
      <c r="C50">
        <f>Initialisation!$C$11</f>
        <v>68.40100000000001</v>
      </c>
      <c r="D50">
        <f>Initialisation!$C$12</f>
        <v>22.800333333333334</v>
      </c>
      <c r="E50">
        <v>0</v>
      </c>
      <c r="G50">
        <f>MeteoJ!C50</f>
        <v>0.7</v>
      </c>
      <c r="J50">
        <f>ETR!F50</f>
        <v>0.86003478606295403</v>
      </c>
      <c r="K50">
        <f t="shared" si="2"/>
        <v>62.205034011321388</v>
      </c>
      <c r="L50">
        <f t="shared" si="3"/>
        <v>0</v>
      </c>
      <c r="M50">
        <f t="shared" si="4"/>
        <v>0</v>
      </c>
      <c r="O50">
        <f>ETR!K50</f>
        <v>0.68322299961550359</v>
      </c>
      <c r="P50">
        <f t="shared" si="5"/>
        <v>66.731231734804823</v>
      </c>
      <c r="Q50">
        <f t="shared" si="0"/>
        <v>0</v>
      </c>
      <c r="R50">
        <f t="shared" si="6"/>
        <v>0</v>
      </c>
    </row>
    <row r="51" spans="1:18" x14ac:dyDescent="0.35">
      <c r="A51" s="8">
        <f>ETR!A51</f>
        <v>42099</v>
      </c>
      <c r="B51">
        <f t="shared" si="1"/>
        <v>4</v>
      </c>
      <c r="C51">
        <f>Initialisation!$C$11</f>
        <v>68.40100000000001</v>
      </c>
      <c r="D51">
        <f>Initialisation!$C$12</f>
        <v>22.800333333333334</v>
      </c>
      <c r="E51">
        <v>0</v>
      </c>
      <c r="G51">
        <f>MeteoJ!C51</f>
        <v>0</v>
      </c>
      <c r="J51">
        <f>ETR!F51</f>
        <v>1.565250525429188</v>
      </c>
      <c r="K51">
        <f t="shared" si="2"/>
        <v>62.044999225258437</v>
      </c>
      <c r="L51">
        <f t="shared" si="3"/>
        <v>0</v>
      </c>
      <c r="M51">
        <f t="shared" si="4"/>
        <v>0</v>
      </c>
      <c r="O51">
        <f>ETR!K51</f>
        <v>1.2148724642627089</v>
      </c>
      <c r="P51">
        <f t="shared" si="5"/>
        <v>66.748008735189316</v>
      </c>
      <c r="Q51">
        <f t="shared" si="0"/>
        <v>0</v>
      </c>
      <c r="R51">
        <f t="shared" si="6"/>
        <v>0</v>
      </c>
    </row>
    <row r="52" spans="1:18" x14ac:dyDescent="0.35">
      <c r="A52" s="8">
        <f>ETR!A52</f>
        <v>42100</v>
      </c>
      <c r="B52">
        <f t="shared" si="1"/>
        <v>4</v>
      </c>
      <c r="C52">
        <f>Initialisation!$C$11</f>
        <v>68.40100000000001</v>
      </c>
      <c r="D52">
        <f>Initialisation!$C$12</f>
        <v>22.800333333333334</v>
      </c>
      <c r="E52">
        <v>0</v>
      </c>
      <c r="G52">
        <f>MeteoJ!C52</f>
        <v>0</v>
      </c>
      <c r="J52">
        <f>ETR!F52</f>
        <v>1.6057956951504204</v>
      </c>
      <c r="K52">
        <f t="shared" si="2"/>
        <v>60.479748699829251</v>
      </c>
      <c r="L52">
        <f t="shared" si="3"/>
        <v>0</v>
      </c>
      <c r="M52">
        <f t="shared" si="4"/>
        <v>0</v>
      </c>
      <c r="O52">
        <f>ETR!K52</f>
        <v>1.2458275019785596</v>
      </c>
      <c r="P52">
        <f t="shared" si="5"/>
        <v>65.533136270926605</v>
      </c>
      <c r="Q52">
        <f t="shared" si="0"/>
        <v>0</v>
      </c>
      <c r="R52">
        <f t="shared" si="6"/>
        <v>0</v>
      </c>
    </row>
    <row r="53" spans="1:18" x14ac:dyDescent="0.35">
      <c r="A53" s="8">
        <f>ETR!A53</f>
        <v>42101</v>
      </c>
      <c r="B53">
        <f t="shared" si="1"/>
        <v>4</v>
      </c>
      <c r="C53">
        <f>Initialisation!$C$11</f>
        <v>68.40100000000001</v>
      </c>
      <c r="D53">
        <f>Initialisation!$C$12</f>
        <v>22.800333333333334</v>
      </c>
      <c r="E53">
        <v>0</v>
      </c>
      <c r="G53">
        <f>MeteoJ!C53</f>
        <v>0</v>
      </c>
      <c r="J53">
        <f>ETR!F53</f>
        <v>1.77293338249162</v>
      </c>
      <c r="K53">
        <f t="shared" si="2"/>
        <v>58.873953004678832</v>
      </c>
      <c r="L53">
        <f t="shared" si="3"/>
        <v>0</v>
      </c>
      <c r="M53">
        <f t="shared" si="4"/>
        <v>0</v>
      </c>
      <c r="O53">
        <f>ETR!K53</f>
        <v>1.3749285867789356</v>
      </c>
      <c r="P53">
        <f t="shared" si="5"/>
        <v>64.287308768948051</v>
      </c>
      <c r="Q53">
        <f t="shared" si="0"/>
        <v>0</v>
      </c>
      <c r="R53">
        <f t="shared" si="6"/>
        <v>0</v>
      </c>
    </row>
    <row r="54" spans="1:18" x14ac:dyDescent="0.35">
      <c r="A54" s="8">
        <f>ETR!A54</f>
        <v>42102</v>
      </c>
      <c r="B54">
        <f t="shared" si="1"/>
        <v>4</v>
      </c>
      <c r="C54">
        <f>Initialisation!$C$11</f>
        <v>68.40100000000001</v>
      </c>
      <c r="D54">
        <f>Initialisation!$C$12</f>
        <v>22.800333333333334</v>
      </c>
      <c r="E54">
        <v>0</v>
      </c>
      <c r="G54">
        <f>MeteoJ!C54</f>
        <v>0</v>
      </c>
      <c r="J54">
        <f>ETR!F54</f>
        <v>1.8104182351090743</v>
      </c>
      <c r="K54">
        <f t="shared" si="2"/>
        <v>57.101019622187209</v>
      </c>
      <c r="L54">
        <f t="shared" si="3"/>
        <v>0</v>
      </c>
      <c r="M54">
        <f t="shared" si="4"/>
        <v>0</v>
      </c>
      <c r="O54">
        <f>ETR!K54</f>
        <v>1.4039487816878076</v>
      </c>
      <c r="P54">
        <f t="shared" si="5"/>
        <v>62.912380182169116</v>
      </c>
      <c r="Q54">
        <f t="shared" si="0"/>
        <v>0</v>
      </c>
      <c r="R54">
        <f t="shared" si="6"/>
        <v>0</v>
      </c>
    </row>
    <row r="55" spans="1:18" x14ac:dyDescent="0.35">
      <c r="A55" s="8">
        <f>ETR!A55</f>
        <v>42103</v>
      </c>
      <c r="B55">
        <f t="shared" si="1"/>
        <v>4</v>
      </c>
      <c r="C55">
        <f>Initialisation!$C$11</f>
        <v>68.40100000000001</v>
      </c>
      <c r="D55">
        <f>Initialisation!$C$12</f>
        <v>22.800333333333334</v>
      </c>
      <c r="E55">
        <v>0</v>
      </c>
      <c r="G55">
        <f>MeteoJ!C55</f>
        <v>0</v>
      </c>
      <c r="J55">
        <f>ETR!F55</f>
        <v>1.8073183218351239</v>
      </c>
      <c r="K55">
        <f t="shared" si="2"/>
        <v>55.290601387078134</v>
      </c>
      <c r="L55">
        <f t="shared" si="3"/>
        <v>0</v>
      </c>
      <c r="M55">
        <f t="shared" si="4"/>
        <v>0</v>
      </c>
      <c r="O55">
        <f>ETR!K55</f>
        <v>1.4031933980922711</v>
      </c>
      <c r="P55">
        <f t="shared" si="5"/>
        <v>61.508431400481307</v>
      </c>
      <c r="Q55">
        <f t="shared" si="0"/>
        <v>0</v>
      </c>
      <c r="R55">
        <f t="shared" si="6"/>
        <v>0</v>
      </c>
    </row>
    <row r="56" spans="1:18" x14ac:dyDescent="0.35">
      <c r="A56" s="8">
        <f>ETR!A56</f>
        <v>42104</v>
      </c>
      <c r="B56">
        <f t="shared" si="1"/>
        <v>4</v>
      </c>
      <c r="C56">
        <f>Initialisation!$C$11</f>
        <v>68.40100000000001</v>
      </c>
      <c r="D56">
        <f>Initialisation!$C$12</f>
        <v>22.800333333333334</v>
      </c>
      <c r="E56">
        <v>0</v>
      </c>
      <c r="G56">
        <f>MeteoJ!C56</f>
        <v>1.6</v>
      </c>
      <c r="J56">
        <f>ETR!F56</f>
        <v>1.3336551278251907</v>
      </c>
      <c r="K56">
        <f t="shared" si="2"/>
        <v>53.483283065243008</v>
      </c>
      <c r="L56">
        <f t="shared" si="3"/>
        <v>0</v>
      </c>
      <c r="M56">
        <f t="shared" si="4"/>
        <v>0</v>
      </c>
      <c r="O56">
        <f>ETR!K56</f>
        <v>1.0445938918767474</v>
      </c>
      <c r="P56">
        <f t="shared" si="5"/>
        <v>60.105238002389036</v>
      </c>
      <c r="Q56">
        <f t="shared" si="0"/>
        <v>0</v>
      </c>
      <c r="R56">
        <f t="shared" si="6"/>
        <v>0</v>
      </c>
    </row>
    <row r="57" spans="1:18" x14ac:dyDescent="0.35">
      <c r="A57" s="8">
        <f>ETR!A57</f>
        <v>42105</v>
      </c>
      <c r="B57">
        <f t="shared" si="1"/>
        <v>4</v>
      </c>
      <c r="C57">
        <f>Initialisation!$C$11</f>
        <v>68.40100000000001</v>
      </c>
      <c r="D57">
        <f>Initialisation!$C$12</f>
        <v>22.800333333333334</v>
      </c>
      <c r="E57">
        <v>0</v>
      </c>
      <c r="G57">
        <f>MeteoJ!C57</f>
        <v>0</v>
      </c>
      <c r="J57">
        <f>ETR!F57</f>
        <v>1.1201576696850828</v>
      </c>
      <c r="K57">
        <f t="shared" si="2"/>
        <v>53.74962793741782</v>
      </c>
      <c r="L57">
        <f t="shared" si="3"/>
        <v>0</v>
      </c>
      <c r="M57">
        <f t="shared" si="4"/>
        <v>0</v>
      </c>
      <c r="O57">
        <f>ETR!K57</f>
        <v>0.88208336466560633</v>
      </c>
      <c r="P57">
        <f t="shared" si="5"/>
        <v>60.660644110512294</v>
      </c>
      <c r="Q57">
        <f t="shared" si="0"/>
        <v>0</v>
      </c>
      <c r="R57">
        <f t="shared" si="6"/>
        <v>0</v>
      </c>
    </row>
    <row r="58" spans="1:18" x14ac:dyDescent="0.35">
      <c r="A58" s="8">
        <f>ETR!A58</f>
        <v>42106</v>
      </c>
      <c r="B58">
        <f t="shared" si="1"/>
        <v>4</v>
      </c>
      <c r="C58">
        <f>Initialisation!$C$11</f>
        <v>68.40100000000001</v>
      </c>
      <c r="D58">
        <f>Initialisation!$C$12</f>
        <v>22.800333333333334</v>
      </c>
      <c r="E58">
        <v>0</v>
      </c>
      <c r="G58">
        <f>MeteoJ!C58</f>
        <v>0</v>
      </c>
      <c r="J58">
        <f>ETR!F58</f>
        <v>1.8687693527756428</v>
      </c>
      <c r="K58">
        <f t="shared" si="2"/>
        <v>52.629470267732735</v>
      </c>
      <c r="L58">
        <f t="shared" si="3"/>
        <v>0</v>
      </c>
      <c r="M58">
        <f t="shared" si="4"/>
        <v>0</v>
      </c>
      <c r="O58">
        <f>ETR!K58</f>
        <v>1.4513289356051766</v>
      </c>
      <c r="P58">
        <f t="shared" si="5"/>
        <v>59.77856074584669</v>
      </c>
      <c r="Q58">
        <f t="shared" si="0"/>
        <v>0</v>
      </c>
      <c r="R58">
        <f t="shared" si="6"/>
        <v>0</v>
      </c>
    </row>
    <row r="59" spans="1:18" x14ac:dyDescent="0.35">
      <c r="A59" s="8">
        <f>ETR!A59</f>
        <v>42107</v>
      </c>
      <c r="B59">
        <f t="shared" si="1"/>
        <v>4</v>
      </c>
      <c r="C59">
        <f>Initialisation!$C$11</f>
        <v>68.40100000000001</v>
      </c>
      <c r="D59">
        <f>Initialisation!$C$12</f>
        <v>22.800333333333334</v>
      </c>
      <c r="E59">
        <v>0</v>
      </c>
      <c r="G59">
        <f>MeteoJ!C59</f>
        <v>0</v>
      </c>
      <c r="J59">
        <f>ETR!F59</f>
        <v>2.1754339762023127</v>
      </c>
      <c r="K59">
        <f t="shared" si="2"/>
        <v>50.760700914957091</v>
      </c>
      <c r="L59">
        <f t="shared" si="3"/>
        <v>0</v>
      </c>
      <c r="M59">
        <f t="shared" si="4"/>
        <v>0</v>
      </c>
      <c r="O59">
        <f>ETR!K59</f>
        <v>1.6867573850293487</v>
      </c>
      <c r="P59">
        <f t="shared" si="5"/>
        <v>58.327231810241514</v>
      </c>
      <c r="Q59">
        <f t="shared" si="0"/>
        <v>0</v>
      </c>
      <c r="R59">
        <f t="shared" si="6"/>
        <v>0</v>
      </c>
    </row>
    <row r="60" spans="1:18" x14ac:dyDescent="0.35">
      <c r="A60" s="8">
        <f>ETR!A60</f>
        <v>42108</v>
      </c>
      <c r="B60">
        <f t="shared" si="1"/>
        <v>4</v>
      </c>
      <c r="C60">
        <f>Initialisation!$C$11</f>
        <v>68.40100000000001</v>
      </c>
      <c r="D60">
        <f>Initialisation!$C$12</f>
        <v>22.800333333333334</v>
      </c>
      <c r="E60">
        <v>0</v>
      </c>
      <c r="G60">
        <f>MeteoJ!C60</f>
        <v>0</v>
      </c>
      <c r="J60">
        <f>ETR!F60</f>
        <v>2.2715516408773233</v>
      </c>
      <c r="K60">
        <f t="shared" si="2"/>
        <v>48.585266938754778</v>
      </c>
      <c r="L60">
        <f t="shared" si="3"/>
        <v>0</v>
      </c>
      <c r="M60">
        <f t="shared" si="4"/>
        <v>0</v>
      </c>
      <c r="O60">
        <f>ETR!K60</f>
        <v>1.7606946925558622</v>
      </c>
      <c r="P60">
        <f t="shared" si="5"/>
        <v>56.640474425212169</v>
      </c>
      <c r="Q60">
        <f t="shared" si="0"/>
        <v>0</v>
      </c>
      <c r="R60">
        <f t="shared" si="6"/>
        <v>0</v>
      </c>
    </row>
    <row r="61" spans="1:18" x14ac:dyDescent="0.35">
      <c r="A61" s="8">
        <f>ETR!A61</f>
        <v>42109</v>
      </c>
      <c r="B61">
        <f t="shared" si="1"/>
        <v>4</v>
      </c>
      <c r="C61">
        <f>Initialisation!$C$11</f>
        <v>68.40100000000001</v>
      </c>
      <c r="D61">
        <f>Initialisation!$C$12</f>
        <v>22.800333333333334</v>
      </c>
      <c r="E61">
        <v>0</v>
      </c>
      <c r="G61">
        <f>MeteoJ!C61</f>
        <v>0</v>
      </c>
      <c r="J61">
        <f>ETR!F61</f>
        <v>2.1342475901000482</v>
      </c>
      <c r="K61">
        <f t="shared" si="2"/>
        <v>46.313715297877451</v>
      </c>
      <c r="L61">
        <f t="shared" si="3"/>
        <v>0</v>
      </c>
      <c r="M61">
        <f t="shared" si="4"/>
        <v>0</v>
      </c>
      <c r="O61">
        <f>ETR!K61</f>
        <v>1.6578085979725825</v>
      </c>
      <c r="P61">
        <f t="shared" si="5"/>
        <v>54.87977973265631</v>
      </c>
      <c r="Q61">
        <f t="shared" si="0"/>
        <v>0</v>
      </c>
      <c r="R61">
        <f t="shared" si="6"/>
        <v>0</v>
      </c>
    </row>
    <row r="62" spans="1:18" x14ac:dyDescent="0.35">
      <c r="A62" s="8">
        <f>ETR!A62</f>
        <v>42110</v>
      </c>
      <c r="B62">
        <f t="shared" si="1"/>
        <v>4</v>
      </c>
      <c r="C62">
        <f>Initialisation!$C$11</f>
        <v>68.40100000000001</v>
      </c>
      <c r="D62">
        <f>Initialisation!$C$12</f>
        <v>22.800333333333334</v>
      </c>
      <c r="E62">
        <v>0</v>
      </c>
      <c r="G62">
        <f>MeteoJ!C62</f>
        <v>0.6</v>
      </c>
      <c r="J62">
        <f>ETR!F62</f>
        <v>1.3530545398525895</v>
      </c>
      <c r="K62">
        <f t="shared" si="2"/>
        <v>44.179467707777405</v>
      </c>
      <c r="L62">
        <f t="shared" si="3"/>
        <v>0</v>
      </c>
      <c r="M62">
        <f t="shared" si="4"/>
        <v>0</v>
      </c>
      <c r="O62">
        <f>ETR!K62</f>
        <v>1.064001023274471</v>
      </c>
      <c r="P62">
        <f t="shared" si="5"/>
        <v>53.221971134683727</v>
      </c>
      <c r="Q62">
        <f t="shared" si="0"/>
        <v>0</v>
      </c>
      <c r="R62">
        <f t="shared" si="6"/>
        <v>0</v>
      </c>
    </row>
    <row r="63" spans="1:18" x14ac:dyDescent="0.35">
      <c r="A63" s="8">
        <f>ETR!A63</f>
        <v>42111</v>
      </c>
      <c r="B63">
        <f t="shared" si="1"/>
        <v>4</v>
      </c>
      <c r="C63">
        <f>Initialisation!$C$11</f>
        <v>68.40100000000001</v>
      </c>
      <c r="D63">
        <f>Initialisation!$C$12</f>
        <v>22.800333333333334</v>
      </c>
      <c r="E63">
        <v>0</v>
      </c>
      <c r="G63">
        <f>MeteoJ!C63</f>
        <v>0.9</v>
      </c>
      <c r="J63">
        <f>ETR!F63</f>
        <v>1.4132509193937677</v>
      </c>
      <c r="K63">
        <f t="shared" si="2"/>
        <v>43.426413167924821</v>
      </c>
      <c r="L63">
        <f t="shared" si="3"/>
        <v>0</v>
      </c>
      <c r="M63">
        <f t="shared" si="4"/>
        <v>0</v>
      </c>
      <c r="O63">
        <f>ETR!K63</f>
        <v>1.1069679411137097</v>
      </c>
      <c r="P63">
        <f t="shared" si="5"/>
        <v>52.757970111409257</v>
      </c>
      <c r="Q63">
        <f t="shared" si="0"/>
        <v>0</v>
      </c>
      <c r="R63">
        <f t="shared" si="6"/>
        <v>0</v>
      </c>
    </row>
    <row r="64" spans="1:18" x14ac:dyDescent="0.35">
      <c r="A64" s="8">
        <f>ETR!A64</f>
        <v>42112</v>
      </c>
      <c r="B64">
        <f t="shared" si="1"/>
        <v>4</v>
      </c>
      <c r="C64">
        <f>Initialisation!$C$11</f>
        <v>68.40100000000001</v>
      </c>
      <c r="D64">
        <f>Initialisation!$C$12</f>
        <v>22.800333333333334</v>
      </c>
      <c r="E64">
        <v>0</v>
      </c>
      <c r="G64">
        <f>MeteoJ!C64</f>
        <v>11.6</v>
      </c>
      <c r="J64">
        <f>ETR!F64</f>
        <v>1.2538086780761184</v>
      </c>
      <c r="K64">
        <f t="shared" si="2"/>
        <v>42.913162248531052</v>
      </c>
      <c r="L64">
        <f t="shared" si="3"/>
        <v>0</v>
      </c>
      <c r="M64">
        <f t="shared" si="4"/>
        <v>0</v>
      </c>
      <c r="O64">
        <f>ETR!K64</f>
        <v>0.98543459308705506</v>
      </c>
      <c r="P64">
        <f t="shared" si="5"/>
        <v>52.551002170295547</v>
      </c>
      <c r="Q64">
        <f t="shared" si="0"/>
        <v>0</v>
      </c>
      <c r="R64">
        <f t="shared" si="6"/>
        <v>0</v>
      </c>
    </row>
    <row r="65" spans="1:18" x14ac:dyDescent="0.35">
      <c r="A65" s="8">
        <f>ETR!A65</f>
        <v>42113</v>
      </c>
      <c r="B65">
        <f t="shared" si="1"/>
        <v>4</v>
      </c>
      <c r="C65">
        <f>Initialisation!$C$11</f>
        <v>68.40100000000001</v>
      </c>
      <c r="D65">
        <f>Initialisation!$C$12</f>
        <v>22.800333333333334</v>
      </c>
      <c r="E65">
        <v>0</v>
      </c>
      <c r="G65">
        <f>MeteoJ!C65</f>
        <v>11.2</v>
      </c>
      <c r="J65">
        <f>ETR!F65</f>
        <v>0.99196694570776511</v>
      </c>
      <c r="K65">
        <f t="shared" si="2"/>
        <v>53.259353570454934</v>
      </c>
      <c r="L65">
        <f t="shared" si="3"/>
        <v>0</v>
      </c>
      <c r="M65">
        <f t="shared" si="4"/>
        <v>0</v>
      </c>
      <c r="O65">
        <f>ETR!K65</f>
        <v>0.786711054636545</v>
      </c>
      <c r="P65">
        <f t="shared" si="5"/>
        <v>63.165567577208485</v>
      </c>
      <c r="Q65">
        <f t="shared" si="0"/>
        <v>0</v>
      </c>
      <c r="R65">
        <f t="shared" si="6"/>
        <v>0</v>
      </c>
    </row>
    <row r="66" spans="1:18" x14ac:dyDescent="0.35">
      <c r="A66" s="8">
        <f>ETR!A66</f>
        <v>42114</v>
      </c>
      <c r="B66">
        <f t="shared" si="1"/>
        <v>4</v>
      </c>
      <c r="C66">
        <f>Initialisation!$C$11</f>
        <v>68.40100000000001</v>
      </c>
      <c r="D66">
        <f>Initialisation!$C$12</f>
        <v>22.800333333333334</v>
      </c>
      <c r="E66">
        <v>0</v>
      </c>
      <c r="G66">
        <f>MeteoJ!C66</f>
        <v>0</v>
      </c>
      <c r="J66">
        <f>ETR!F66</f>
        <v>1.5233700167059836</v>
      </c>
      <c r="K66">
        <f t="shared" si="2"/>
        <v>63.467386624747171</v>
      </c>
      <c r="L66">
        <f t="shared" si="3"/>
        <v>0</v>
      </c>
      <c r="M66">
        <f t="shared" si="4"/>
        <v>0</v>
      </c>
      <c r="O66">
        <f>ETR!K66</f>
        <v>1.1897616843568668</v>
      </c>
      <c r="P66">
        <f t="shared" si="5"/>
        <v>68.40100000000001</v>
      </c>
      <c r="Q66">
        <f t="shared" si="0"/>
        <v>0</v>
      </c>
      <c r="R66">
        <f t="shared" si="6"/>
        <v>0</v>
      </c>
    </row>
    <row r="67" spans="1:18" x14ac:dyDescent="0.35">
      <c r="A67" s="8">
        <f>ETR!A67</f>
        <v>42115</v>
      </c>
      <c r="B67">
        <f t="shared" ref="B67:B130" si="7">MONTH(A67)</f>
        <v>4</v>
      </c>
      <c r="C67">
        <f>Initialisation!$C$11</f>
        <v>68.40100000000001</v>
      </c>
      <c r="D67">
        <f>Initialisation!$C$12</f>
        <v>22.800333333333334</v>
      </c>
      <c r="E67">
        <v>0</v>
      </c>
      <c r="G67">
        <f>MeteoJ!C67</f>
        <v>0</v>
      </c>
      <c r="J67">
        <f>ETR!F67</f>
        <v>2.2667714877404852</v>
      </c>
      <c r="K67">
        <f t="shared" si="2"/>
        <v>61.944016608041188</v>
      </c>
      <c r="L67">
        <f t="shared" si="3"/>
        <v>0</v>
      </c>
      <c r="M67">
        <f t="shared" si="4"/>
        <v>0</v>
      </c>
      <c r="O67">
        <f>ETR!K67</f>
        <v>1.7545979657638635</v>
      </c>
      <c r="P67">
        <f t="shared" si="5"/>
        <v>67.211238315643143</v>
      </c>
      <c r="Q67">
        <f t="shared" si="0"/>
        <v>0</v>
      </c>
      <c r="R67">
        <f t="shared" si="6"/>
        <v>0</v>
      </c>
    </row>
    <row r="68" spans="1:18" x14ac:dyDescent="0.35">
      <c r="A68" s="8">
        <f>ETR!A68</f>
        <v>42116</v>
      </c>
      <c r="B68">
        <f t="shared" si="7"/>
        <v>4</v>
      </c>
      <c r="C68">
        <f>Initialisation!$C$11</f>
        <v>68.40100000000001</v>
      </c>
      <c r="D68">
        <f>Initialisation!$C$12</f>
        <v>22.800333333333334</v>
      </c>
      <c r="E68">
        <v>0</v>
      </c>
      <c r="G68">
        <f>MeteoJ!C68</f>
        <v>0.1</v>
      </c>
      <c r="J68">
        <f>ETR!F68</f>
        <v>1.985395048284079</v>
      </c>
      <c r="K68">
        <f t="shared" ref="K68:K131" si="8">IF($K67+$G67+$L67-$J67&gt;=$C$2,$C$2,IF($K67+$G67+$L67-$J67&gt;$D$2,$K67+$G67+$L67-$J67,IF($K67+$G67+$L67-$J67&gt;0,$K67+$G67+$L67-$J67*($K67/$D$2),$K67+$G67+$L67-$J67*($K67/$D$2))))</f>
        <v>59.677245120300704</v>
      </c>
      <c r="L68">
        <f t="shared" ref="L68:L131" si="9">IF($K68+$G68-$J68&lt;2/3*$D68,2/3*$D68,0)</f>
        <v>0</v>
      </c>
      <c r="M68">
        <f t="shared" ref="M68:M131" si="10">M67+L67</f>
        <v>0</v>
      </c>
      <c r="O68">
        <f>ETR!K68</f>
        <v>1.5426723168457916</v>
      </c>
      <c r="P68">
        <f t="shared" ref="P68:P131" si="11">IF($P67+$G67+$Q67-$O67&gt;=$C$2,$C$2,IF($P67+$G67+$Q67-$O67&gt;$D$2,$P67+$G67+$Q67-$O67,IF($P67+$G67+$Q67-$O67&gt;0,$P67+$G67+$Q67-$O67*($P67/$D$2),$P67+$G67+$Q67-$O67*($P67/$D$2))))</f>
        <v>65.456640349879279</v>
      </c>
      <c r="Q68">
        <f t="shared" ref="Q68:Q131" si="12">IF($P68+$G68-$O68&lt;2/3*$D68,2/3*$D68,0)</f>
        <v>0</v>
      </c>
      <c r="R68">
        <f t="shared" ref="R68:R131" si="13">R67+Q67</f>
        <v>0</v>
      </c>
    </row>
    <row r="69" spans="1:18" x14ac:dyDescent="0.35">
      <c r="A69" s="8">
        <f>ETR!A69</f>
        <v>42117</v>
      </c>
      <c r="B69">
        <f t="shared" si="7"/>
        <v>4</v>
      </c>
      <c r="C69">
        <f>Initialisation!$C$11</f>
        <v>68.40100000000001</v>
      </c>
      <c r="D69">
        <f>Initialisation!$C$12</f>
        <v>22.800333333333334</v>
      </c>
      <c r="E69">
        <v>0</v>
      </c>
      <c r="G69">
        <f>MeteoJ!C69</f>
        <v>1.3</v>
      </c>
      <c r="J69">
        <f>ETR!F69</f>
        <v>1.222212083216216</v>
      </c>
      <c r="K69">
        <f t="shared" si="8"/>
        <v>57.791850072016629</v>
      </c>
      <c r="L69">
        <f t="shared" si="9"/>
        <v>0</v>
      </c>
      <c r="M69">
        <f t="shared" si="10"/>
        <v>0</v>
      </c>
      <c r="O69">
        <f>ETR!K69</f>
        <v>0.9634599237825473</v>
      </c>
      <c r="P69">
        <f t="shared" si="11"/>
        <v>64.013968033033478</v>
      </c>
      <c r="Q69">
        <f t="shared" si="12"/>
        <v>0</v>
      </c>
      <c r="R69">
        <f t="shared" si="13"/>
        <v>0</v>
      </c>
    </row>
    <row r="70" spans="1:18" x14ac:dyDescent="0.35">
      <c r="A70" s="8">
        <f>ETR!A70</f>
        <v>42118</v>
      </c>
      <c r="B70">
        <f t="shared" si="7"/>
        <v>4</v>
      </c>
      <c r="C70">
        <f>Initialisation!$C$11</f>
        <v>68.40100000000001</v>
      </c>
      <c r="D70">
        <f>Initialisation!$C$12</f>
        <v>22.800333333333334</v>
      </c>
      <c r="E70">
        <v>0</v>
      </c>
      <c r="G70">
        <f>MeteoJ!C70</f>
        <v>0</v>
      </c>
      <c r="J70">
        <f>ETR!F70</f>
        <v>1.7381481116722943</v>
      </c>
      <c r="K70">
        <f t="shared" si="8"/>
        <v>57.869637988800413</v>
      </c>
      <c r="L70">
        <f t="shared" si="9"/>
        <v>0</v>
      </c>
      <c r="M70">
        <f t="shared" si="10"/>
        <v>0</v>
      </c>
      <c r="O70">
        <f>ETR!K70</f>
        <v>1.3534388719449113</v>
      </c>
      <c r="P70">
        <f t="shared" si="11"/>
        <v>64.350508109250924</v>
      </c>
      <c r="Q70">
        <f t="shared" si="12"/>
        <v>0</v>
      </c>
      <c r="R70">
        <f t="shared" si="13"/>
        <v>0</v>
      </c>
    </row>
    <row r="71" spans="1:18" x14ac:dyDescent="0.35">
      <c r="A71" s="8">
        <f>ETR!A71</f>
        <v>42119</v>
      </c>
      <c r="B71">
        <f t="shared" si="7"/>
        <v>4</v>
      </c>
      <c r="C71">
        <f>Initialisation!$C$11</f>
        <v>68.40100000000001</v>
      </c>
      <c r="D71">
        <f>Initialisation!$C$12</f>
        <v>22.800333333333334</v>
      </c>
      <c r="E71">
        <v>0</v>
      </c>
      <c r="G71">
        <f>MeteoJ!C71</f>
        <v>1.6</v>
      </c>
      <c r="J71">
        <f>ETR!F71</f>
        <v>2.0929915114528685</v>
      </c>
      <c r="K71">
        <f t="shared" si="8"/>
        <v>56.131489877128118</v>
      </c>
      <c r="L71">
        <f t="shared" si="9"/>
        <v>0</v>
      </c>
      <c r="M71">
        <f t="shared" si="10"/>
        <v>0</v>
      </c>
      <c r="O71">
        <f>ETR!K71</f>
        <v>1.6245596232026369</v>
      </c>
      <c r="P71">
        <f t="shared" si="11"/>
        <v>62.997069237306015</v>
      </c>
      <c r="Q71">
        <f t="shared" si="12"/>
        <v>0</v>
      </c>
      <c r="R71">
        <f t="shared" si="13"/>
        <v>0</v>
      </c>
    </row>
    <row r="72" spans="1:18" x14ac:dyDescent="0.35">
      <c r="A72" s="8">
        <f>ETR!A72</f>
        <v>42120</v>
      </c>
      <c r="B72">
        <f t="shared" si="7"/>
        <v>4</v>
      </c>
      <c r="C72">
        <f>Initialisation!$C$11</f>
        <v>68.40100000000001</v>
      </c>
      <c r="D72">
        <f>Initialisation!$C$12</f>
        <v>22.800333333333334</v>
      </c>
      <c r="E72">
        <v>0</v>
      </c>
      <c r="G72">
        <f>MeteoJ!C72</f>
        <v>10.3</v>
      </c>
      <c r="J72">
        <f>ETR!F72</f>
        <v>1.1740524810151187</v>
      </c>
      <c r="K72">
        <f t="shared" si="8"/>
        <v>55.638498365675254</v>
      </c>
      <c r="L72">
        <f t="shared" si="9"/>
        <v>0</v>
      </c>
      <c r="M72">
        <f t="shared" si="10"/>
        <v>0</v>
      </c>
      <c r="O72">
        <f>ETR!K72</f>
        <v>0.92809521112328852</v>
      </c>
      <c r="P72">
        <f t="shared" si="11"/>
        <v>62.97250961410338</v>
      </c>
      <c r="Q72">
        <f t="shared" si="12"/>
        <v>0</v>
      </c>
      <c r="R72">
        <f t="shared" si="13"/>
        <v>0</v>
      </c>
    </row>
    <row r="73" spans="1:18" x14ac:dyDescent="0.35">
      <c r="A73" s="8">
        <f>ETR!A73</f>
        <v>42121</v>
      </c>
      <c r="B73">
        <f t="shared" si="7"/>
        <v>4</v>
      </c>
      <c r="C73">
        <f>Initialisation!$C$11</f>
        <v>68.40100000000001</v>
      </c>
      <c r="D73">
        <f>Initialisation!$C$12</f>
        <v>22.800333333333334</v>
      </c>
      <c r="E73">
        <v>0</v>
      </c>
      <c r="G73">
        <f>MeteoJ!C73</f>
        <v>3.6</v>
      </c>
      <c r="J73">
        <f>ETR!F73</f>
        <v>1.312658633739018</v>
      </c>
      <c r="K73">
        <f t="shared" si="8"/>
        <v>64.764445884660134</v>
      </c>
      <c r="L73">
        <f t="shared" si="9"/>
        <v>0</v>
      </c>
      <c r="M73">
        <f t="shared" si="10"/>
        <v>0</v>
      </c>
      <c r="O73">
        <f>ETR!K73</f>
        <v>1.0303991106394772</v>
      </c>
      <c r="P73">
        <f t="shared" si="11"/>
        <v>68.40100000000001</v>
      </c>
      <c r="Q73">
        <f t="shared" si="12"/>
        <v>0</v>
      </c>
      <c r="R73">
        <f t="shared" si="13"/>
        <v>0</v>
      </c>
    </row>
    <row r="74" spans="1:18" x14ac:dyDescent="0.35">
      <c r="A74" s="8">
        <f>ETR!A74</f>
        <v>42122</v>
      </c>
      <c r="B74">
        <f t="shared" si="7"/>
        <v>4</v>
      </c>
      <c r="C74">
        <f>Initialisation!$C$11</f>
        <v>68.40100000000001</v>
      </c>
      <c r="D74">
        <f>Initialisation!$C$12</f>
        <v>22.800333333333334</v>
      </c>
      <c r="E74">
        <v>0</v>
      </c>
      <c r="G74">
        <f>MeteoJ!C74</f>
        <v>0</v>
      </c>
      <c r="J74">
        <f>ETR!F74</f>
        <v>1.3294985776824642</v>
      </c>
      <c r="K74">
        <f t="shared" si="8"/>
        <v>67.051787250921109</v>
      </c>
      <c r="L74">
        <f t="shared" si="9"/>
        <v>0</v>
      </c>
      <c r="M74">
        <f t="shared" si="10"/>
        <v>0</v>
      </c>
      <c r="O74">
        <f>ETR!K74</f>
        <v>1.0404603795056291</v>
      </c>
      <c r="P74">
        <f t="shared" si="11"/>
        <v>68.40100000000001</v>
      </c>
      <c r="Q74">
        <f t="shared" si="12"/>
        <v>0</v>
      </c>
      <c r="R74">
        <f t="shared" si="13"/>
        <v>0</v>
      </c>
    </row>
    <row r="75" spans="1:18" x14ac:dyDescent="0.35">
      <c r="A75" s="8">
        <f>ETR!A75</f>
        <v>42123</v>
      </c>
      <c r="B75">
        <f t="shared" si="7"/>
        <v>4</v>
      </c>
      <c r="C75">
        <f>Initialisation!$C$11</f>
        <v>68.40100000000001</v>
      </c>
      <c r="D75">
        <f>Initialisation!$C$12</f>
        <v>22.800333333333334</v>
      </c>
      <c r="E75">
        <v>0</v>
      </c>
      <c r="G75">
        <f>MeteoJ!C75</f>
        <v>0</v>
      </c>
      <c r="J75">
        <f>ETR!F75</f>
        <v>1.7786992190283599</v>
      </c>
      <c r="K75">
        <f t="shared" si="8"/>
        <v>65.722288673238651</v>
      </c>
      <c r="L75">
        <f t="shared" si="9"/>
        <v>0</v>
      </c>
      <c r="M75">
        <f t="shared" si="10"/>
        <v>0</v>
      </c>
      <c r="O75">
        <f>ETR!K75</f>
        <v>1.379586868504481</v>
      </c>
      <c r="P75">
        <f t="shared" si="11"/>
        <v>67.360539620494379</v>
      </c>
      <c r="Q75">
        <f t="shared" si="12"/>
        <v>0</v>
      </c>
      <c r="R75">
        <f t="shared" si="13"/>
        <v>0</v>
      </c>
    </row>
    <row r="76" spans="1:18" x14ac:dyDescent="0.35">
      <c r="A76" s="8">
        <f>ETR!A76</f>
        <v>42124</v>
      </c>
      <c r="B76">
        <f t="shared" si="7"/>
        <v>4</v>
      </c>
      <c r="C76">
        <f>Initialisation!$C$11</f>
        <v>68.40100000000001</v>
      </c>
      <c r="D76">
        <f>Initialisation!$C$12</f>
        <v>22.800333333333334</v>
      </c>
      <c r="E76">
        <v>0</v>
      </c>
      <c r="G76">
        <f>MeteoJ!C76</f>
        <v>1.1000000000000001</v>
      </c>
      <c r="J76">
        <f>ETR!F76</f>
        <v>1.1615781659851809</v>
      </c>
      <c r="K76">
        <f t="shared" si="8"/>
        <v>63.94358945421029</v>
      </c>
      <c r="L76">
        <f t="shared" si="9"/>
        <v>0</v>
      </c>
      <c r="M76">
        <f t="shared" si="10"/>
        <v>0</v>
      </c>
      <c r="O76">
        <f>ETR!K76</f>
        <v>0.91403020329079765</v>
      </c>
      <c r="P76">
        <f t="shared" si="11"/>
        <v>65.980952751989904</v>
      </c>
      <c r="Q76">
        <f t="shared" si="12"/>
        <v>0</v>
      </c>
      <c r="R76">
        <f t="shared" si="13"/>
        <v>0</v>
      </c>
    </row>
    <row r="77" spans="1:18" x14ac:dyDescent="0.35">
      <c r="A77" s="8">
        <f>ETR!A77</f>
        <v>42125</v>
      </c>
      <c r="B77">
        <f t="shared" si="7"/>
        <v>5</v>
      </c>
      <c r="C77">
        <f>Initialisation!$C$11</f>
        <v>68.40100000000001</v>
      </c>
      <c r="D77">
        <f>Initialisation!$C$12</f>
        <v>22.800333333333334</v>
      </c>
      <c r="E77">
        <v>0</v>
      </c>
      <c r="G77">
        <f>MeteoJ!C77</f>
        <v>12</v>
      </c>
      <c r="J77">
        <f>ETR!F77</f>
        <v>0.49948105421008404</v>
      </c>
      <c r="K77">
        <f t="shared" si="8"/>
        <v>63.882011288225108</v>
      </c>
      <c r="L77">
        <f t="shared" si="9"/>
        <v>0</v>
      </c>
      <c r="M77">
        <f t="shared" si="10"/>
        <v>0</v>
      </c>
      <c r="O77">
        <f>ETR!K77</f>
        <v>0.41683989705540553</v>
      </c>
      <c r="P77">
        <f t="shared" si="11"/>
        <v>66.166922548699105</v>
      </c>
      <c r="Q77">
        <f t="shared" si="12"/>
        <v>0</v>
      </c>
      <c r="R77">
        <f t="shared" si="13"/>
        <v>0</v>
      </c>
    </row>
    <row r="78" spans="1:18" x14ac:dyDescent="0.35">
      <c r="A78" s="8">
        <f>ETR!A78</f>
        <v>42126</v>
      </c>
      <c r="B78">
        <f t="shared" si="7"/>
        <v>5</v>
      </c>
      <c r="C78">
        <f>Initialisation!$C$11</f>
        <v>68.40100000000001</v>
      </c>
      <c r="D78">
        <f>Initialisation!$C$12</f>
        <v>22.800333333333334</v>
      </c>
      <c r="E78">
        <v>0</v>
      </c>
      <c r="G78">
        <f>MeteoJ!C78</f>
        <v>9.1999999999999993</v>
      </c>
      <c r="J78">
        <f>ETR!F78</f>
        <v>0.56309400134039322</v>
      </c>
      <c r="K78">
        <f t="shared" si="8"/>
        <v>68.40100000000001</v>
      </c>
      <c r="L78">
        <f t="shared" si="9"/>
        <v>0</v>
      </c>
      <c r="M78">
        <f t="shared" si="10"/>
        <v>0</v>
      </c>
      <c r="O78">
        <f>ETR!K78</f>
        <v>0.46563648828786131</v>
      </c>
      <c r="P78">
        <f t="shared" si="11"/>
        <v>68.40100000000001</v>
      </c>
      <c r="Q78">
        <f t="shared" si="12"/>
        <v>0</v>
      </c>
      <c r="R78">
        <f t="shared" si="13"/>
        <v>0</v>
      </c>
    </row>
    <row r="79" spans="1:18" x14ac:dyDescent="0.35">
      <c r="A79" s="8">
        <f>ETR!A79</f>
        <v>42127</v>
      </c>
      <c r="B79">
        <f t="shared" si="7"/>
        <v>5</v>
      </c>
      <c r="C79">
        <f>Initialisation!$C$11</f>
        <v>68.40100000000001</v>
      </c>
      <c r="D79">
        <f>Initialisation!$C$12</f>
        <v>22.800333333333334</v>
      </c>
      <c r="E79">
        <v>0</v>
      </c>
      <c r="G79">
        <f>MeteoJ!C79</f>
        <v>1.5</v>
      </c>
      <c r="J79">
        <f>ETR!F79</f>
        <v>1.4258359569607941</v>
      </c>
      <c r="K79">
        <f t="shared" si="8"/>
        <v>68.40100000000001</v>
      </c>
      <c r="L79">
        <f t="shared" si="9"/>
        <v>0</v>
      </c>
      <c r="M79">
        <f t="shared" si="10"/>
        <v>0</v>
      </c>
      <c r="O79">
        <f>ETR!K79</f>
        <v>1.1210466839981266</v>
      </c>
      <c r="P79">
        <f t="shared" si="11"/>
        <v>68.40100000000001</v>
      </c>
      <c r="Q79">
        <f t="shared" si="12"/>
        <v>0</v>
      </c>
      <c r="R79">
        <f t="shared" si="13"/>
        <v>0</v>
      </c>
    </row>
    <row r="80" spans="1:18" x14ac:dyDescent="0.35">
      <c r="A80" s="8">
        <f>ETR!A80</f>
        <v>42128</v>
      </c>
      <c r="B80">
        <f t="shared" si="7"/>
        <v>5</v>
      </c>
      <c r="C80">
        <f>Initialisation!$C$11</f>
        <v>68.40100000000001</v>
      </c>
      <c r="D80">
        <f>Initialisation!$C$12</f>
        <v>22.800333333333334</v>
      </c>
      <c r="E80">
        <v>0</v>
      </c>
      <c r="G80">
        <f>MeteoJ!C80</f>
        <v>2.2000000000000002</v>
      </c>
      <c r="J80">
        <f>ETR!F80</f>
        <v>1.2843068459577567</v>
      </c>
      <c r="K80">
        <f t="shared" si="8"/>
        <v>68.40100000000001</v>
      </c>
      <c r="L80">
        <f t="shared" si="9"/>
        <v>0</v>
      </c>
      <c r="M80">
        <f t="shared" si="10"/>
        <v>0</v>
      </c>
      <c r="O80">
        <f>ETR!K80</f>
        <v>1.0153066003984885</v>
      </c>
      <c r="P80">
        <f t="shared" si="11"/>
        <v>68.40100000000001</v>
      </c>
      <c r="Q80">
        <f t="shared" si="12"/>
        <v>0</v>
      </c>
      <c r="R80">
        <f t="shared" si="13"/>
        <v>0</v>
      </c>
    </row>
    <row r="81" spans="1:18" x14ac:dyDescent="0.35">
      <c r="A81" s="8">
        <f>ETR!A81</f>
        <v>42129</v>
      </c>
      <c r="B81">
        <f t="shared" si="7"/>
        <v>5</v>
      </c>
      <c r="C81">
        <f>Initialisation!$C$11</f>
        <v>68.40100000000001</v>
      </c>
      <c r="D81">
        <f>Initialisation!$C$12</f>
        <v>22.800333333333334</v>
      </c>
      <c r="E81">
        <v>0</v>
      </c>
      <c r="G81">
        <f>MeteoJ!C81</f>
        <v>0.7</v>
      </c>
      <c r="J81">
        <f>ETR!F81</f>
        <v>1.2876668962020905</v>
      </c>
      <c r="K81">
        <f t="shared" si="8"/>
        <v>68.40100000000001</v>
      </c>
      <c r="L81">
        <f t="shared" si="9"/>
        <v>0</v>
      </c>
      <c r="M81">
        <f t="shared" si="10"/>
        <v>0</v>
      </c>
      <c r="O81">
        <f>ETR!K81</f>
        <v>1.0142384684772039</v>
      </c>
      <c r="P81">
        <f t="shared" si="11"/>
        <v>68.40100000000001</v>
      </c>
      <c r="Q81">
        <f t="shared" si="12"/>
        <v>0</v>
      </c>
      <c r="R81">
        <f t="shared" si="13"/>
        <v>0</v>
      </c>
    </row>
    <row r="82" spans="1:18" x14ac:dyDescent="0.35">
      <c r="A82" s="8">
        <f>ETR!A82</f>
        <v>42130</v>
      </c>
      <c r="B82">
        <f t="shared" si="7"/>
        <v>5</v>
      </c>
      <c r="C82">
        <f>Initialisation!$C$11</f>
        <v>68.40100000000001</v>
      </c>
      <c r="D82">
        <f>Initialisation!$C$12</f>
        <v>22.800333333333334</v>
      </c>
      <c r="E82">
        <v>0</v>
      </c>
      <c r="G82">
        <f>MeteoJ!C82</f>
        <v>0</v>
      </c>
      <c r="J82">
        <f>ETR!F82</f>
        <v>1.5282986899227442</v>
      </c>
      <c r="K82">
        <f t="shared" si="8"/>
        <v>67.813333103797916</v>
      </c>
      <c r="L82">
        <f t="shared" si="9"/>
        <v>0</v>
      </c>
      <c r="M82">
        <f t="shared" si="10"/>
        <v>0</v>
      </c>
      <c r="O82">
        <f>ETR!K82</f>
        <v>1.1932035210866867</v>
      </c>
      <c r="P82">
        <f t="shared" si="11"/>
        <v>68.086761531522811</v>
      </c>
      <c r="Q82">
        <f t="shared" si="12"/>
        <v>0</v>
      </c>
      <c r="R82">
        <f t="shared" si="13"/>
        <v>0</v>
      </c>
    </row>
    <row r="83" spans="1:18" x14ac:dyDescent="0.35">
      <c r="A83" s="8">
        <f>ETR!A83</f>
        <v>42131</v>
      </c>
      <c r="B83">
        <f t="shared" si="7"/>
        <v>5</v>
      </c>
      <c r="C83">
        <f>Initialisation!$C$11</f>
        <v>68.40100000000001</v>
      </c>
      <c r="D83">
        <f>Initialisation!$C$12</f>
        <v>22.800333333333334</v>
      </c>
      <c r="E83">
        <v>0</v>
      </c>
      <c r="G83">
        <f>MeteoJ!C83</f>
        <v>0.5</v>
      </c>
      <c r="J83">
        <f>ETR!F83</f>
        <v>1.8907159272577696</v>
      </c>
      <c r="K83">
        <f t="shared" si="8"/>
        <v>66.285034413875167</v>
      </c>
      <c r="L83">
        <f t="shared" si="9"/>
        <v>0</v>
      </c>
      <c r="M83">
        <f t="shared" si="10"/>
        <v>0</v>
      </c>
      <c r="O83">
        <f>ETR!K83</f>
        <v>1.4681024262846571</v>
      </c>
      <c r="P83">
        <f t="shared" si="11"/>
        <v>66.893558010436124</v>
      </c>
      <c r="Q83">
        <f t="shared" si="12"/>
        <v>0</v>
      </c>
      <c r="R83">
        <f t="shared" si="13"/>
        <v>0</v>
      </c>
    </row>
    <row r="84" spans="1:18" x14ac:dyDescent="0.35">
      <c r="A84" s="8">
        <f>ETR!A84</f>
        <v>42132</v>
      </c>
      <c r="B84">
        <f t="shared" si="7"/>
        <v>5</v>
      </c>
      <c r="C84">
        <f>Initialisation!$C$11</f>
        <v>68.40100000000001</v>
      </c>
      <c r="D84">
        <f>Initialisation!$C$12</f>
        <v>22.800333333333334</v>
      </c>
      <c r="E84">
        <v>0</v>
      </c>
      <c r="G84">
        <f>MeteoJ!C84</f>
        <v>9</v>
      </c>
      <c r="J84">
        <f>ETR!F84</f>
        <v>1.9803393635827811</v>
      </c>
      <c r="K84">
        <f t="shared" si="8"/>
        <v>64.894318486617394</v>
      </c>
      <c r="L84">
        <f t="shared" si="9"/>
        <v>0</v>
      </c>
      <c r="M84">
        <f t="shared" si="10"/>
        <v>0</v>
      </c>
      <c r="O84">
        <f>ETR!K84</f>
        <v>1.5381720617760311</v>
      </c>
      <c r="P84">
        <f t="shared" si="11"/>
        <v>65.925455584151464</v>
      </c>
      <c r="Q84">
        <f t="shared" si="12"/>
        <v>0</v>
      </c>
      <c r="R84">
        <f t="shared" si="13"/>
        <v>0</v>
      </c>
    </row>
    <row r="85" spans="1:18" x14ac:dyDescent="0.35">
      <c r="A85" s="8">
        <f>ETR!A85</f>
        <v>42133</v>
      </c>
      <c r="B85">
        <f t="shared" si="7"/>
        <v>5</v>
      </c>
      <c r="C85">
        <f>Initialisation!$C$11</f>
        <v>68.40100000000001</v>
      </c>
      <c r="D85">
        <f>Initialisation!$C$12</f>
        <v>22.800333333333334</v>
      </c>
      <c r="E85">
        <v>0</v>
      </c>
      <c r="G85">
        <f>MeteoJ!C85</f>
        <v>0</v>
      </c>
      <c r="J85">
        <f>ETR!F85</f>
        <v>1.5397259138378707</v>
      </c>
      <c r="K85">
        <f t="shared" si="8"/>
        <v>68.40100000000001</v>
      </c>
      <c r="L85">
        <f t="shared" si="9"/>
        <v>0</v>
      </c>
      <c r="M85">
        <f t="shared" si="10"/>
        <v>0</v>
      </c>
      <c r="O85">
        <f>ETR!K85</f>
        <v>1.2043222828896754</v>
      </c>
      <c r="P85">
        <f t="shared" si="11"/>
        <v>68.40100000000001</v>
      </c>
      <c r="Q85">
        <f t="shared" si="12"/>
        <v>0</v>
      </c>
      <c r="R85">
        <f t="shared" si="13"/>
        <v>0</v>
      </c>
    </row>
    <row r="86" spans="1:18" x14ac:dyDescent="0.35">
      <c r="A86" s="8">
        <f>ETR!A86</f>
        <v>42134</v>
      </c>
      <c r="B86">
        <f t="shared" si="7"/>
        <v>5</v>
      </c>
      <c r="C86">
        <f>Initialisation!$C$11</f>
        <v>68.40100000000001</v>
      </c>
      <c r="D86">
        <f>Initialisation!$C$12</f>
        <v>22.800333333333334</v>
      </c>
      <c r="E86">
        <v>0</v>
      </c>
      <c r="G86">
        <f>MeteoJ!C86</f>
        <v>0</v>
      </c>
      <c r="J86">
        <f>ETR!F86</f>
        <v>2.4871582744025953</v>
      </c>
      <c r="K86">
        <f t="shared" si="8"/>
        <v>66.86127408616214</v>
      </c>
      <c r="L86">
        <f t="shared" si="9"/>
        <v>0</v>
      </c>
      <c r="M86">
        <f t="shared" si="10"/>
        <v>0</v>
      </c>
      <c r="O86">
        <f>ETR!K86</f>
        <v>1.9226886651862889</v>
      </c>
      <c r="P86">
        <f t="shared" si="11"/>
        <v>67.196677717110333</v>
      </c>
      <c r="Q86">
        <f t="shared" si="12"/>
        <v>0</v>
      </c>
      <c r="R86">
        <f t="shared" si="13"/>
        <v>0</v>
      </c>
    </row>
    <row r="87" spans="1:18" x14ac:dyDescent="0.35">
      <c r="A87" s="8">
        <f>ETR!A87</f>
        <v>42135</v>
      </c>
      <c r="B87">
        <f t="shared" si="7"/>
        <v>5</v>
      </c>
      <c r="C87">
        <f>Initialisation!$C$11</f>
        <v>68.40100000000001</v>
      </c>
      <c r="D87">
        <f>Initialisation!$C$12</f>
        <v>22.800333333333334</v>
      </c>
      <c r="E87">
        <v>0</v>
      </c>
      <c r="G87">
        <f>MeteoJ!C87</f>
        <v>0</v>
      </c>
      <c r="J87">
        <f>ETR!F87</f>
        <v>2.4967200970084362</v>
      </c>
      <c r="K87">
        <f t="shared" si="8"/>
        <v>64.374115811759552</v>
      </c>
      <c r="L87">
        <f t="shared" si="9"/>
        <v>0</v>
      </c>
      <c r="M87">
        <f t="shared" si="10"/>
        <v>0</v>
      </c>
      <c r="O87">
        <f>ETR!K87</f>
        <v>1.9327911145913701</v>
      </c>
      <c r="P87">
        <f t="shared" si="11"/>
        <v>65.273989051924048</v>
      </c>
      <c r="Q87">
        <f t="shared" si="12"/>
        <v>0</v>
      </c>
      <c r="R87">
        <f t="shared" si="13"/>
        <v>0</v>
      </c>
    </row>
    <row r="88" spans="1:18" x14ac:dyDescent="0.35">
      <c r="A88" s="8">
        <f>ETR!A88</f>
        <v>42136</v>
      </c>
      <c r="B88">
        <f t="shared" si="7"/>
        <v>5</v>
      </c>
      <c r="C88">
        <f>Initialisation!$C$11</f>
        <v>68.40100000000001</v>
      </c>
      <c r="D88">
        <f>Initialisation!$C$12</f>
        <v>22.800333333333334</v>
      </c>
      <c r="E88">
        <v>0</v>
      </c>
      <c r="G88">
        <f>MeteoJ!C88</f>
        <v>0</v>
      </c>
      <c r="J88">
        <f>ETR!F88</f>
        <v>2.4760764017925636</v>
      </c>
      <c r="K88">
        <f t="shared" si="8"/>
        <v>61.877395714751117</v>
      </c>
      <c r="L88">
        <f t="shared" si="9"/>
        <v>0</v>
      </c>
      <c r="M88">
        <f t="shared" si="10"/>
        <v>0</v>
      </c>
      <c r="O88">
        <f>ETR!K88</f>
        <v>1.91572338546882</v>
      </c>
      <c r="P88">
        <f t="shared" si="11"/>
        <v>63.34119793733268</v>
      </c>
      <c r="Q88">
        <f t="shared" si="12"/>
        <v>0</v>
      </c>
      <c r="R88">
        <f t="shared" si="13"/>
        <v>0</v>
      </c>
    </row>
    <row r="89" spans="1:18" x14ac:dyDescent="0.35">
      <c r="A89" s="8">
        <f>ETR!A89</f>
        <v>42137</v>
      </c>
      <c r="B89">
        <f t="shared" si="7"/>
        <v>5</v>
      </c>
      <c r="C89">
        <f>Initialisation!$C$11</f>
        <v>68.40100000000001</v>
      </c>
      <c r="D89">
        <f>Initialisation!$C$12</f>
        <v>22.800333333333334</v>
      </c>
      <c r="E89">
        <v>0</v>
      </c>
      <c r="G89">
        <f>MeteoJ!C89</f>
        <v>0</v>
      </c>
      <c r="J89">
        <f>ETR!F89</f>
        <v>2.5730934046551726</v>
      </c>
      <c r="K89">
        <f t="shared" si="8"/>
        <v>59.401319312958556</v>
      </c>
      <c r="L89">
        <f t="shared" si="9"/>
        <v>0</v>
      </c>
      <c r="M89">
        <f t="shared" si="10"/>
        <v>0</v>
      </c>
      <c r="O89">
        <f>ETR!K89</f>
        <v>1.9897805345336643</v>
      </c>
      <c r="P89">
        <f t="shared" si="11"/>
        <v>61.425474551863857</v>
      </c>
      <c r="Q89">
        <f t="shared" si="12"/>
        <v>0</v>
      </c>
      <c r="R89">
        <f t="shared" si="13"/>
        <v>0</v>
      </c>
    </row>
    <row r="90" spans="1:18" x14ac:dyDescent="0.35">
      <c r="A90" s="8">
        <f>ETR!A90</f>
        <v>42138</v>
      </c>
      <c r="B90">
        <f t="shared" si="7"/>
        <v>5</v>
      </c>
      <c r="C90">
        <f>Initialisation!$C$11</f>
        <v>68.40100000000001</v>
      </c>
      <c r="D90">
        <f>Initialisation!$C$12</f>
        <v>22.800333333333334</v>
      </c>
      <c r="E90">
        <v>0</v>
      </c>
      <c r="G90">
        <f>MeteoJ!C90</f>
        <v>0.3</v>
      </c>
      <c r="J90">
        <f>ETR!F90</f>
        <v>0.97251276280940258</v>
      </c>
      <c r="K90">
        <f t="shared" si="8"/>
        <v>56.828225908303381</v>
      </c>
      <c r="L90">
        <f t="shared" si="9"/>
        <v>0</v>
      </c>
      <c r="M90">
        <f t="shared" si="10"/>
        <v>0</v>
      </c>
      <c r="O90">
        <f>ETR!K90</f>
        <v>0.77401151890489606</v>
      </c>
      <c r="P90">
        <f t="shared" si="11"/>
        <v>59.435694017330192</v>
      </c>
      <c r="Q90">
        <f t="shared" si="12"/>
        <v>0</v>
      </c>
      <c r="R90">
        <f t="shared" si="13"/>
        <v>0</v>
      </c>
    </row>
    <row r="91" spans="1:18" x14ac:dyDescent="0.35">
      <c r="A91" s="8">
        <f>ETR!A91</f>
        <v>42139</v>
      </c>
      <c r="B91">
        <f t="shared" si="7"/>
        <v>5</v>
      </c>
      <c r="C91">
        <f>Initialisation!$C$11</f>
        <v>68.40100000000001</v>
      </c>
      <c r="D91">
        <f>Initialisation!$C$12</f>
        <v>22.800333333333334</v>
      </c>
      <c r="E91">
        <v>0</v>
      </c>
      <c r="G91">
        <f>MeteoJ!C91</f>
        <v>4.5999999999999996</v>
      </c>
      <c r="J91">
        <f>ETR!F91</f>
        <v>1.3943790520132859</v>
      </c>
      <c r="K91">
        <f t="shared" si="8"/>
        <v>56.155713145493976</v>
      </c>
      <c r="L91">
        <f t="shared" si="9"/>
        <v>0</v>
      </c>
      <c r="M91">
        <f t="shared" si="10"/>
        <v>0</v>
      </c>
      <c r="O91">
        <f>ETR!K91</f>
        <v>1.0909965489399087</v>
      </c>
      <c r="P91">
        <f t="shared" si="11"/>
        <v>58.96168249842529</v>
      </c>
      <c r="Q91">
        <f t="shared" si="12"/>
        <v>0</v>
      </c>
      <c r="R91">
        <f t="shared" si="13"/>
        <v>0</v>
      </c>
    </row>
    <row r="92" spans="1:18" x14ac:dyDescent="0.35">
      <c r="A92" s="8">
        <f>ETR!A92</f>
        <v>42140</v>
      </c>
      <c r="B92">
        <f t="shared" si="7"/>
        <v>5</v>
      </c>
      <c r="C92">
        <f>Initialisation!$C$11</f>
        <v>68.40100000000001</v>
      </c>
      <c r="D92">
        <f>Initialisation!$C$12</f>
        <v>22.800333333333334</v>
      </c>
      <c r="E92">
        <v>0</v>
      </c>
      <c r="G92">
        <f>MeteoJ!C92</f>
        <v>0</v>
      </c>
      <c r="J92">
        <f>ETR!F92</f>
        <v>1.1182075531708033</v>
      </c>
      <c r="K92">
        <f t="shared" si="8"/>
        <v>59.361334093480693</v>
      </c>
      <c r="L92">
        <f t="shared" si="9"/>
        <v>0</v>
      </c>
      <c r="M92">
        <f t="shared" si="10"/>
        <v>0</v>
      </c>
      <c r="O92">
        <f>ETR!K92</f>
        <v>0.88439193435006302</v>
      </c>
      <c r="P92">
        <f t="shared" si="11"/>
        <v>62.470685949485386</v>
      </c>
      <c r="Q92">
        <f t="shared" si="12"/>
        <v>0</v>
      </c>
      <c r="R92">
        <f t="shared" si="13"/>
        <v>0</v>
      </c>
    </row>
    <row r="93" spans="1:18" x14ac:dyDescent="0.35">
      <c r="A93" s="8">
        <f>ETR!A93</f>
        <v>42141</v>
      </c>
      <c r="B93">
        <f t="shared" si="7"/>
        <v>5</v>
      </c>
      <c r="C93">
        <f>Initialisation!$C$11</f>
        <v>68.40100000000001</v>
      </c>
      <c r="D93">
        <f>Initialisation!$C$12</f>
        <v>22.800333333333334</v>
      </c>
      <c r="E93">
        <v>0</v>
      </c>
      <c r="G93">
        <f>MeteoJ!C93</f>
        <v>0</v>
      </c>
      <c r="J93">
        <f>ETR!F93</f>
        <v>2.0054640353102253</v>
      </c>
      <c r="K93">
        <f t="shared" si="8"/>
        <v>58.243126540309888</v>
      </c>
      <c r="L93">
        <f t="shared" si="9"/>
        <v>0</v>
      </c>
      <c r="M93">
        <f t="shared" si="10"/>
        <v>0</v>
      </c>
      <c r="O93">
        <f>ETR!K93</f>
        <v>1.5569127744084061</v>
      </c>
      <c r="P93">
        <f t="shared" si="11"/>
        <v>61.586294015135323</v>
      </c>
      <c r="Q93">
        <f t="shared" si="12"/>
        <v>0</v>
      </c>
      <c r="R93">
        <f t="shared" si="13"/>
        <v>0</v>
      </c>
    </row>
    <row r="94" spans="1:18" x14ac:dyDescent="0.35">
      <c r="A94" s="8">
        <f>ETR!A94</f>
        <v>42142</v>
      </c>
      <c r="B94">
        <f t="shared" si="7"/>
        <v>5</v>
      </c>
      <c r="C94">
        <f>Initialisation!$C$11</f>
        <v>68.40100000000001</v>
      </c>
      <c r="D94">
        <f>Initialisation!$C$12</f>
        <v>22.800333333333334</v>
      </c>
      <c r="E94">
        <v>0</v>
      </c>
      <c r="G94">
        <f>MeteoJ!C94</f>
        <v>0</v>
      </c>
      <c r="J94">
        <f>ETR!F94</f>
        <v>2.3486991463196856</v>
      </c>
      <c r="K94">
        <f t="shared" si="8"/>
        <v>56.237662504999662</v>
      </c>
      <c r="L94">
        <f t="shared" si="9"/>
        <v>0</v>
      </c>
      <c r="M94">
        <f t="shared" si="10"/>
        <v>0</v>
      </c>
      <c r="O94">
        <f>ETR!K94</f>
        <v>1.8143415748675578</v>
      </c>
      <c r="P94">
        <f t="shared" si="11"/>
        <v>60.02938124072692</v>
      </c>
      <c r="Q94">
        <f t="shared" si="12"/>
        <v>0</v>
      </c>
      <c r="R94">
        <f t="shared" si="13"/>
        <v>0</v>
      </c>
    </row>
    <row r="95" spans="1:18" x14ac:dyDescent="0.35">
      <c r="A95" s="8">
        <f>ETR!A95</f>
        <v>42143</v>
      </c>
      <c r="B95">
        <f t="shared" si="7"/>
        <v>5</v>
      </c>
      <c r="C95">
        <f>Initialisation!$C$11</f>
        <v>68.40100000000001</v>
      </c>
      <c r="D95">
        <f>Initialisation!$C$12</f>
        <v>22.800333333333334</v>
      </c>
      <c r="E95">
        <v>0</v>
      </c>
      <c r="G95">
        <f>MeteoJ!C95</f>
        <v>0.3</v>
      </c>
      <c r="J95">
        <f>ETR!F95</f>
        <v>1.1822582429734643</v>
      </c>
      <c r="K95">
        <f t="shared" si="8"/>
        <v>53.888963358679973</v>
      </c>
      <c r="L95">
        <f t="shared" si="9"/>
        <v>0</v>
      </c>
      <c r="M95">
        <f t="shared" si="10"/>
        <v>0</v>
      </c>
      <c r="O95">
        <f>ETR!K95</f>
        <v>0.93097693413349969</v>
      </c>
      <c r="P95">
        <f t="shared" si="11"/>
        <v>58.215039665859365</v>
      </c>
      <c r="Q95">
        <f t="shared" si="12"/>
        <v>0</v>
      </c>
      <c r="R95">
        <f t="shared" si="13"/>
        <v>0</v>
      </c>
    </row>
    <row r="96" spans="1:18" x14ac:dyDescent="0.35">
      <c r="A96" s="8">
        <f>ETR!A96</f>
        <v>42144</v>
      </c>
      <c r="B96">
        <f t="shared" si="7"/>
        <v>5</v>
      </c>
      <c r="C96">
        <f>Initialisation!$C$11</f>
        <v>68.40100000000001</v>
      </c>
      <c r="D96">
        <f>Initialisation!$C$12</f>
        <v>22.800333333333334</v>
      </c>
      <c r="E96">
        <v>0</v>
      </c>
      <c r="G96">
        <f>MeteoJ!C96</f>
        <v>2</v>
      </c>
      <c r="J96">
        <f>ETR!F96</f>
        <v>1.8112571204263654</v>
      </c>
      <c r="K96">
        <f t="shared" si="8"/>
        <v>53.006705115706509</v>
      </c>
      <c r="L96">
        <f t="shared" si="9"/>
        <v>0</v>
      </c>
      <c r="M96">
        <f t="shared" si="10"/>
        <v>0</v>
      </c>
      <c r="O96">
        <f>ETR!K96</f>
        <v>1.4049858295084041</v>
      </c>
      <c r="P96">
        <f t="shared" si="11"/>
        <v>57.584062731725865</v>
      </c>
      <c r="Q96">
        <f t="shared" si="12"/>
        <v>0</v>
      </c>
      <c r="R96">
        <f t="shared" si="13"/>
        <v>0</v>
      </c>
    </row>
    <row r="97" spans="1:18" x14ac:dyDescent="0.35">
      <c r="A97" s="8">
        <f>ETR!A97</f>
        <v>42144</v>
      </c>
      <c r="B97">
        <f t="shared" si="7"/>
        <v>5</v>
      </c>
      <c r="C97">
        <f>Initialisation!$C$11</f>
        <v>68.40100000000001</v>
      </c>
      <c r="D97">
        <f>Initialisation!$C$12</f>
        <v>22.800333333333334</v>
      </c>
      <c r="E97">
        <v>0</v>
      </c>
      <c r="G97">
        <f>MeteoJ!C97</f>
        <v>0</v>
      </c>
      <c r="J97">
        <f>ETR!F97</f>
        <v>0</v>
      </c>
      <c r="K97">
        <f t="shared" si="8"/>
        <v>53.195447995280141</v>
      </c>
      <c r="L97">
        <f t="shared" si="9"/>
        <v>0</v>
      </c>
      <c r="M97">
        <f t="shared" si="10"/>
        <v>0</v>
      </c>
      <c r="O97">
        <f>ETR!K97</f>
        <v>0</v>
      </c>
      <c r="P97">
        <f t="shared" si="11"/>
        <v>58.17907690221746</v>
      </c>
      <c r="Q97">
        <f t="shared" si="12"/>
        <v>0</v>
      </c>
      <c r="R97">
        <f t="shared" si="13"/>
        <v>0</v>
      </c>
    </row>
    <row r="98" spans="1:18" x14ac:dyDescent="0.35">
      <c r="A98" s="8">
        <f>ETR!A98</f>
        <v>42144</v>
      </c>
      <c r="B98">
        <f t="shared" si="7"/>
        <v>5</v>
      </c>
      <c r="C98">
        <f>Initialisation!$C$11</f>
        <v>68.40100000000001</v>
      </c>
      <c r="D98">
        <f>Initialisation!$C$12</f>
        <v>22.800333333333334</v>
      </c>
      <c r="E98">
        <v>0</v>
      </c>
      <c r="G98">
        <f>MeteoJ!C98</f>
        <v>0</v>
      </c>
      <c r="J98">
        <f>ETR!F98</f>
        <v>0</v>
      </c>
      <c r="K98">
        <f t="shared" si="8"/>
        <v>53.195447995280141</v>
      </c>
      <c r="L98">
        <f t="shared" si="9"/>
        <v>0</v>
      </c>
      <c r="M98">
        <f t="shared" si="10"/>
        <v>0</v>
      </c>
      <c r="O98">
        <f>ETR!K98</f>
        <v>0</v>
      </c>
      <c r="P98">
        <f t="shared" si="11"/>
        <v>58.17907690221746</v>
      </c>
      <c r="Q98">
        <f t="shared" si="12"/>
        <v>0</v>
      </c>
      <c r="R98">
        <f t="shared" si="13"/>
        <v>0</v>
      </c>
    </row>
    <row r="99" spans="1:18" x14ac:dyDescent="0.35">
      <c r="A99" s="8">
        <f>ETR!A99</f>
        <v>42144</v>
      </c>
      <c r="B99">
        <f t="shared" si="7"/>
        <v>5</v>
      </c>
      <c r="C99">
        <f>Initialisation!$C$11</f>
        <v>68.40100000000001</v>
      </c>
      <c r="D99">
        <f>Initialisation!$C$12</f>
        <v>22.800333333333334</v>
      </c>
      <c r="E99">
        <v>0</v>
      </c>
      <c r="G99">
        <f>MeteoJ!C99</f>
        <v>0</v>
      </c>
      <c r="J99">
        <f>ETR!F99</f>
        <v>0</v>
      </c>
      <c r="K99">
        <f t="shared" si="8"/>
        <v>53.195447995280141</v>
      </c>
      <c r="L99">
        <f t="shared" si="9"/>
        <v>0</v>
      </c>
      <c r="M99">
        <f t="shared" si="10"/>
        <v>0</v>
      </c>
      <c r="O99">
        <f>ETR!K99</f>
        <v>0</v>
      </c>
      <c r="P99">
        <f t="shared" si="11"/>
        <v>58.17907690221746</v>
      </c>
      <c r="Q99">
        <f t="shared" si="12"/>
        <v>0</v>
      </c>
      <c r="R99">
        <f t="shared" si="13"/>
        <v>0</v>
      </c>
    </row>
    <row r="100" spans="1:18" x14ac:dyDescent="0.35">
      <c r="A100" s="8">
        <f>ETR!A100</f>
        <v>42144</v>
      </c>
      <c r="B100">
        <f t="shared" si="7"/>
        <v>5</v>
      </c>
      <c r="C100">
        <f>Initialisation!$C$11</f>
        <v>68.40100000000001</v>
      </c>
      <c r="D100">
        <f>Initialisation!$C$12</f>
        <v>22.800333333333334</v>
      </c>
      <c r="E100">
        <v>0</v>
      </c>
      <c r="G100">
        <f>MeteoJ!C100</f>
        <v>0</v>
      </c>
      <c r="J100">
        <f>ETR!F100</f>
        <v>0</v>
      </c>
      <c r="K100">
        <f t="shared" si="8"/>
        <v>53.195447995280141</v>
      </c>
      <c r="L100">
        <f t="shared" si="9"/>
        <v>0</v>
      </c>
      <c r="M100">
        <f t="shared" si="10"/>
        <v>0</v>
      </c>
      <c r="O100">
        <f>ETR!K100</f>
        <v>0</v>
      </c>
      <c r="P100">
        <f t="shared" si="11"/>
        <v>58.17907690221746</v>
      </c>
      <c r="Q100">
        <f t="shared" si="12"/>
        <v>0</v>
      </c>
      <c r="R100">
        <f t="shared" si="13"/>
        <v>0</v>
      </c>
    </row>
    <row r="101" spans="1:18" x14ac:dyDescent="0.35">
      <c r="A101" s="8">
        <f>ETR!A101</f>
        <v>42144</v>
      </c>
      <c r="B101">
        <f t="shared" si="7"/>
        <v>5</v>
      </c>
      <c r="C101">
        <f>Initialisation!$C$11</f>
        <v>68.40100000000001</v>
      </c>
      <c r="D101">
        <f>Initialisation!$C$12</f>
        <v>22.800333333333334</v>
      </c>
      <c r="E101">
        <v>0</v>
      </c>
      <c r="G101">
        <f>MeteoJ!C101</f>
        <v>0</v>
      </c>
      <c r="J101">
        <f>ETR!F101</f>
        <v>0</v>
      </c>
      <c r="K101">
        <f t="shared" si="8"/>
        <v>53.195447995280141</v>
      </c>
      <c r="L101">
        <f t="shared" si="9"/>
        <v>0</v>
      </c>
      <c r="M101">
        <f t="shared" si="10"/>
        <v>0</v>
      </c>
      <c r="O101">
        <f>ETR!K101</f>
        <v>0</v>
      </c>
      <c r="P101">
        <f t="shared" si="11"/>
        <v>58.17907690221746</v>
      </c>
      <c r="Q101">
        <f t="shared" si="12"/>
        <v>0</v>
      </c>
      <c r="R101">
        <f t="shared" si="13"/>
        <v>0</v>
      </c>
    </row>
    <row r="102" spans="1:18" x14ac:dyDescent="0.35">
      <c r="A102" s="8">
        <f>ETR!A102</f>
        <v>42144</v>
      </c>
      <c r="B102">
        <f t="shared" si="7"/>
        <v>5</v>
      </c>
      <c r="C102">
        <f>Initialisation!$C$11</f>
        <v>68.40100000000001</v>
      </c>
      <c r="D102">
        <f>Initialisation!$C$12</f>
        <v>22.800333333333334</v>
      </c>
      <c r="E102">
        <v>0</v>
      </c>
      <c r="G102">
        <f>MeteoJ!C102</f>
        <v>0</v>
      </c>
      <c r="J102">
        <f>ETR!F102</f>
        <v>0</v>
      </c>
      <c r="K102">
        <f t="shared" si="8"/>
        <v>53.195447995280141</v>
      </c>
      <c r="L102">
        <f t="shared" si="9"/>
        <v>0</v>
      </c>
      <c r="M102">
        <f t="shared" si="10"/>
        <v>0</v>
      </c>
      <c r="O102">
        <f>ETR!K102</f>
        <v>0</v>
      </c>
      <c r="P102">
        <f t="shared" si="11"/>
        <v>58.17907690221746</v>
      </c>
      <c r="Q102">
        <f t="shared" si="12"/>
        <v>0</v>
      </c>
      <c r="R102">
        <f t="shared" si="13"/>
        <v>0</v>
      </c>
    </row>
    <row r="103" spans="1:18" x14ac:dyDescent="0.35">
      <c r="A103" s="8">
        <f>ETR!A103</f>
        <v>42144</v>
      </c>
      <c r="B103">
        <f t="shared" si="7"/>
        <v>5</v>
      </c>
      <c r="C103">
        <f>Initialisation!$C$11</f>
        <v>68.40100000000001</v>
      </c>
      <c r="D103">
        <f>Initialisation!$C$12</f>
        <v>22.800333333333334</v>
      </c>
      <c r="E103">
        <v>0</v>
      </c>
      <c r="G103">
        <f>MeteoJ!C103</f>
        <v>0</v>
      </c>
      <c r="J103">
        <f>ETR!F103</f>
        <v>0</v>
      </c>
      <c r="K103">
        <f t="shared" si="8"/>
        <v>53.195447995280141</v>
      </c>
      <c r="L103">
        <f t="shared" si="9"/>
        <v>0</v>
      </c>
      <c r="M103">
        <f t="shared" si="10"/>
        <v>0</v>
      </c>
      <c r="O103">
        <f>ETR!K103</f>
        <v>0</v>
      </c>
      <c r="P103">
        <f t="shared" si="11"/>
        <v>58.17907690221746</v>
      </c>
      <c r="Q103">
        <f t="shared" si="12"/>
        <v>0</v>
      </c>
      <c r="R103">
        <f t="shared" si="13"/>
        <v>0</v>
      </c>
    </row>
    <row r="104" spans="1:18" x14ac:dyDescent="0.35">
      <c r="A104" s="8">
        <f>ETR!A104</f>
        <v>42144</v>
      </c>
      <c r="B104">
        <f t="shared" si="7"/>
        <v>5</v>
      </c>
      <c r="C104">
        <f>Initialisation!$C$11</f>
        <v>68.40100000000001</v>
      </c>
      <c r="D104">
        <f>Initialisation!$C$12</f>
        <v>22.800333333333334</v>
      </c>
      <c r="E104">
        <v>0</v>
      </c>
      <c r="G104">
        <f>MeteoJ!C104</f>
        <v>0</v>
      </c>
      <c r="J104">
        <f>ETR!F104</f>
        <v>0</v>
      </c>
      <c r="K104">
        <f t="shared" si="8"/>
        <v>53.195447995280141</v>
      </c>
      <c r="L104">
        <f t="shared" si="9"/>
        <v>0</v>
      </c>
      <c r="M104">
        <f t="shared" si="10"/>
        <v>0</v>
      </c>
      <c r="O104">
        <f>ETR!K104</f>
        <v>0</v>
      </c>
      <c r="P104">
        <f t="shared" si="11"/>
        <v>58.17907690221746</v>
      </c>
      <c r="Q104">
        <f t="shared" si="12"/>
        <v>0</v>
      </c>
      <c r="R104">
        <f t="shared" si="13"/>
        <v>0</v>
      </c>
    </row>
    <row r="105" spans="1:18" x14ac:dyDescent="0.35">
      <c r="A105" s="8">
        <f>ETR!A105</f>
        <v>42144</v>
      </c>
      <c r="B105">
        <f t="shared" si="7"/>
        <v>5</v>
      </c>
      <c r="C105">
        <f>Initialisation!$C$11</f>
        <v>68.40100000000001</v>
      </c>
      <c r="D105">
        <f>Initialisation!$C$12</f>
        <v>22.800333333333334</v>
      </c>
      <c r="E105">
        <v>0</v>
      </c>
      <c r="G105">
        <f>MeteoJ!C105</f>
        <v>0</v>
      </c>
      <c r="J105">
        <f>ETR!F105</f>
        <v>0</v>
      </c>
      <c r="K105">
        <f t="shared" si="8"/>
        <v>53.195447995280141</v>
      </c>
      <c r="L105">
        <f t="shared" si="9"/>
        <v>0</v>
      </c>
      <c r="M105">
        <f t="shared" si="10"/>
        <v>0</v>
      </c>
      <c r="O105">
        <f>ETR!K105</f>
        <v>0</v>
      </c>
      <c r="P105">
        <f t="shared" si="11"/>
        <v>58.17907690221746</v>
      </c>
      <c r="Q105">
        <f t="shared" si="12"/>
        <v>0</v>
      </c>
      <c r="R105">
        <f t="shared" si="13"/>
        <v>0</v>
      </c>
    </row>
    <row r="106" spans="1:18" x14ac:dyDescent="0.35">
      <c r="A106" s="8">
        <f>ETR!A106</f>
        <v>42144</v>
      </c>
      <c r="B106">
        <f t="shared" si="7"/>
        <v>5</v>
      </c>
      <c r="C106">
        <f>Initialisation!$C$11</f>
        <v>68.40100000000001</v>
      </c>
      <c r="D106">
        <f>Initialisation!$C$12</f>
        <v>22.800333333333334</v>
      </c>
      <c r="E106">
        <v>0</v>
      </c>
      <c r="G106">
        <f>MeteoJ!C106</f>
        <v>0</v>
      </c>
      <c r="J106">
        <f>ETR!F106</f>
        <v>0</v>
      </c>
      <c r="K106">
        <f t="shared" si="8"/>
        <v>53.195447995280141</v>
      </c>
      <c r="L106">
        <f t="shared" si="9"/>
        <v>0</v>
      </c>
      <c r="M106">
        <f t="shared" si="10"/>
        <v>0</v>
      </c>
      <c r="O106">
        <f>ETR!K106</f>
        <v>0</v>
      </c>
      <c r="P106">
        <f t="shared" si="11"/>
        <v>58.17907690221746</v>
      </c>
      <c r="Q106">
        <f t="shared" si="12"/>
        <v>0</v>
      </c>
      <c r="R106">
        <f t="shared" si="13"/>
        <v>0</v>
      </c>
    </row>
    <row r="107" spans="1:18" x14ac:dyDescent="0.35">
      <c r="A107" s="8">
        <f>ETR!A107</f>
        <v>42144</v>
      </c>
      <c r="B107">
        <f t="shared" si="7"/>
        <v>5</v>
      </c>
      <c r="C107">
        <f>Initialisation!$C$11</f>
        <v>68.40100000000001</v>
      </c>
      <c r="D107">
        <f>Initialisation!$C$12</f>
        <v>22.800333333333334</v>
      </c>
      <c r="E107">
        <v>0</v>
      </c>
      <c r="G107">
        <f>MeteoJ!C107</f>
        <v>0</v>
      </c>
      <c r="J107">
        <f>ETR!F107</f>
        <v>0</v>
      </c>
      <c r="K107">
        <f t="shared" si="8"/>
        <v>53.195447995280141</v>
      </c>
      <c r="L107">
        <f t="shared" si="9"/>
        <v>0</v>
      </c>
      <c r="M107">
        <f t="shared" si="10"/>
        <v>0</v>
      </c>
      <c r="O107">
        <f>ETR!K107</f>
        <v>0</v>
      </c>
      <c r="P107">
        <f t="shared" si="11"/>
        <v>58.17907690221746</v>
      </c>
      <c r="Q107">
        <f t="shared" si="12"/>
        <v>0</v>
      </c>
      <c r="R107">
        <f t="shared" si="13"/>
        <v>0</v>
      </c>
    </row>
    <row r="108" spans="1:18" x14ac:dyDescent="0.35">
      <c r="A108" s="8">
        <f>ETR!A108</f>
        <v>42144</v>
      </c>
      <c r="B108">
        <f t="shared" si="7"/>
        <v>5</v>
      </c>
      <c r="C108">
        <f>Initialisation!$C$11</f>
        <v>68.40100000000001</v>
      </c>
      <c r="D108">
        <f>Initialisation!$C$12</f>
        <v>22.800333333333334</v>
      </c>
      <c r="E108">
        <v>0</v>
      </c>
      <c r="G108">
        <f>MeteoJ!C108</f>
        <v>0</v>
      </c>
      <c r="J108">
        <f>ETR!F108</f>
        <v>0</v>
      </c>
      <c r="K108">
        <f t="shared" si="8"/>
        <v>53.195447995280141</v>
      </c>
      <c r="L108">
        <f t="shared" si="9"/>
        <v>0</v>
      </c>
      <c r="M108">
        <f t="shared" si="10"/>
        <v>0</v>
      </c>
      <c r="O108">
        <f>ETR!K108</f>
        <v>0</v>
      </c>
      <c r="P108">
        <f t="shared" si="11"/>
        <v>58.17907690221746</v>
      </c>
      <c r="Q108">
        <f t="shared" si="12"/>
        <v>0</v>
      </c>
      <c r="R108">
        <f t="shared" si="13"/>
        <v>0</v>
      </c>
    </row>
    <row r="109" spans="1:18" x14ac:dyDescent="0.35">
      <c r="A109" s="8">
        <f>ETR!A109</f>
        <v>42144</v>
      </c>
      <c r="B109">
        <f t="shared" si="7"/>
        <v>5</v>
      </c>
      <c r="C109">
        <f>Initialisation!$C$11</f>
        <v>68.40100000000001</v>
      </c>
      <c r="D109">
        <f>Initialisation!$C$12</f>
        <v>22.800333333333334</v>
      </c>
      <c r="E109">
        <v>0</v>
      </c>
      <c r="G109">
        <f>MeteoJ!C109</f>
        <v>0</v>
      </c>
      <c r="J109">
        <f>ETR!F109</f>
        <v>0</v>
      </c>
      <c r="K109">
        <f t="shared" si="8"/>
        <v>53.195447995280141</v>
      </c>
      <c r="L109">
        <f t="shared" si="9"/>
        <v>0</v>
      </c>
      <c r="M109">
        <f t="shared" si="10"/>
        <v>0</v>
      </c>
      <c r="O109">
        <f>ETR!K109</f>
        <v>0</v>
      </c>
      <c r="P109">
        <f t="shared" si="11"/>
        <v>58.17907690221746</v>
      </c>
      <c r="Q109">
        <f t="shared" si="12"/>
        <v>0</v>
      </c>
      <c r="R109">
        <f t="shared" si="13"/>
        <v>0</v>
      </c>
    </row>
    <row r="110" spans="1:18" x14ac:dyDescent="0.35">
      <c r="A110" s="8">
        <f>ETR!A110</f>
        <v>42144</v>
      </c>
      <c r="B110">
        <f t="shared" si="7"/>
        <v>5</v>
      </c>
      <c r="C110">
        <f>Initialisation!$C$11</f>
        <v>68.40100000000001</v>
      </c>
      <c r="D110">
        <f>Initialisation!$C$12</f>
        <v>22.800333333333334</v>
      </c>
      <c r="E110">
        <v>0</v>
      </c>
      <c r="G110">
        <f>MeteoJ!C110</f>
        <v>0</v>
      </c>
      <c r="J110">
        <f>ETR!F110</f>
        <v>0</v>
      </c>
      <c r="K110">
        <f t="shared" si="8"/>
        <v>53.195447995280141</v>
      </c>
      <c r="L110">
        <f t="shared" si="9"/>
        <v>0</v>
      </c>
      <c r="M110">
        <f t="shared" si="10"/>
        <v>0</v>
      </c>
      <c r="O110">
        <f>ETR!K110</f>
        <v>0</v>
      </c>
      <c r="P110">
        <f t="shared" si="11"/>
        <v>58.17907690221746</v>
      </c>
      <c r="Q110">
        <f t="shared" si="12"/>
        <v>0</v>
      </c>
      <c r="R110">
        <f t="shared" si="13"/>
        <v>0</v>
      </c>
    </row>
    <row r="111" spans="1:18" x14ac:dyDescent="0.35">
      <c r="A111" s="8">
        <f>ETR!A111</f>
        <v>42144</v>
      </c>
      <c r="B111">
        <f t="shared" si="7"/>
        <v>5</v>
      </c>
      <c r="C111">
        <f>Initialisation!$C$11</f>
        <v>68.40100000000001</v>
      </c>
      <c r="D111">
        <f>Initialisation!$C$12</f>
        <v>22.800333333333334</v>
      </c>
      <c r="E111">
        <v>0</v>
      </c>
      <c r="G111">
        <f>MeteoJ!C111</f>
        <v>0</v>
      </c>
      <c r="J111">
        <f>ETR!F111</f>
        <v>0</v>
      </c>
      <c r="K111">
        <f t="shared" si="8"/>
        <v>53.195447995280141</v>
      </c>
      <c r="L111">
        <f t="shared" si="9"/>
        <v>0</v>
      </c>
      <c r="M111">
        <f t="shared" si="10"/>
        <v>0</v>
      </c>
      <c r="O111">
        <f>ETR!K111</f>
        <v>0</v>
      </c>
      <c r="P111">
        <f t="shared" si="11"/>
        <v>58.17907690221746</v>
      </c>
      <c r="Q111">
        <f t="shared" si="12"/>
        <v>0</v>
      </c>
      <c r="R111">
        <f t="shared" si="13"/>
        <v>0</v>
      </c>
    </row>
    <row r="112" spans="1:18" x14ac:dyDescent="0.35">
      <c r="A112" s="8">
        <f>ETR!A112</f>
        <v>42144</v>
      </c>
      <c r="B112">
        <f t="shared" si="7"/>
        <v>5</v>
      </c>
      <c r="C112">
        <f>Initialisation!$C$11</f>
        <v>68.40100000000001</v>
      </c>
      <c r="D112">
        <f>Initialisation!$C$12</f>
        <v>22.800333333333334</v>
      </c>
      <c r="E112">
        <v>0</v>
      </c>
      <c r="G112">
        <f>MeteoJ!C112</f>
        <v>0</v>
      </c>
      <c r="J112">
        <f>ETR!F112</f>
        <v>0</v>
      </c>
      <c r="K112">
        <f t="shared" si="8"/>
        <v>53.195447995280141</v>
      </c>
      <c r="L112">
        <f t="shared" si="9"/>
        <v>0</v>
      </c>
      <c r="M112">
        <f t="shared" si="10"/>
        <v>0</v>
      </c>
      <c r="O112">
        <f>ETR!K112</f>
        <v>0</v>
      </c>
      <c r="P112">
        <f t="shared" si="11"/>
        <v>58.17907690221746</v>
      </c>
      <c r="Q112">
        <f t="shared" si="12"/>
        <v>0</v>
      </c>
      <c r="R112">
        <f t="shared" si="13"/>
        <v>0</v>
      </c>
    </row>
    <row r="113" spans="1:18" x14ac:dyDescent="0.35">
      <c r="A113" s="8">
        <f>ETR!A113</f>
        <v>42144</v>
      </c>
      <c r="B113">
        <f t="shared" si="7"/>
        <v>5</v>
      </c>
      <c r="C113">
        <f>Initialisation!$C$11</f>
        <v>68.40100000000001</v>
      </c>
      <c r="D113">
        <f>Initialisation!$C$12</f>
        <v>22.800333333333334</v>
      </c>
      <c r="E113">
        <v>0</v>
      </c>
      <c r="G113">
        <f>MeteoJ!C113</f>
        <v>0</v>
      </c>
      <c r="J113">
        <f>ETR!F113</f>
        <v>0</v>
      </c>
      <c r="K113">
        <f t="shared" si="8"/>
        <v>53.195447995280141</v>
      </c>
      <c r="L113">
        <f t="shared" si="9"/>
        <v>0</v>
      </c>
      <c r="M113">
        <f t="shared" si="10"/>
        <v>0</v>
      </c>
      <c r="O113">
        <f>ETR!K113</f>
        <v>0</v>
      </c>
      <c r="P113">
        <f t="shared" si="11"/>
        <v>58.17907690221746</v>
      </c>
      <c r="Q113">
        <f t="shared" si="12"/>
        <v>0</v>
      </c>
      <c r="R113">
        <f t="shared" si="13"/>
        <v>0</v>
      </c>
    </row>
    <row r="114" spans="1:18" x14ac:dyDescent="0.35">
      <c r="A114" s="8">
        <f>ETR!A114</f>
        <v>42144</v>
      </c>
      <c r="B114">
        <f t="shared" si="7"/>
        <v>5</v>
      </c>
      <c r="C114">
        <f>Initialisation!$C$11</f>
        <v>68.40100000000001</v>
      </c>
      <c r="D114">
        <f>Initialisation!$C$12</f>
        <v>22.800333333333334</v>
      </c>
      <c r="E114">
        <v>0</v>
      </c>
      <c r="G114">
        <f>MeteoJ!C114</f>
        <v>0</v>
      </c>
      <c r="J114">
        <f>ETR!F114</f>
        <v>0</v>
      </c>
      <c r="K114">
        <f t="shared" si="8"/>
        <v>53.195447995280141</v>
      </c>
      <c r="L114">
        <f t="shared" si="9"/>
        <v>0</v>
      </c>
      <c r="M114">
        <f t="shared" si="10"/>
        <v>0</v>
      </c>
      <c r="O114">
        <f>ETR!K114</f>
        <v>0</v>
      </c>
      <c r="P114">
        <f t="shared" si="11"/>
        <v>58.17907690221746</v>
      </c>
      <c r="Q114">
        <f t="shared" si="12"/>
        <v>0</v>
      </c>
      <c r="R114">
        <f t="shared" si="13"/>
        <v>0</v>
      </c>
    </row>
    <row r="115" spans="1:18" x14ac:dyDescent="0.35">
      <c r="A115" s="8">
        <f>ETR!A115</f>
        <v>42144</v>
      </c>
      <c r="B115">
        <f t="shared" si="7"/>
        <v>5</v>
      </c>
      <c r="C115">
        <f>Initialisation!$C$11</f>
        <v>68.40100000000001</v>
      </c>
      <c r="D115">
        <f>Initialisation!$C$12</f>
        <v>22.800333333333334</v>
      </c>
      <c r="E115">
        <v>0</v>
      </c>
      <c r="G115">
        <f>MeteoJ!C115</f>
        <v>0</v>
      </c>
      <c r="J115">
        <f>ETR!F115</f>
        <v>0</v>
      </c>
      <c r="K115">
        <f t="shared" si="8"/>
        <v>53.195447995280141</v>
      </c>
      <c r="L115">
        <f t="shared" si="9"/>
        <v>0</v>
      </c>
      <c r="M115">
        <f t="shared" si="10"/>
        <v>0</v>
      </c>
      <c r="O115">
        <f>ETR!K115</f>
        <v>0</v>
      </c>
      <c r="P115">
        <f t="shared" si="11"/>
        <v>58.17907690221746</v>
      </c>
      <c r="Q115">
        <f t="shared" si="12"/>
        <v>0</v>
      </c>
      <c r="R115">
        <f t="shared" si="13"/>
        <v>0</v>
      </c>
    </row>
    <row r="116" spans="1:18" x14ac:dyDescent="0.35">
      <c r="A116" s="8">
        <f>ETR!A116</f>
        <v>42144</v>
      </c>
      <c r="B116">
        <f t="shared" si="7"/>
        <v>5</v>
      </c>
      <c r="C116">
        <f>Initialisation!$C$11</f>
        <v>68.40100000000001</v>
      </c>
      <c r="D116">
        <f>Initialisation!$C$12</f>
        <v>22.800333333333334</v>
      </c>
      <c r="E116">
        <v>0</v>
      </c>
      <c r="G116">
        <f>MeteoJ!C116</f>
        <v>0</v>
      </c>
      <c r="J116">
        <f>ETR!F116</f>
        <v>0</v>
      </c>
      <c r="K116">
        <f t="shared" si="8"/>
        <v>53.195447995280141</v>
      </c>
      <c r="L116">
        <f t="shared" si="9"/>
        <v>0</v>
      </c>
      <c r="M116">
        <f t="shared" si="10"/>
        <v>0</v>
      </c>
      <c r="O116">
        <f>ETR!K116</f>
        <v>0</v>
      </c>
      <c r="P116">
        <f t="shared" si="11"/>
        <v>58.17907690221746</v>
      </c>
      <c r="Q116">
        <f t="shared" si="12"/>
        <v>0</v>
      </c>
      <c r="R116">
        <f t="shared" si="13"/>
        <v>0</v>
      </c>
    </row>
    <row r="117" spans="1:18" x14ac:dyDescent="0.35">
      <c r="A117" s="8">
        <f>ETR!A117</f>
        <v>42144</v>
      </c>
      <c r="B117">
        <f t="shared" si="7"/>
        <v>5</v>
      </c>
      <c r="C117">
        <f>Initialisation!$C$11</f>
        <v>68.40100000000001</v>
      </c>
      <c r="D117">
        <f>Initialisation!$C$12</f>
        <v>22.800333333333334</v>
      </c>
      <c r="E117">
        <v>0</v>
      </c>
      <c r="G117">
        <f>MeteoJ!C117</f>
        <v>0</v>
      </c>
      <c r="J117">
        <f>ETR!F117</f>
        <v>0</v>
      </c>
      <c r="K117">
        <f t="shared" si="8"/>
        <v>53.195447995280141</v>
      </c>
      <c r="L117">
        <f t="shared" si="9"/>
        <v>0</v>
      </c>
      <c r="M117">
        <f t="shared" si="10"/>
        <v>0</v>
      </c>
      <c r="O117">
        <f>ETR!K117</f>
        <v>0</v>
      </c>
      <c r="P117">
        <f t="shared" si="11"/>
        <v>58.17907690221746</v>
      </c>
      <c r="Q117">
        <f t="shared" si="12"/>
        <v>0</v>
      </c>
      <c r="R117">
        <f t="shared" si="13"/>
        <v>0</v>
      </c>
    </row>
    <row r="118" spans="1:18" x14ac:dyDescent="0.35">
      <c r="A118" s="8">
        <f>ETR!A118</f>
        <v>42144</v>
      </c>
      <c r="B118">
        <f t="shared" si="7"/>
        <v>5</v>
      </c>
      <c r="C118">
        <f>Initialisation!$C$11</f>
        <v>68.40100000000001</v>
      </c>
      <c r="D118">
        <f>Initialisation!$C$12</f>
        <v>22.800333333333334</v>
      </c>
      <c r="E118">
        <v>0</v>
      </c>
      <c r="G118">
        <f>MeteoJ!C118</f>
        <v>0</v>
      </c>
      <c r="J118">
        <f>ETR!F118</f>
        <v>0</v>
      </c>
      <c r="K118">
        <f t="shared" si="8"/>
        <v>53.195447995280141</v>
      </c>
      <c r="L118">
        <f t="shared" si="9"/>
        <v>0</v>
      </c>
      <c r="M118">
        <f t="shared" si="10"/>
        <v>0</v>
      </c>
      <c r="O118">
        <f>ETR!K118</f>
        <v>0</v>
      </c>
      <c r="P118">
        <f t="shared" si="11"/>
        <v>58.17907690221746</v>
      </c>
      <c r="Q118">
        <f t="shared" si="12"/>
        <v>0</v>
      </c>
      <c r="R118">
        <f t="shared" si="13"/>
        <v>0</v>
      </c>
    </row>
    <row r="119" spans="1:18" x14ac:dyDescent="0.35">
      <c r="A119" s="8">
        <f>ETR!A119</f>
        <v>42144</v>
      </c>
      <c r="B119">
        <f t="shared" si="7"/>
        <v>5</v>
      </c>
      <c r="C119">
        <f>Initialisation!$C$11</f>
        <v>68.40100000000001</v>
      </c>
      <c r="D119">
        <f>Initialisation!$C$12</f>
        <v>22.800333333333334</v>
      </c>
      <c r="E119">
        <v>0</v>
      </c>
      <c r="G119">
        <f>MeteoJ!C119</f>
        <v>0</v>
      </c>
      <c r="J119">
        <f>ETR!F119</f>
        <v>0</v>
      </c>
      <c r="K119">
        <f t="shared" si="8"/>
        <v>53.195447995280141</v>
      </c>
      <c r="L119">
        <f t="shared" si="9"/>
        <v>0</v>
      </c>
      <c r="M119">
        <f t="shared" si="10"/>
        <v>0</v>
      </c>
      <c r="O119">
        <f>ETR!K119</f>
        <v>0</v>
      </c>
      <c r="P119">
        <f t="shared" si="11"/>
        <v>58.17907690221746</v>
      </c>
      <c r="Q119">
        <f t="shared" si="12"/>
        <v>0</v>
      </c>
      <c r="R119">
        <f t="shared" si="13"/>
        <v>0</v>
      </c>
    </row>
    <row r="120" spans="1:18" x14ac:dyDescent="0.35">
      <c r="A120" s="8">
        <f>ETR!A120</f>
        <v>42144</v>
      </c>
      <c r="B120">
        <f t="shared" si="7"/>
        <v>5</v>
      </c>
      <c r="C120">
        <f>Initialisation!$C$11</f>
        <v>68.40100000000001</v>
      </c>
      <c r="D120">
        <f>Initialisation!$C$12</f>
        <v>22.800333333333334</v>
      </c>
      <c r="E120">
        <v>0</v>
      </c>
      <c r="G120">
        <f>MeteoJ!C120</f>
        <v>0</v>
      </c>
      <c r="J120">
        <f>ETR!F120</f>
        <v>0</v>
      </c>
      <c r="K120">
        <f t="shared" si="8"/>
        <v>53.195447995280141</v>
      </c>
      <c r="L120">
        <f t="shared" si="9"/>
        <v>0</v>
      </c>
      <c r="M120">
        <f t="shared" si="10"/>
        <v>0</v>
      </c>
      <c r="O120">
        <f>ETR!K120</f>
        <v>0</v>
      </c>
      <c r="P120">
        <f t="shared" si="11"/>
        <v>58.17907690221746</v>
      </c>
      <c r="Q120">
        <f t="shared" si="12"/>
        <v>0</v>
      </c>
      <c r="R120">
        <f t="shared" si="13"/>
        <v>0</v>
      </c>
    </row>
    <row r="121" spans="1:18" x14ac:dyDescent="0.35">
      <c r="A121" s="8">
        <f>ETR!A121</f>
        <v>42144</v>
      </c>
      <c r="B121">
        <f t="shared" si="7"/>
        <v>5</v>
      </c>
      <c r="C121">
        <f>Initialisation!$C$11</f>
        <v>68.40100000000001</v>
      </c>
      <c r="D121">
        <f>Initialisation!$C$12</f>
        <v>22.800333333333334</v>
      </c>
      <c r="E121">
        <v>0</v>
      </c>
      <c r="G121">
        <f>MeteoJ!C121</f>
        <v>0</v>
      </c>
      <c r="J121">
        <f>ETR!F121</f>
        <v>0</v>
      </c>
      <c r="K121">
        <f t="shared" si="8"/>
        <v>53.195447995280141</v>
      </c>
      <c r="L121">
        <f t="shared" si="9"/>
        <v>0</v>
      </c>
      <c r="M121">
        <f t="shared" si="10"/>
        <v>0</v>
      </c>
      <c r="O121">
        <f>ETR!K121</f>
        <v>0</v>
      </c>
      <c r="P121">
        <f t="shared" si="11"/>
        <v>58.17907690221746</v>
      </c>
      <c r="Q121">
        <f t="shared" si="12"/>
        <v>0</v>
      </c>
      <c r="R121">
        <f t="shared" si="13"/>
        <v>0</v>
      </c>
    </row>
    <row r="122" spans="1:18" x14ac:dyDescent="0.35">
      <c r="A122" s="8">
        <f>ETR!A122</f>
        <v>42144</v>
      </c>
      <c r="B122">
        <f t="shared" si="7"/>
        <v>5</v>
      </c>
      <c r="C122">
        <f>Initialisation!$C$11</f>
        <v>68.40100000000001</v>
      </c>
      <c r="D122">
        <f>Initialisation!$C$12</f>
        <v>22.800333333333334</v>
      </c>
      <c r="E122">
        <v>0</v>
      </c>
      <c r="G122">
        <f>MeteoJ!C122</f>
        <v>0</v>
      </c>
      <c r="J122">
        <f>ETR!F122</f>
        <v>0</v>
      </c>
      <c r="K122">
        <f t="shared" si="8"/>
        <v>53.195447995280141</v>
      </c>
      <c r="L122">
        <f t="shared" si="9"/>
        <v>0</v>
      </c>
      <c r="M122">
        <f t="shared" si="10"/>
        <v>0</v>
      </c>
      <c r="O122">
        <f>ETR!K122</f>
        <v>0</v>
      </c>
      <c r="P122">
        <f t="shared" si="11"/>
        <v>58.17907690221746</v>
      </c>
      <c r="Q122">
        <f t="shared" si="12"/>
        <v>0</v>
      </c>
      <c r="R122">
        <f t="shared" si="13"/>
        <v>0</v>
      </c>
    </row>
    <row r="123" spans="1:18" x14ac:dyDescent="0.35">
      <c r="A123" s="8">
        <f>ETR!A123</f>
        <v>42144</v>
      </c>
      <c r="B123">
        <f t="shared" si="7"/>
        <v>5</v>
      </c>
      <c r="C123">
        <f>Initialisation!$C$11</f>
        <v>68.40100000000001</v>
      </c>
      <c r="D123">
        <f>Initialisation!$C$12</f>
        <v>22.800333333333334</v>
      </c>
      <c r="E123">
        <v>0</v>
      </c>
      <c r="G123">
        <f>MeteoJ!C123</f>
        <v>0</v>
      </c>
      <c r="J123">
        <f>ETR!F123</f>
        <v>0</v>
      </c>
      <c r="K123">
        <f t="shared" si="8"/>
        <v>53.195447995280141</v>
      </c>
      <c r="L123">
        <f t="shared" si="9"/>
        <v>0</v>
      </c>
      <c r="M123">
        <f t="shared" si="10"/>
        <v>0</v>
      </c>
      <c r="O123">
        <f>ETR!K123</f>
        <v>0</v>
      </c>
      <c r="P123">
        <f t="shared" si="11"/>
        <v>58.17907690221746</v>
      </c>
      <c r="Q123">
        <f t="shared" si="12"/>
        <v>0</v>
      </c>
      <c r="R123">
        <f t="shared" si="13"/>
        <v>0</v>
      </c>
    </row>
    <row r="124" spans="1:18" x14ac:dyDescent="0.35">
      <c r="A124" s="8">
        <f>ETR!A124</f>
        <v>42144</v>
      </c>
      <c r="B124">
        <f t="shared" si="7"/>
        <v>5</v>
      </c>
      <c r="C124">
        <f>Initialisation!$C$11</f>
        <v>68.40100000000001</v>
      </c>
      <c r="D124">
        <f>Initialisation!$C$12</f>
        <v>22.800333333333334</v>
      </c>
      <c r="E124">
        <v>0</v>
      </c>
      <c r="G124">
        <f>MeteoJ!C124</f>
        <v>0</v>
      </c>
      <c r="J124">
        <f>ETR!F124</f>
        <v>0</v>
      </c>
      <c r="K124">
        <f t="shared" si="8"/>
        <v>53.195447995280141</v>
      </c>
      <c r="L124">
        <f t="shared" si="9"/>
        <v>0</v>
      </c>
      <c r="M124">
        <f t="shared" si="10"/>
        <v>0</v>
      </c>
      <c r="O124">
        <f>ETR!K124</f>
        <v>0</v>
      </c>
      <c r="P124">
        <f t="shared" si="11"/>
        <v>58.17907690221746</v>
      </c>
      <c r="Q124">
        <f t="shared" si="12"/>
        <v>0</v>
      </c>
      <c r="R124">
        <f t="shared" si="13"/>
        <v>0</v>
      </c>
    </row>
    <row r="125" spans="1:18" x14ac:dyDescent="0.35">
      <c r="A125" s="8">
        <f>ETR!A125</f>
        <v>42144</v>
      </c>
      <c r="B125">
        <f t="shared" si="7"/>
        <v>5</v>
      </c>
      <c r="C125">
        <f>Initialisation!$C$11</f>
        <v>68.40100000000001</v>
      </c>
      <c r="D125">
        <f>Initialisation!$C$12</f>
        <v>22.800333333333334</v>
      </c>
      <c r="E125">
        <v>0</v>
      </c>
      <c r="G125">
        <f>MeteoJ!C125</f>
        <v>0</v>
      </c>
      <c r="J125">
        <f>ETR!F125</f>
        <v>0</v>
      </c>
      <c r="K125">
        <f t="shared" si="8"/>
        <v>53.195447995280141</v>
      </c>
      <c r="L125">
        <f t="shared" si="9"/>
        <v>0</v>
      </c>
      <c r="M125">
        <f t="shared" si="10"/>
        <v>0</v>
      </c>
      <c r="O125">
        <f>ETR!K125</f>
        <v>0</v>
      </c>
      <c r="P125">
        <f t="shared" si="11"/>
        <v>58.17907690221746</v>
      </c>
      <c r="Q125">
        <f t="shared" si="12"/>
        <v>0</v>
      </c>
      <c r="R125">
        <f t="shared" si="13"/>
        <v>0</v>
      </c>
    </row>
    <row r="126" spans="1:18" x14ac:dyDescent="0.35">
      <c r="A126" s="8">
        <f>ETR!A126</f>
        <v>42144</v>
      </c>
      <c r="B126">
        <f t="shared" si="7"/>
        <v>5</v>
      </c>
      <c r="C126">
        <f>Initialisation!$C$11</f>
        <v>68.40100000000001</v>
      </c>
      <c r="D126">
        <f>Initialisation!$C$12</f>
        <v>22.800333333333334</v>
      </c>
      <c r="E126">
        <v>0</v>
      </c>
      <c r="G126">
        <f>MeteoJ!C126</f>
        <v>0</v>
      </c>
      <c r="J126">
        <f>ETR!F126</f>
        <v>0</v>
      </c>
      <c r="K126">
        <f t="shared" si="8"/>
        <v>53.195447995280141</v>
      </c>
      <c r="L126">
        <f t="shared" si="9"/>
        <v>0</v>
      </c>
      <c r="M126">
        <f t="shared" si="10"/>
        <v>0</v>
      </c>
      <c r="O126">
        <f>ETR!K126</f>
        <v>0</v>
      </c>
      <c r="P126">
        <f t="shared" si="11"/>
        <v>58.17907690221746</v>
      </c>
      <c r="Q126">
        <f t="shared" si="12"/>
        <v>0</v>
      </c>
      <c r="R126">
        <f t="shared" si="13"/>
        <v>0</v>
      </c>
    </row>
    <row r="127" spans="1:18" x14ac:dyDescent="0.35">
      <c r="A127" s="8">
        <f>ETR!A127</f>
        <v>42144</v>
      </c>
      <c r="B127">
        <f t="shared" si="7"/>
        <v>5</v>
      </c>
      <c r="C127">
        <f>Initialisation!$C$11</f>
        <v>68.40100000000001</v>
      </c>
      <c r="D127">
        <f>Initialisation!$C$12</f>
        <v>22.800333333333334</v>
      </c>
      <c r="E127">
        <v>0</v>
      </c>
      <c r="G127">
        <f>MeteoJ!C127</f>
        <v>0</v>
      </c>
      <c r="J127">
        <f>ETR!F127</f>
        <v>0</v>
      </c>
      <c r="K127">
        <f t="shared" si="8"/>
        <v>53.195447995280141</v>
      </c>
      <c r="L127">
        <f t="shared" si="9"/>
        <v>0</v>
      </c>
      <c r="M127">
        <f t="shared" si="10"/>
        <v>0</v>
      </c>
      <c r="O127">
        <f>ETR!K127</f>
        <v>0</v>
      </c>
      <c r="P127">
        <f t="shared" si="11"/>
        <v>58.17907690221746</v>
      </c>
      <c r="Q127">
        <f t="shared" si="12"/>
        <v>0</v>
      </c>
      <c r="R127">
        <f t="shared" si="13"/>
        <v>0</v>
      </c>
    </row>
    <row r="128" spans="1:18" x14ac:dyDescent="0.35">
      <c r="A128" s="8">
        <f>ETR!A128</f>
        <v>42144</v>
      </c>
      <c r="B128">
        <f t="shared" si="7"/>
        <v>5</v>
      </c>
      <c r="C128">
        <f>Initialisation!$C$11</f>
        <v>68.40100000000001</v>
      </c>
      <c r="D128">
        <f>Initialisation!$C$12</f>
        <v>22.800333333333334</v>
      </c>
      <c r="E128">
        <v>0</v>
      </c>
      <c r="G128">
        <f>MeteoJ!C128</f>
        <v>0</v>
      </c>
      <c r="J128">
        <f>ETR!F128</f>
        <v>0</v>
      </c>
      <c r="K128">
        <f t="shared" si="8"/>
        <v>53.195447995280141</v>
      </c>
      <c r="L128">
        <f t="shared" si="9"/>
        <v>0</v>
      </c>
      <c r="M128">
        <f t="shared" si="10"/>
        <v>0</v>
      </c>
      <c r="O128">
        <f>ETR!K128</f>
        <v>0</v>
      </c>
      <c r="P128">
        <f t="shared" si="11"/>
        <v>58.17907690221746</v>
      </c>
      <c r="Q128">
        <f t="shared" si="12"/>
        <v>0</v>
      </c>
      <c r="R128">
        <f t="shared" si="13"/>
        <v>0</v>
      </c>
    </row>
    <row r="129" spans="1:18" x14ac:dyDescent="0.35">
      <c r="A129" s="8">
        <f>ETR!A129</f>
        <v>42144</v>
      </c>
      <c r="B129">
        <f t="shared" si="7"/>
        <v>5</v>
      </c>
      <c r="C129">
        <f>Initialisation!$C$11</f>
        <v>68.40100000000001</v>
      </c>
      <c r="D129">
        <f>Initialisation!$C$12</f>
        <v>22.800333333333334</v>
      </c>
      <c r="E129">
        <v>0</v>
      </c>
      <c r="G129">
        <f>MeteoJ!C129</f>
        <v>0</v>
      </c>
      <c r="J129">
        <f>ETR!F129</f>
        <v>0</v>
      </c>
      <c r="K129">
        <f t="shared" si="8"/>
        <v>53.195447995280141</v>
      </c>
      <c r="L129">
        <f t="shared" si="9"/>
        <v>0</v>
      </c>
      <c r="M129">
        <f t="shared" si="10"/>
        <v>0</v>
      </c>
      <c r="O129">
        <f>ETR!K129</f>
        <v>0</v>
      </c>
      <c r="P129">
        <f t="shared" si="11"/>
        <v>58.17907690221746</v>
      </c>
      <c r="Q129">
        <f t="shared" si="12"/>
        <v>0</v>
      </c>
      <c r="R129">
        <f t="shared" si="13"/>
        <v>0</v>
      </c>
    </row>
    <row r="130" spans="1:18" x14ac:dyDescent="0.35">
      <c r="A130" s="8">
        <f>ETR!A130</f>
        <v>42144</v>
      </c>
      <c r="B130">
        <f t="shared" si="7"/>
        <v>5</v>
      </c>
      <c r="C130">
        <f>Initialisation!$C$11</f>
        <v>68.40100000000001</v>
      </c>
      <c r="D130">
        <f>Initialisation!$C$12</f>
        <v>22.800333333333334</v>
      </c>
      <c r="E130">
        <v>0</v>
      </c>
      <c r="G130">
        <f>MeteoJ!C130</f>
        <v>0</v>
      </c>
      <c r="J130">
        <f>ETR!F130</f>
        <v>0</v>
      </c>
      <c r="K130">
        <f t="shared" si="8"/>
        <v>53.195447995280141</v>
      </c>
      <c r="L130">
        <f t="shared" si="9"/>
        <v>0</v>
      </c>
      <c r="M130">
        <f t="shared" si="10"/>
        <v>0</v>
      </c>
      <c r="O130">
        <f>ETR!K130</f>
        <v>0</v>
      </c>
      <c r="P130">
        <f t="shared" si="11"/>
        <v>58.17907690221746</v>
      </c>
      <c r="Q130">
        <f t="shared" si="12"/>
        <v>0</v>
      </c>
      <c r="R130">
        <f t="shared" si="13"/>
        <v>0</v>
      </c>
    </row>
    <row r="131" spans="1:18" x14ac:dyDescent="0.35">
      <c r="A131" s="8">
        <f>ETR!A131</f>
        <v>42144</v>
      </c>
      <c r="B131">
        <f t="shared" ref="B131:B194" si="14">MONTH(A131)</f>
        <v>5</v>
      </c>
      <c r="C131">
        <f>Initialisation!$C$11</f>
        <v>68.40100000000001</v>
      </c>
      <c r="D131">
        <f>Initialisation!$C$12</f>
        <v>22.800333333333334</v>
      </c>
      <c r="E131">
        <v>0</v>
      </c>
      <c r="G131">
        <f>MeteoJ!C131</f>
        <v>0</v>
      </c>
      <c r="J131">
        <f>ETR!F131</f>
        <v>0</v>
      </c>
      <c r="K131">
        <f t="shared" si="8"/>
        <v>53.195447995280141</v>
      </c>
      <c r="L131">
        <f t="shared" si="9"/>
        <v>0</v>
      </c>
      <c r="M131">
        <f t="shared" si="10"/>
        <v>0</v>
      </c>
      <c r="O131">
        <f>ETR!K131</f>
        <v>0</v>
      </c>
      <c r="P131">
        <f t="shared" si="11"/>
        <v>58.17907690221746</v>
      </c>
      <c r="Q131">
        <f t="shared" si="12"/>
        <v>0</v>
      </c>
      <c r="R131">
        <f t="shared" si="13"/>
        <v>0</v>
      </c>
    </row>
    <row r="132" spans="1:18" x14ac:dyDescent="0.35">
      <c r="A132" s="8">
        <f>ETR!A132</f>
        <v>42144</v>
      </c>
      <c r="B132">
        <f t="shared" si="14"/>
        <v>5</v>
      </c>
      <c r="C132">
        <f>Initialisation!$C$11</f>
        <v>68.40100000000001</v>
      </c>
      <c r="D132">
        <f>Initialisation!$C$12</f>
        <v>22.800333333333334</v>
      </c>
      <c r="E132">
        <v>0</v>
      </c>
      <c r="G132">
        <f>MeteoJ!C132</f>
        <v>0</v>
      </c>
      <c r="J132">
        <f>ETR!F132</f>
        <v>0</v>
      </c>
      <c r="K132">
        <f t="shared" ref="K132:K195" si="15">IF($K131+$G131+$L131-$J131&gt;=$C$2,$C$2,IF($K131+$G131+$L131-$J131&gt;$D$2,$K131+$G131+$L131-$J131,IF($K131+$G131+$L131-$J131&gt;0,$K131+$G131+$L131-$J131*($K131/$D$2),$K131+$G131+$L131-$J131*($K131/$D$2))))</f>
        <v>53.195447995280141</v>
      </c>
      <c r="L132">
        <f t="shared" ref="L132:L195" si="16">IF($K132+$G132-$J132&lt;2/3*$D132,2/3*$D132,0)</f>
        <v>0</v>
      </c>
      <c r="M132">
        <f t="shared" ref="M132:M195" si="17">M131+L131</f>
        <v>0</v>
      </c>
      <c r="O132">
        <f>ETR!K132</f>
        <v>0</v>
      </c>
      <c r="P132">
        <f t="shared" ref="P132:P195" si="18">IF($P131+$G131+$Q131-$O131&gt;=$C$2,$C$2,IF($P131+$G131+$Q131-$O131&gt;$D$2,$P131+$G131+$Q131-$O131,IF($P131+$G131+$Q131-$O131&gt;0,$P131+$G131+$Q131-$O131*($P131/$D$2),$P131+$G131+$Q131-$O131*($P131/$D$2))))</f>
        <v>58.17907690221746</v>
      </c>
      <c r="Q132">
        <f t="shared" ref="Q132:Q195" si="19">IF($P132+$G132-$O132&lt;2/3*$D132,2/3*$D132,0)</f>
        <v>0</v>
      </c>
      <c r="R132">
        <f t="shared" ref="R132:R195" si="20">R131+Q131</f>
        <v>0</v>
      </c>
    </row>
    <row r="133" spans="1:18" x14ac:dyDescent="0.35">
      <c r="A133" s="8">
        <f>ETR!A133</f>
        <v>42144</v>
      </c>
      <c r="B133">
        <f t="shared" si="14"/>
        <v>5</v>
      </c>
      <c r="C133">
        <f>Initialisation!$C$11</f>
        <v>68.40100000000001</v>
      </c>
      <c r="D133">
        <f>Initialisation!$C$12</f>
        <v>22.800333333333334</v>
      </c>
      <c r="E133">
        <v>0</v>
      </c>
      <c r="G133">
        <f>MeteoJ!C133</f>
        <v>0</v>
      </c>
      <c r="J133">
        <f>ETR!F133</f>
        <v>0</v>
      </c>
      <c r="K133">
        <f t="shared" si="15"/>
        <v>53.195447995280141</v>
      </c>
      <c r="L133">
        <f t="shared" si="16"/>
        <v>0</v>
      </c>
      <c r="M133">
        <f t="shared" si="17"/>
        <v>0</v>
      </c>
      <c r="O133">
        <f>ETR!K133</f>
        <v>0</v>
      </c>
      <c r="P133">
        <f t="shared" si="18"/>
        <v>58.17907690221746</v>
      </c>
      <c r="Q133">
        <f t="shared" si="19"/>
        <v>0</v>
      </c>
      <c r="R133">
        <f t="shared" si="20"/>
        <v>0</v>
      </c>
    </row>
    <row r="134" spans="1:18" x14ac:dyDescent="0.35">
      <c r="A134" s="8">
        <f>ETR!A134</f>
        <v>42144</v>
      </c>
      <c r="B134">
        <f t="shared" si="14"/>
        <v>5</v>
      </c>
      <c r="C134">
        <f>Initialisation!$C$11</f>
        <v>68.40100000000001</v>
      </c>
      <c r="D134">
        <f>Initialisation!$C$12</f>
        <v>22.800333333333334</v>
      </c>
      <c r="E134">
        <v>0</v>
      </c>
      <c r="G134">
        <f>MeteoJ!C134</f>
        <v>0</v>
      </c>
      <c r="J134">
        <f>ETR!F134</f>
        <v>0</v>
      </c>
      <c r="K134">
        <f t="shared" si="15"/>
        <v>53.195447995280141</v>
      </c>
      <c r="L134">
        <f t="shared" si="16"/>
        <v>0</v>
      </c>
      <c r="M134">
        <f t="shared" si="17"/>
        <v>0</v>
      </c>
      <c r="O134">
        <f>ETR!K134</f>
        <v>0</v>
      </c>
      <c r="P134">
        <f t="shared" si="18"/>
        <v>58.17907690221746</v>
      </c>
      <c r="Q134">
        <f t="shared" si="19"/>
        <v>0</v>
      </c>
      <c r="R134">
        <f t="shared" si="20"/>
        <v>0</v>
      </c>
    </row>
    <row r="135" spans="1:18" x14ac:dyDescent="0.35">
      <c r="A135" s="8">
        <f>ETR!A135</f>
        <v>42144</v>
      </c>
      <c r="B135">
        <f t="shared" si="14"/>
        <v>5</v>
      </c>
      <c r="C135">
        <f>Initialisation!$C$11</f>
        <v>68.40100000000001</v>
      </c>
      <c r="D135">
        <f>Initialisation!$C$12</f>
        <v>22.800333333333334</v>
      </c>
      <c r="E135">
        <v>0</v>
      </c>
      <c r="G135">
        <f>MeteoJ!C135</f>
        <v>0</v>
      </c>
      <c r="J135">
        <f>ETR!F135</f>
        <v>0</v>
      </c>
      <c r="K135">
        <f t="shared" si="15"/>
        <v>53.195447995280141</v>
      </c>
      <c r="L135">
        <f t="shared" si="16"/>
        <v>0</v>
      </c>
      <c r="M135">
        <f t="shared" si="17"/>
        <v>0</v>
      </c>
      <c r="O135">
        <f>ETR!K135</f>
        <v>0</v>
      </c>
      <c r="P135">
        <f t="shared" si="18"/>
        <v>58.17907690221746</v>
      </c>
      <c r="Q135">
        <f t="shared" si="19"/>
        <v>0</v>
      </c>
      <c r="R135">
        <f t="shared" si="20"/>
        <v>0</v>
      </c>
    </row>
    <row r="136" spans="1:18" x14ac:dyDescent="0.35">
      <c r="A136" s="8">
        <f>ETR!A136</f>
        <v>42144</v>
      </c>
      <c r="B136">
        <f t="shared" si="14"/>
        <v>5</v>
      </c>
      <c r="C136">
        <f>Initialisation!$C$11</f>
        <v>68.40100000000001</v>
      </c>
      <c r="D136">
        <f>Initialisation!$C$12</f>
        <v>22.800333333333334</v>
      </c>
      <c r="E136">
        <v>0</v>
      </c>
      <c r="G136">
        <f>MeteoJ!C136</f>
        <v>0</v>
      </c>
      <c r="J136">
        <f>ETR!F136</f>
        <v>0</v>
      </c>
      <c r="K136">
        <f t="shared" si="15"/>
        <v>53.195447995280141</v>
      </c>
      <c r="L136">
        <f t="shared" si="16"/>
        <v>0</v>
      </c>
      <c r="M136">
        <f t="shared" si="17"/>
        <v>0</v>
      </c>
      <c r="O136">
        <f>ETR!K136</f>
        <v>0</v>
      </c>
      <c r="P136">
        <f t="shared" si="18"/>
        <v>58.17907690221746</v>
      </c>
      <c r="Q136">
        <f t="shared" si="19"/>
        <v>0</v>
      </c>
      <c r="R136">
        <f t="shared" si="20"/>
        <v>0</v>
      </c>
    </row>
    <row r="137" spans="1:18" x14ac:dyDescent="0.35">
      <c r="A137" s="8">
        <f>ETR!A137</f>
        <v>42144</v>
      </c>
      <c r="B137">
        <f t="shared" si="14"/>
        <v>5</v>
      </c>
      <c r="C137">
        <f>Initialisation!$C$11</f>
        <v>68.40100000000001</v>
      </c>
      <c r="D137">
        <f>Initialisation!$C$12</f>
        <v>22.800333333333334</v>
      </c>
      <c r="E137">
        <v>0</v>
      </c>
      <c r="G137">
        <f>MeteoJ!C137</f>
        <v>0</v>
      </c>
      <c r="J137">
        <f>ETR!F137</f>
        <v>0</v>
      </c>
      <c r="K137">
        <f t="shared" si="15"/>
        <v>53.195447995280141</v>
      </c>
      <c r="L137">
        <f t="shared" si="16"/>
        <v>0</v>
      </c>
      <c r="M137">
        <f t="shared" si="17"/>
        <v>0</v>
      </c>
      <c r="O137">
        <f>ETR!K137</f>
        <v>0</v>
      </c>
      <c r="P137">
        <f t="shared" si="18"/>
        <v>58.17907690221746</v>
      </c>
      <c r="Q137">
        <f t="shared" si="19"/>
        <v>0</v>
      </c>
      <c r="R137">
        <f t="shared" si="20"/>
        <v>0</v>
      </c>
    </row>
    <row r="138" spans="1:18" x14ac:dyDescent="0.35">
      <c r="A138" s="8">
        <f>ETR!A138</f>
        <v>42144</v>
      </c>
      <c r="B138">
        <f t="shared" si="14"/>
        <v>5</v>
      </c>
      <c r="C138">
        <f>Initialisation!$C$11</f>
        <v>68.40100000000001</v>
      </c>
      <c r="D138">
        <f>Initialisation!$C$12</f>
        <v>22.800333333333334</v>
      </c>
      <c r="E138">
        <v>0</v>
      </c>
      <c r="G138">
        <f>MeteoJ!C138</f>
        <v>0</v>
      </c>
      <c r="J138">
        <f>ETR!F138</f>
        <v>0</v>
      </c>
      <c r="K138">
        <f t="shared" si="15"/>
        <v>53.195447995280141</v>
      </c>
      <c r="L138">
        <f t="shared" si="16"/>
        <v>0</v>
      </c>
      <c r="M138">
        <f t="shared" si="17"/>
        <v>0</v>
      </c>
      <c r="O138">
        <f>ETR!K138</f>
        <v>0</v>
      </c>
      <c r="P138">
        <f t="shared" si="18"/>
        <v>58.17907690221746</v>
      </c>
      <c r="Q138">
        <f t="shared" si="19"/>
        <v>0</v>
      </c>
      <c r="R138">
        <f t="shared" si="20"/>
        <v>0</v>
      </c>
    </row>
    <row r="139" spans="1:18" x14ac:dyDescent="0.35">
      <c r="A139" s="8">
        <f>ETR!A139</f>
        <v>42144</v>
      </c>
      <c r="B139">
        <f t="shared" si="14"/>
        <v>5</v>
      </c>
      <c r="C139">
        <f>Initialisation!$C$11</f>
        <v>68.40100000000001</v>
      </c>
      <c r="D139">
        <f>Initialisation!$C$12</f>
        <v>22.800333333333334</v>
      </c>
      <c r="E139">
        <v>0</v>
      </c>
      <c r="G139">
        <f>MeteoJ!C139</f>
        <v>0</v>
      </c>
      <c r="J139">
        <f>ETR!F139</f>
        <v>0</v>
      </c>
      <c r="K139">
        <f t="shared" si="15"/>
        <v>53.195447995280141</v>
      </c>
      <c r="L139">
        <f t="shared" si="16"/>
        <v>0</v>
      </c>
      <c r="M139">
        <f t="shared" si="17"/>
        <v>0</v>
      </c>
      <c r="O139">
        <f>ETR!K139</f>
        <v>0</v>
      </c>
      <c r="P139">
        <f t="shared" si="18"/>
        <v>58.17907690221746</v>
      </c>
      <c r="Q139">
        <f t="shared" si="19"/>
        <v>0</v>
      </c>
      <c r="R139">
        <f t="shared" si="20"/>
        <v>0</v>
      </c>
    </row>
    <row r="140" spans="1:18" x14ac:dyDescent="0.35">
      <c r="A140" s="8">
        <f>ETR!A140</f>
        <v>42144</v>
      </c>
      <c r="B140">
        <f t="shared" si="14"/>
        <v>5</v>
      </c>
      <c r="C140">
        <f>Initialisation!$C$11</f>
        <v>68.40100000000001</v>
      </c>
      <c r="D140">
        <f>Initialisation!$C$12</f>
        <v>22.800333333333334</v>
      </c>
      <c r="E140">
        <v>0</v>
      </c>
      <c r="G140">
        <f>MeteoJ!C140</f>
        <v>0</v>
      </c>
      <c r="J140">
        <f>ETR!F140</f>
        <v>0</v>
      </c>
      <c r="K140">
        <f t="shared" si="15"/>
        <v>53.195447995280141</v>
      </c>
      <c r="L140">
        <f t="shared" si="16"/>
        <v>0</v>
      </c>
      <c r="M140">
        <f t="shared" si="17"/>
        <v>0</v>
      </c>
      <c r="O140">
        <f>ETR!K140</f>
        <v>0</v>
      </c>
      <c r="P140">
        <f t="shared" si="18"/>
        <v>58.17907690221746</v>
      </c>
      <c r="Q140">
        <f t="shared" si="19"/>
        <v>0</v>
      </c>
      <c r="R140">
        <f t="shared" si="20"/>
        <v>0</v>
      </c>
    </row>
    <row r="141" spans="1:18" x14ac:dyDescent="0.35">
      <c r="A141" s="8">
        <f>ETR!A141</f>
        <v>42144</v>
      </c>
      <c r="B141">
        <f t="shared" si="14"/>
        <v>5</v>
      </c>
      <c r="C141">
        <f>Initialisation!$C$11</f>
        <v>68.40100000000001</v>
      </c>
      <c r="D141">
        <f>Initialisation!$C$12</f>
        <v>22.800333333333334</v>
      </c>
      <c r="E141">
        <v>0</v>
      </c>
      <c r="G141">
        <f>MeteoJ!C141</f>
        <v>0</v>
      </c>
      <c r="J141">
        <f>ETR!F141</f>
        <v>0</v>
      </c>
      <c r="K141">
        <f t="shared" si="15"/>
        <v>53.195447995280141</v>
      </c>
      <c r="L141">
        <f t="shared" si="16"/>
        <v>0</v>
      </c>
      <c r="M141">
        <f t="shared" si="17"/>
        <v>0</v>
      </c>
      <c r="O141">
        <f>ETR!K141</f>
        <v>0</v>
      </c>
      <c r="P141">
        <f t="shared" si="18"/>
        <v>58.17907690221746</v>
      </c>
      <c r="Q141">
        <f t="shared" si="19"/>
        <v>0</v>
      </c>
      <c r="R141">
        <f t="shared" si="20"/>
        <v>0</v>
      </c>
    </row>
    <row r="142" spans="1:18" x14ac:dyDescent="0.35">
      <c r="A142" s="8">
        <f>ETR!A142</f>
        <v>42144</v>
      </c>
      <c r="B142">
        <f t="shared" si="14"/>
        <v>5</v>
      </c>
      <c r="C142">
        <f>Initialisation!$C$11</f>
        <v>68.40100000000001</v>
      </c>
      <c r="D142">
        <f>Initialisation!$C$12</f>
        <v>22.800333333333334</v>
      </c>
      <c r="E142">
        <v>0</v>
      </c>
      <c r="G142">
        <f>MeteoJ!C142</f>
        <v>0</v>
      </c>
      <c r="J142">
        <f>ETR!F142</f>
        <v>0</v>
      </c>
      <c r="K142">
        <f t="shared" si="15"/>
        <v>53.195447995280141</v>
      </c>
      <c r="L142">
        <f t="shared" si="16"/>
        <v>0</v>
      </c>
      <c r="M142">
        <f t="shared" si="17"/>
        <v>0</v>
      </c>
      <c r="O142">
        <f>ETR!K142</f>
        <v>0</v>
      </c>
      <c r="P142">
        <f t="shared" si="18"/>
        <v>58.17907690221746</v>
      </c>
      <c r="Q142">
        <f t="shared" si="19"/>
        <v>0</v>
      </c>
      <c r="R142">
        <f t="shared" si="20"/>
        <v>0</v>
      </c>
    </row>
    <row r="143" spans="1:18" x14ac:dyDescent="0.35">
      <c r="A143" s="8">
        <f>ETR!A143</f>
        <v>42144</v>
      </c>
      <c r="B143">
        <f t="shared" si="14"/>
        <v>5</v>
      </c>
      <c r="C143">
        <f>Initialisation!$C$11</f>
        <v>68.40100000000001</v>
      </c>
      <c r="D143">
        <f>Initialisation!$C$12</f>
        <v>22.800333333333334</v>
      </c>
      <c r="E143">
        <v>0</v>
      </c>
      <c r="G143">
        <f>MeteoJ!C143</f>
        <v>0</v>
      </c>
      <c r="J143">
        <f>ETR!F143</f>
        <v>0</v>
      </c>
      <c r="K143">
        <f t="shared" si="15"/>
        <v>53.195447995280141</v>
      </c>
      <c r="L143">
        <f t="shared" si="16"/>
        <v>0</v>
      </c>
      <c r="M143">
        <f t="shared" si="17"/>
        <v>0</v>
      </c>
      <c r="O143">
        <f>ETR!K143</f>
        <v>0</v>
      </c>
      <c r="P143">
        <f t="shared" si="18"/>
        <v>58.17907690221746</v>
      </c>
      <c r="Q143">
        <f t="shared" si="19"/>
        <v>0</v>
      </c>
      <c r="R143">
        <f t="shared" si="20"/>
        <v>0</v>
      </c>
    </row>
    <row r="144" spans="1:18" x14ac:dyDescent="0.35">
      <c r="A144" s="8">
        <f>ETR!A144</f>
        <v>42144</v>
      </c>
      <c r="B144">
        <f t="shared" si="14"/>
        <v>5</v>
      </c>
      <c r="C144">
        <f>Initialisation!$C$11</f>
        <v>68.40100000000001</v>
      </c>
      <c r="D144">
        <f>Initialisation!$C$12</f>
        <v>22.800333333333334</v>
      </c>
      <c r="E144">
        <v>0</v>
      </c>
      <c r="G144">
        <f>MeteoJ!C144</f>
        <v>0</v>
      </c>
      <c r="J144">
        <f>ETR!F144</f>
        <v>0</v>
      </c>
      <c r="K144">
        <f t="shared" si="15"/>
        <v>53.195447995280141</v>
      </c>
      <c r="L144">
        <f t="shared" si="16"/>
        <v>0</v>
      </c>
      <c r="M144">
        <f t="shared" si="17"/>
        <v>0</v>
      </c>
      <c r="O144">
        <f>ETR!K144</f>
        <v>0</v>
      </c>
      <c r="P144">
        <f t="shared" si="18"/>
        <v>58.17907690221746</v>
      </c>
      <c r="Q144">
        <f t="shared" si="19"/>
        <v>0</v>
      </c>
      <c r="R144">
        <f t="shared" si="20"/>
        <v>0</v>
      </c>
    </row>
    <row r="145" spans="1:18" x14ac:dyDescent="0.35">
      <c r="A145" s="8">
        <f>ETR!A145</f>
        <v>42144</v>
      </c>
      <c r="B145">
        <f t="shared" si="14"/>
        <v>5</v>
      </c>
      <c r="C145">
        <f>Initialisation!$C$11</f>
        <v>68.40100000000001</v>
      </c>
      <c r="D145">
        <f>Initialisation!$C$12</f>
        <v>22.800333333333334</v>
      </c>
      <c r="E145">
        <v>0</v>
      </c>
      <c r="G145">
        <f>MeteoJ!C145</f>
        <v>0</v>
      </c>
      <c r="J145">
        <f>ETR!F145</f>
        <v>0</v>
      </c>
      <c r="K145">
        <f t="shared" si="15"/>
        <v>53.195447995280141</v>
      </c>
      <c r="L145">
        <f t="shared" si="16"/>
        <v>0</v>
      </c>
      <c r="M145">
        <f t="shared" si="17"/>
        <v>0</v>
      </c>
      <c r="O145">
        <f>ETR!K145</f>
        <v>0</v>
      </c>
      <c r="P145">
        <f t="shared" si="18"/>
        <v>58.17907690221746</v>
      </c>
      <c r="Q145">
        <f t="shared" si="19"/>
        <v>0</v>
      </c>
      <c r="R145">
        <f t="shared" si="20"/>
        <v>0</v>
      </c>
    </row>
    <row r="146" spans="1:18" x14ac:dyDescent="0.35">
      <c r="A146" s="8">
        <f>ETR!A146</f>
        <v>42144</v>
      </c>
      <c r="B146">
        <f t="shared" si="14"/>
        <v>5</v>
      </c>
      <c r="C146">
        <f>Initialisation!$C$11</f>
        <v>68.40100000000001</v>
      </c>
      <c r="D146">
        <f>Initialisation!$C$12</f>
        <v>22.800333333333334</v>
      </c>
      <c r="E146">
        <v>0</v>
      </c>
      <c r="G146">
        <f>MeteoJ!C146</f>
        <v>0</v>
      </c>
      <c r="J146">
        <f>ETR!F146</f>
        <v>0</v>
      </c>
      <c r="K146">
        <f t="shared" si="15"/>
        <v>53.195447995280141</v>
      </c>
      <c r="L146">
        <f t="shared" si="16"/>
        <v>0</v>
      </c>
      <c r="M146">
        <f t="shared" si="17"/>
        <v>0</v>
      </c>
      <c r="O146">
        <f>ETR!K146</f>
        <v>0</v>
      </c>
      <c r="P146">
        <f t="shared" si="18"/>
        <v>58.17907690221746</v>
      </c>
      <c r="Q146">
        <f t="shared" si="19"/>
        <v>0</v>
      </c>
      <c r="R146">
        <f t="shared" si="20"/>
        <v>0</v>
      </c>
    </row>
    <row r="147" spans="1:18" x14ac:dyDescent="0.35">
      <c r="A147" s="8">
        <f>ETR!A147</f>
        <v>42144</v>
      </c>
      <c r="B147">
        <f t="shared" si="14"/>
        <v>5</v>
      </c>
      <c r="C147">
        <f>Initialisation!$C$11</f>
        <v>68.40100000000001</v>
      </c>
      <c r="D147">
        <f>Initialisation!$C$12</f>
        <v>22.800333333333334</v>
      </c>
      <c r="E147">
        <v>0</v>
      </c>
      <c r="G147">
        <f>MeteoJ!C147</f>
        <v>0</v>
      </c>
      <c r="J147">
        <f>ETR!F147</f>
        <v>0</v>
      </c>
      <c r="K147">
        <f t="shared" si="15"/>
        <v>53.195447995280141</v>
      </c>
      <c r="L147">
        <f t="shared" si="16"/>
        <v>0</v>
      </c>
      <c r="M147">
        <f t="shared" si="17"/>
        <v>0</v>
      </c>
      <c r="O147">
        <f>ETR!K147</f>
        <v>0</v>
      </c>
      <c r="P147">
        <f t="shared" si="18"/>
        <v>58.17907690221746</v>
      </c>
      <c r="Q147">
        <f t="shared" si="19"/>
        <v>0</v>
      </c>
      <c r="R147">
        <f t="shared" si="20"/>
        <v>0</v>
      </c>
    </row>
    <row r="148" spans="1:18" x14ac:dyDescent="0.35">
      <c r="A148" s="8">
        <f>ETR!A148</f>
        <v>42144</v>
      </c>
      <c r="B148">
        <f t="shared" si="14"/>
        <v>5</v>
      </c>
      <c r="C148">
        <f>Initialisation!$C$11</f>
        <v>68.40100000000001</v>
      </c>
      <c r="D148">
        <f>Initialisation!$C$12</f>
        <v>22.800333333333334</v>
      </c>
      <c r="E148">
        <v>0</v>
      </c>
      <c r="G148">
        <f>MeteoJ!C148</f>
        <v>0</v>
      </c>
      <c r="J148">
        <f>ETR!F148</f>
        <v>0</v>
      </c>
      <c r="K148">
        <f t="shared" si="15"/>
        <v>53.195447995280141</v>
      </c>
      <c r="L148">
        <f t="shared" si="16"/>
        <v>0</v>
      </c>
      <c r="M148">
        <f t="shared" si="17"/>
        <v>0</v>
      </c>
      <c r="O148">
        <f>ETR!K148</f>
        <v>0</v>
      </c>
      <c r="P148">
        <f t="shared" si="18"/>
        <v>58.17907690221746</v>
      </c>
      <c r="Q148">
        <f t="shared" si="19"/>
        <v>0</v>
      </c>
      <c r="R148">
        <f t="shared" si="20"/>
        <v>0</v>
      </c>
    </row>
    <row r="149" spans="1:18" x14ac:dyDescent="0.35">
      <c r="A149" s="8">
        <f>ETR!A149</f>
        <v>42144</v>
      </c>
      <c r="B149">
        <f t="shared" si="14"/>
        <v>5</v>
      </c>
      <c r="C149">
        <f>Initialisation!$C$11</f>
        <v>68.40100000000001</v>
      </c>
      <c r="D149">
        <f>Initialisation!$C$12</f>
        <v>22.800333333333334</v>
      </c>
      <c r="E149">
        <v>0</v>
      </c>
      <c r="G149">
        <f>MeteoJ!C149</f>
        <v>0</v>
      </c>
      <c r="J149">
        <f>ETR!F149</f>
        <v>0</v>
      </c>
      <c r="K149">
        <f t="shared" si="15"/>
        <v>53.195447995280141</v>
      </c>
      <c r="L149">
        <f t="shared" si="16"/>
        <v>0</v>
      </c>
      <c r="M149">
        <f t="shared" si="17"/>
        <v>0</v>
      </c>
      <c r="O149">
        <f>ETR!K149</f>
        <v>0</v>
      </c>
      <c r="P149">
        <f t="shared" si="18"/>
        <v>58.17907690221746</v>
      </c>
      <c r="Q149">
        <f t="shared" si="19"/>
        <v>0</v>
      </c>
      <c r="R149">
        <f t="shared" si="20"/>
        <v>0</v>
      </c>
    </row>
    <row r="150" spans="1:18" x14ac:dyDescent="0.35">
      <c r="A150" s="8">
        <f>ETR!A150</f>
        <v>42144</v>
      </c>
      <c r="B150">
        <f t="shared" si="14"/>
        <v>5</v>
      </c>
      <c r="C150">
        <f>Initialisation!$C$11</f>
        <v>68.40100000000001</v>
      </c>
      <c r="D150">
        <f>Initialisation!$C$12</f>
        <v>22.800333333333334</v>
      </c>
      <c r="E150">
        <v>0</v>
      </c>
      <c r="G150">
        <f>MeteoJ!C150</f>
        <v>0</v>
      </c>
      <c r="J150">
        <f>ETR!F150</f>
        <v>0</v>
      </c>
      <c r="K150">
        <f t="shared" si="15"/>
        <v>53.195447995280141</v>
      </c>
      <c r="L150">
        <f t="shared" si="16"/>
        <v>0</v>
      </c>
      <c r="M150">
        <f t="shared" si="17"/>
        <v>0</v>
      </c>
      <c r="O150">
        <f>ETR!K150</f>
        <v>0</v>
      </c>
      <c r="P150">
        <f t="shared" si="18"/>
        <v>58.17907690221746</v>
      </c>
      <c r="Q150">
        <f t="shared" si="19"/>
        <v>0</v>
      </c>
      <c r="R150">
        <f t="shared" si="20"/>
        <v>0</v>
      </c>
    </row>
    <row r="151" spans="1:18" x14ac:dyDescent="0.35">
      <c r="A151" s="8">
        <f>ETR!A151</f>
        <v>42144</v>
      </c>
      <c r="B151">
        <f t="shared" si="14"/>
        <v>5</v>
      </c>
      <c r="C151">
        <f>Initialisation!$C$11</f>
        <v>68.40100000000001</v>
      </c>
      <c r="D151">
        <f>Initialisation!$C$12</f>
        <v>22.800333333333334</v>
      </c>
      <c r="E151">
        <v>0</v>
      </c>
      <c r="G151">
        <f>MeteoJ!C151</f>
        <v>0</v>
      </c>
      <c r="J151">
        <f>ETR!F151</f>
        <v>0</v>
      </c>
      <c r="K151">
        <f t="shared" si="15"/>
        <v>53.195447995280141</v>
      </c>
      <c r="L151">
        <f t="shared" si="16"/>
        <v>0</v>
      </c>
      <c r="M151">
        <f t="shared" si="17"/>
        <v>0</v>
      </c>
      <c r="O151">
        <f>ETR!K151</f>
        <v>0</v>
      </c>
      <c r="P151">
        <f t="shared" si="18"/>
        <v>58.17907690221746</v>
      </c>
      <c r="Q151">
        <f t="shared" si="19"/>
        <v>0</v>
      </c>
      <c r="R151">
        <f t="shared" si="20"/>
        <v>0</v>
      </c>
    </row>
    <row r="152" spans="1:18" x14ac:dyDescent="0.35">
      <c r="A152" s="8">
        <f>ETR!A152</f>
        <v>42144</v>
      </c>
      <c r="B152">
        <f t="shared" si="14"/>
        <v>5</v>
      </c>
      <c r="C152">
        <f>Initialisation!$C$11</f>
        <v>68.40100000000001</v>
      </c>
      <c r="D152">
        <f>Initialisation!$C$12</f>
        <v>22.800333333333334</v>
      </c>
      <c r="E152">
        <v>0</v>
      </c>
      <c r="G152">
        <f>MeteoJ!C152</f>
        <v>0</v>
      </c>
      <c r="J152">
        <f>ETR!F152</f>
        <v>0</v>
      </c>
      <c r="K152">
        <f t="shared" si="15"/>
        <v>53.195447995280141</v>
      </c>
      <c r="L152">
        <f t="shared" si="16"/>
        <v>0</v>
      </c>
      <c r="M152">
        <f t="shared" si="17"/>
        <v>0</v>
      </c>
      <c r="O152">
        <f>ETR!K152</f>
        <v>0</v>
      </c>
      <c r="P152">
        <f t="shared" si="18"/>
        <v>58.17907690221746</v>
      </c>
      <c r="Q152">
        <f t="shared" si="19"/>
        <v>0</v>
      </c>
      <c r="R152">
        <f t="shared" si="20"/>
        <v>0</v>
      </c>
    </row>
    <row r="153" spans="1:18" x14ac:dyDescent="0.35">
      <c r="A153" s="8">
        <f>ETR!A153</f>
        <v>42144</v>
      </c>
      <c r="B153">
        <f t="shared" si="14"/>
        <v>5</v>
      </c>
      <c r="C153">
        <f>Initialisation!$C$11</f>
        <v>68.40100000000001</v>
      </c>
      <c r="D153">
        <f>Initialisation!$C$12</f>
        <v>22.800333333333334</v>
      </c>
      <c r="E153">
        <v>0</v>
      </c>
      <c r="G153">
        <f>MeteoJ!C153</f>
        <v>0</v>
      </c>
      <c r="J153">
        <f>ETR!F153</f>
        <v>0</v>
      </c>
      <c r="K153">
        <f t="shared" si="15"/>
        <v>53.195447995280141</v>
      </c>
      <c r="L153">
        <f t="shared" si="16"/>
        <v>0</v>
      </c>
      <c r="M153">
        <f t="shared" si="17"/>
        <v>0</v>
      </c>
      <c r="O153">
        <f>ETR!K153</f>
        <v>0</v>
      </c>
      <c r="P153">
        <f t="shared" si="18"/>
        <v>58.17907690221746</v>
      </c>
      <c r="Q153">
        <f t="shared" si="19"/>
        <v>0</v>
      </c>
      <c r="R153">
        <f t="shared" si="20"/>
        <v>0</v>
      </c>
    </row>
    <row r="154" spans="1:18" x14ac:dyDescent="0.35">
      <c r="A154" s="8">
        <f>ETR!A154</f>
        <v>42144</v>
      </c>
      <c r="B154">
        <f t="shared" si="14"/>
        <v>5</v>
      </c>
      <c r="C154">
        <f>Initialisation!$C$11</f>
        <v>68.40100000000001</v>
      </c>
      <c r="D154">
        <f>Initialisation!$C$12</f>
        <v>22.800333333333334</v>
      </c>
      <c r="E154">
        <v>0</v>
      </c>
      <c r="G154">
        <f>MeteoJ!C154</f>
        <v>0</v>
      </c>
      <c r="J154">
        <f>ETR!F154</f>
        <v>0</v>
      </c>
      <c r="K154">
        <f t="shared" si="15"/>
        <v>53.195447995280141</v>
      </c>
      <c r="L154">
        <f t="shared" si="16"/>
        <v>0</v>
      </c>
      <c r="M154">
        <f t="shared" si="17"/>
        <v>0</v>
      </c>
      <c r="O154">
        <f>ETR!K154</f>
        <v>0</v>
      </c>
      <c r="P154">
        <f t="shared" si="18"/>
        <v>58.17907690221746</v>
      </c>
      <c r="Q154">
        <f t="shared" si="19"/>
        <v>0</v>
      </c>
      <c r="R154">
        <f t="shared" si="20"/>
        <v>0</v>
      </c>
    </row>
    <row r="155" spans="1:18" x14ac:dyDescent="0.35">
      <c r="A155" s="8">
        <f>ETR!A155</f>
        <v>42144</v>
      </c>
      <c r="B155">
        <f t="shared" si="14"/>
        <v>5</v>
      </c>
      <c r="C155">
        <f>Initialisation!$C$11</f>
        <v>68.40100000000001</v>
      </c>
      <c r="D155">
        <f>Initialisation!$C$12</f>
        <v>22.800333333333334</v>
      </c>
      <c r="E155">
        <v>0</v>
      </c>
      <c r="G155">
        <f>MeteoJ!C155</f>
        <v>0</v>
      </c>
      <c r="J155">
        <f>ETR!F155</f>
        <v>0</v>
      </c>
      <c r="K155">
        <f t="shared" si="15"/>
        <v>53.195447995280141</v>
      </c>
      <c r="L155">
        <f t="shared" si="16"/>
        <v>0</v>
      </c>
      <c r="M155">
        <f t="shared" si="17"/>
        <v>0</v>
      </c>
      <c r="O155">
        <f>ETR!K155</f>
        <v>0</v>
      </c>
      <c r="P155">
        <f t="shared" si="18"/>
        <v>58.17907690221746</v>
      </c>
      <c r="Q155">
        <f t="shared" si="19"/>
        <v>0</v>
      </c>
      <c r="R155">
        <f t="shared" si="20"/>
        <v>0</v>
      </c>
    </row>
    <row r="156" spans="1:18" x14ac:dyDescent="0.35">
      <c r="A156" s="8">
        <f>ETR!A156</f>
        <v>42144</v>
      </c>
      <c r="B156">
        <f t="shared" si="14"/>
        <v>5</v>
      </c>
      <c r="C156">
        <f>Initialisation!$C$11</f>
        <v>68.40100000000001</v>
      </c>
      <c r="D156">
        <f>Initialisation!$C$12</f>
        <v>22.800333333333334</v>
      </c>
      <c r="E156">
        <v>0</v>
      </c>
      <c r="G156">
        <f>MeteoJ!C156</f>
        <v>0</v>
      </c>
      <c r="J156">
        <f>ETR!F156</f>
        <v>0</v>
      </c>
      <c r="K156">
        <f t="shared" si="15"/>
        <v>53.195447995280141</v>
      </c>
      <c r="L156">
        <f t="shared" si="16"/>
        <v>0</v>
      </c>
      <c r="M156">
        <f t="shared" si="17"/>
        <v>0</v>
      </c>
      <c r="O156">
        <f>ETR!K156</f>
        <v>0</v>
      </c>
      <c r="P156">
        <f t="shared" si="18"/>
        <v>58.17907690221746</v>
      </c>
      <c r="Q156">
        <f t="shared" si="19"/>
        <v>0</v>
      </c>
      <c r="R156">
        <f t="shared" si="20"/>
        <v>0</v>
      </c>
    </row>
    <row r="157" spans="1:18" x14ac:dyDescent="0.35">
      <c r="A157" s="8">
        <f>ETR!A157</f>
        <v>42144</v>
      </c>
      <c r="B157">
        <f t="shared" si="14"/>
        <v>5</v>
      </c>
      <c r="C157">
        <f>Initialisation!$C$11</f>
        <v>68.40100000000001</v>
      </c>
      <c r="D157">
        <f>Initialisation!$C$12</f>
        <v>22.800333333333334</v>
      </c>
      <c r="E157">
        <v>0</v>
      </c>
      <c r="G157">
        <f>MeteoJ!C157</f>
        <v>0</v>
      </c>
      <c r="J157">
        <f>ETR!F157</f>
        <v>0</v>
      </c>
      <c r="K157">
        <f t="shared" si="15"/>
        <v>53.195447995280141</v>
      </c>
      <c r="L157">
        <f t="shared" si="16"/>
        <v>0</v>
      </c>
      <c r="M157">
        <f t="shared" si="17"/>
        <v>0</v>
      </c>
      <c r="O157">
        <f>ETR!K157</f>
        <v>0</v>
      </c>
      <c r="P157">
        <f t="shared" si="18"/>
        <v>58.17907690221746</v>
      </c>
      <c r="Q157">
        <f t="shared" si="19"/>
        <v>0</v>
      </c>
      <c r="R157">
        <f t="shared" si="20"/>
        <v>0</v>
      </c>
    </row>
    <row r="158" spans="1:18" x14ac:dyDescent="0.35">
      <c r="A158" s="8">
        <f>ETR!A158</f>
        <v>42144</v>
      </c>
      <c r="B158">
        <f t="shared" si="14"/>
        <v>5</v>
      </c>
      <c r="C158">
        <f>Initialisation!$C$11</f>
        <v>68.40100000000001</v>
      </c>
      <c r="D158">
        <f>Initialisation!$C$12</f>
        <v>22.800333333333334</v>
      </c>
      <c r="E158">
        <v>0</v>
      </c>
      <c r="G158">
        <f>MeteoJ!C158</f>
        <v>0</v>
      </c>
      <c r="J158">
        <f>ETR!F158</f>
        <v>0</v>
      </c>
      <c r="K158">
        <f t="shared" si="15"/>
        <v>53.195447995280141</v>
      </c>
      <c r="L158">
        <f t="shared" si="16"/>
        <v>0</v>
      </c>
      <c r="M158">
        <f t="shared" si="17"/>
        <v>0</v>
      </c>
      <c r="O158">
        <f>ETR!K158</f>
        <v>0</v>
      </c>
      <c r="P158">
        <f t="shared" si="18"/>
        <v>58.17907690221746</v>
      </c>
      <c r="Q158">
        <f t="shared" si="19"/>
        <v>0</v>
      </c>
      <c r="R158">
        <f t="shared" si="20"/>
        <v>0</v>
      </c>
    </row>
    <row r="159" spans="1:18" x14ac:dyDescent="0.35">
      <c r="A159" s="8">
        <f>ETR!A159</f>
        <v>42144</v>
      </c>
      <c r="B159">
        <f t="shared" si="14"/>
        <v>5</v>
      </c>
      <c r="C159">
        <f>Initialisation!$C$11</f>
        <v>68.40100000000001</v>
      </c>
      <c r="D159">
        <f>Initialisation!$C$12</f>
        <v>22.800333333333334</v>
      </c>
      <c r="E159">
        <v>0</v>
      </c>
      <c r="G159">
        <f>MeteoJ!C159</f>
        <v>0</v>
      </c>
      <c r="J159">
        <f>ETR!F159</f>
        <v>0</v>
      </c>
      <c r="K159">
        <f t="shared" si="15"/>
        <v>53.195447995280141</v>
      </c>
      <c r="L159">
        <f t="shared" si="16"/>
        <v>0</v>
      </c>
      <c r="M159">
        <f t="shared" si="17"/>
        <v>0</v>
      </c>
      <c r="O159">
        <f>ETR!K159</f>
        <v>0</v>
      </c>
      <c r="P159">
        <f t="shared" si="18"/>
        <v>58.17907690221746</v>
      </c>
      <c r="Q159">
        <f t="shared" si="19"/>
        <v>0</v>
      </c>
      <c r="R159">
        <f t="shared" si="20"/>
        <v>0</v>
      </c>
    </row>
    <row r="160" spans="1:18" x14ac:dyDescent="0.35">
      <c r="A160" s="8">
        <f>ETR!A160</f>
        <v>42144</v>
      </c>
      <c r="B160">
        <f t="shared" si="14"/>
        <v>5</v>
      </c>
      <c r="C160">
        <f>Initialisation!$C$11</f>
        <v>68.40100000000001</v>
      </c>
      <c r="D160">
        <f>Initialisation!$C$12</f>
        <v>22.800333333333334</v>
      </c>
      <c r="E160">
        <v>0</v>
      </c>
      <c r="G160">
        <f>MeteoJ!C160</f>
        <v>0</v>
      </c>
      <c r="J160">
        <f>ETR!F160</f>
        <v>0</v>
      </c>
      <c r="K160">
        <f t="shared" si="15"/>
        <v>53.195447995280141</v>
      </c>
      <c r="L160">
        <f t="shared" si="16"/>
        <v>0</v>
      </c>
      <c r="M160">
        <f t="shared" si="17"/>
        <v>0</v>
      </c>
      <c r="O160">
        <f>ETR!K160</f>
        <v>0</v>
      </c>
      <c r="P160">
        <f t="shared" si="18"/>
        <v>58.17907690221746</v>
      </c>
      <c r="Q160">
        <f t="shared" si="19"/>
        <v>0</v>
      </c>
      <c r="R160">
        <f t="shared" si="20"/>
        <v>0</v>
      </c>
    </row>
    <row r="161" spans="1:18" x14ac:dyDescent="0.35">
      <c r="A161" s="8">
        <f>ETR!A161</f>
        <v>42144</v>
      </c>
      <c r="B161">
        <f t="shared" si="14"/>
        <v>5</v>
      </c>
      <c r="C161">
        <f>Initialisation!$C$11</f>
        <v>68.40100000000001</v>
      </c>
      <c r="D161">
        <f>Initialisation!$C$12</f>
        <v>22.800333333333334</v>
      </c>
      <c r="E161">
        <v>0</v>
      </c>
      <c r="G161">
        <f>MeteoJ!C161</f>
        <v>0</v>
      </c>
      <c r="J161">
        <f>ETR!F161</f>
        <v>0</v>
      </c>
      <c r="K161">
        <f t="shared" si="15"/>
        <v>53.195447995280141</v>
      </c>
      <c r="L161">
        <f t="shared" si="16"/>
        <v>0</v>
      </c>
      <c r="M161">
        <f t="shared" si="17"/>
        <v>0</v>
      </c>
      <c r="O161">
        <f>ETR!K161</f>
        <v>0</v>
      </c>
      <c r="P161">
        <f t="shared" si="18"/>
        <v>58.17907690221746</v>
      </c>
      <c r="Q161">
        <f t="shared" si="19"/>
        <v>0</v>
      </c>
      <c r="R161">
        <f t="shared" si="20"/>
        <v>0</v>
      </c>
    </row>
    <row r="162" spans="1:18" x14ac:dyDescent="0.35">
      <c r="A162" s="8">
        <f>ETR!A162</f>
        <v>42144</v>
      </c>
      <c r="B162">
        <f t="shared" si="14"/>
        <v>5</v>
      </c>
      <c r="C162">
        <f>Initialisation!$C$11</f>
        <v>68.40100000000001</v>
      </c>
      <c r="D162">
        <f>Initialisation!$C$12</f>
        <v>22.800333333333334</v>
      </c>
      <c r="E162">
        <v>0</v>
      </c>
      <c r="G162">
        <f>MeteoJ!C162</f>
        <v>0</v>
      </c>
      <c r="J162">
        <f>ETR!F162</f>
        <v>0</v>
      </c>
      <c r="K162">
        <f t="shared" si="15"/>
        <v>53.195447995280141</v>
      </c>
      <c r="L162">
        <f t="shared" si="16"/>
        <v>0</v>
      </c>
      <c r="M162">
        <f t="shared" si="17"/>
        <v>0</v>
      </c>
      <c r="O162">
        <f>ETR!K162</f>
        <v>0</v>
      </c>
      <c r="P162">
        <f t="shared" si="18"/>
        <v>58.17907690221746</v>
      </c>
      <c r="Q162">
        <f t="shared" si="19"/>
        <v>0</v>
      </c>
      <c r="R162">
        <f t="shared" si="20"/>
        <v>0</v>
      </c>
    </row>
    <row r="163" spans="1:18" x14ac:dyDescent="0.35">
      <c r="A163" s="8">
        <f>ETR!A163</f>
        <v>42144</v>
      </c>
      <c r="B163">
        <f t="shared" si="14"/>
        <v>5</v>
      </c>
      <c r="C163">
        <f>Initialisation!$C$11</f>
        <v>68.40100000000001</v>
      </c>
      <c r="D163">
        <f>Initialisation!$C$12</f>
        <v>22.800333333333334</v>
      </c>
      <c r="E163">
        <v>0</v>
      </c>
      <c r="G163">
        <f>MeteoJ!C163</f>
        <v>0</v>
      </c>
      <c r="J163">
        <f>ETR!F163</f>
        <v>0</v>
      </c>
      <c r="K163">
        <f t="shared" si="15"/>
        <v>53.195447995280141</v>
      </c>
      <c r="L163">
        <f t="shared" si="16"/>
        <v>0</v>
      </c>
      <c r="M163">
        <f t="shared" si="17"/>
        <v>0</v>
      </c>
      <c r="O163">
        <f>ETR!K163</f>
        <v>0</v>
      </c>
      <c r="P163">
        <f t="shared" si="18"/>
        <v>58.17907690221746</v>
      </c>
      <c r="Q163">
        <f t="shared" si="19"/>
        <v>0</v>
      </c>
      <c r="R163">
        <f t="shared" si="20"/>
        <v>0</v>
      </c>
    </row>
    <row r="164" spans="1:18" x14ac:dyDescent="0.35">
      <c r="A164" s="8">
        <f>ETR!A164</f>
        <v>42144</v>
      </c>
      <c r="B164">
        <f t="shared" si="14"/>
        <v>5</v>
      </c>
      <c r="C164">
        <f>Initialisation!$C$11</f>
        <v>68.40100000000001</v>
      </c>
      <c r="D164">
        <f>Initialisation!$C$12</f>
        <v>22.800333333333334</v>
      </c>
      <c r="E164">
        <v>0</v>
      </c>
      <c r="G164">
        <f>MeteoJ!C164</f>
        <v>0</v>
      </c>
      <c r="J164">
        <f>ETR!F164</f>
        <v>0</v>
      </c>
      <c r="K164">
        <f t="shared" si="15"/>
        <v>53.195447995280141</v>
      </c>
      <c r="L164">
        <f t="shared" si="16"/>
        <v>0</v>
      </c>
      <c r="M164">
        <f t="shared" si="17"/>
        <v>0</v>
      </c>
      <c r="O164">
        <f>ETR!K164</f>
        <v>0</v>
      </c>
      <c r="P164">
        <f t="shared" si="18"/>
        <v>58.17907690221746</v>
      </c>
      <c r="Q164">
        <f t="shared" si="19"/>
        <v>0</v>
      </c>
      <c r="R164">
        <f t="shared" si="20"/>
        <v>0</v>
      </c>
    </row>
    <row r="165" spans="1:18" x14ac:dyDescent="0.35">
      <c r="A165" s="8">
        <f>ETR!A165</f>
        <v>42144</v>
      </c>
      <c r="B165">
        <f t="shared" si="14"/>
        <v>5</v>
      </c>
      <c r="C165">
        <f>Initialisation!$C$11</f>
        <v>68.40100000000001</v>
      </c>
      <c r="D165">
        <f>Initialisation!$C$12</f>
        <v>22.800333333333334</v>
      </c>
      <c r="E165">
        <v>0</v>
      </c>
      <c r="G165">
        <f>MeteoJ!C165</f>
        <v>0</v>
      </c>
      <c r="J165">
        <f>ETR!F165</f>
        <v>0</v>
      </c>
      <c r="K165">
        <f t="shared" si="15"/>
        <v>53.195447995280141</v>
      </c>
      <c r="L165">
        <f t="shared" si="16"/>
        <v>0</v>
      </c>
      <c r="M165">
        <f t="shared" si="17"/>
        <v>0</v>
      </c>
      <c r="O165">
        <f>ETR!K165</f>
        <v>0</v>
      </c>
      <c r="P165">
        <f t="shared" si="18"/>
        <v>58.17907690221746</v>
      </c>
      <c r="Q165">
        <f t="shared" si="19"/>
        <v>0</v>
      </c>
      <c r="R165">
        <f t="shared" si="20"/>
        <v>0</v>
      </c>
    </row>
    <row r="166" spans="1:18" x14ac:dyDescent="0.35">
      <c r="A166" s="8">
        <f>ETR!A166</f>
        <v>42144</v>
      </c>
      <c r="B166">
        <f t="shared" si="14"/>
        <v>5</v>
      </c>
      <c r="C166">
        <f>Initialisation!$C$11</f>
        <v>68.40100000000001</v>
      </c>
      <c r="D166">
        <f>Initialisation!$C$12</f>
        <v>22.800333333333334</v>
      </c>
      <c r="E166">
        <v>0</v>
      </c>
      <c r="G166">
        <f>MeteoJ!C166</f>
        <v>0</v>
      </c>
      <c r="J166">
        <f>ETR!F166</f>
        <v>0</v>
      </c>
      <c r="K166">
        <f t="shared" si="15"/>
        <v>53.195447995280141</v>
      </c>
      <c r="L166">
        <f t="shared" si="16"/>
        <v>0</v>
      </c>
      <c r="M166">
        <f t="shared" si="17"/>
        <v>0</v>
      </c>
      <c r="O166">
        <f>ETR!K166</f>
        <v>0</v>
      </c>
      <c r="P166">
        <f t="shared" si="18"/>
        <v>58.17907690221746</v>
      </c>
      <c r="Q166">
        <f t="shared" si="19"/>
        <v>0</v>
      </c>
      <c r="R166">
        <f t="shared" si="20"/>
        <v>0</v>
      </c>
    </row>
    <row r="167" spans="1:18" x14ac:dyDescent="0.35">
      <c r="A167" s="8">
        <f>ETR!A167</f>
        <v>42144</v>
      </c>
      <c r="B167">
        <f t="shared" si="14"/>
        <v>5</v>
      </c>
      <c r="C167">
        <f>Initialisation!$C$11</f>
        <v>68.40100000000001</v>
      </c>
      <c r="D167">
        <f>Initialisation!$C$12</f>
        <v>22.800333333333334</v>
      </c>
      <c r="E167">
        <v>0</v>
      </c>
      <c r="G167">
        <f>MeteoJ!C167</f>
        <v>0</v>
      </c>
      <c r="J167">
        <f>ETR!F167</f>
        <v>0</v>
      </c>
      <c r="K167">
        <f t="shared" si="15"/>
        <v>53.195447995280141</v>
      </c>
      <c r="L167">
        <f t="shared" si="16"/>
        <v>0</v>
      </c>
      <c r="M167">
        <f t="shared" si="17"/>
        <v>0</v>
      </c>
      <c r="O167">
        <f>ETR!K167</f>
        <v>0</v>
      </c>
      <c r="P167">
        <f t="shared" si="18"/>
        <v>58.17907690221746</v>
      </c>
      <c r="Q167">
        <f t="shared" si="19"/>
        <v>0</v>
      </c>
      <c r="R167">
        <f t="shared" si="20"/>
        <v>0</v>
      </c>
    </row>
    <row r="168" spans="1:18" x14ac:dyDescent="0.35">
      <c r="A168" s="8">
        <f>ETR!A168</f>
        <v>42144</v>
      </c>
      <c r="B168">
        <f t="shared" si="14"/>
        <v>5</v>
      </c>
      <c r="C168">
        <f>Initialisation!$C$11</f>
        <v>68.40100000000001</v>
      </c>
      <c r="D168">
        <f>Initialisation!$C$12</f>
        <v>22.800333333333334</v>
      </c>
      <c r="E168">
        <v>0</v>
      </c>
      <c r="G168">
        <f>MeteoJ!C168</f>
        <v>0</v>
      </c>
      <c r="J168">
        <f>ETR!F168</f>
        <v>0</v>
      </c>
      <c r="K168">
        <f t="shared" si="15"/>
        <v>53.195447995280141</v>
      </c>
      <c r="L168">
        <f t="shared" si="16"/>
        <v>0</v>
      </c>
      <c r="M168">
        <f t="shared" si="17"/>
        <v>0</v>
      </c>
      <c r="O168">
        <f>ETR!K168</f>
        <v>0</v>
      </c>
      <c r="P168">
        <f t="shared" si="18"/>
        <v>58.17907690221746</v>
      </c>
      <c r="Q168">
        <f t="shared" si="19"/>
        <v>0</v>
      </c>
      <c r="R168">
        <f t="shared" si="20"/>
        <v>0</v>
      </c>
    </row>
    <row r="169" spans="1:18" x14ac:dyDescent="0.35">
      <c r="A169" s="8">
        <f>ETR!A169</f>
        <v>42144</v>
      </c>
      <c r="B169">
        <f t="shared" si="14"/>
        <v>5</v>
      </c>
      <c r="C169">
        <f>Initialisation!$C$11</f>
        <v>68.40100000000001</v>
      </c>
      <c r="D169">
        <f>Initialisation!$C$12</f>
        <v>22.800333333333334</v>
      </c>
      <c r="E169">
        <v>0</v>
      </c>
      <c r="G169">
        <f>MeteoJ!C169</f>
        <v>0</v>
      </c>
      <c r="J169">
        <f>ETR!F169</f>
        <v>0</v>
      </c>
      <c r="K169">
        <f t="shared" si="15"/>
        <v>53.195447995280141</v>
      </c>
      <c r="L169">
        <f t="shared" si="16"/>
        <v>0</v>
      </c>
      <c r="M169">
        <f t="shared" si="17"/>
        <v>0</v>
      </c>
      <c r="O169">
        <f>ETR!K169</f>
        <v>0</v>
      </c>
      <c r="P169">
        <f t="shared" si="18"/>
        <v>58.17907690221746</v>
      </c>
      <c r="Q169">
        <f t="shared" si="19"/>
        <v>0</v>
      </c>
      <c r="R169">
        <f t="shared" si="20"/>
        <v>0</v>
      </c>
    </row>
    <row r="170" spans="1:18" x14ac:dyDescent="0.35">
      <c r="A170" s="8">
        <f>ETR!A170</f>
        <v>42144</v>
      </c>
      <c r="B170">
        <f t="shared" si="14"/>
        <v>5</v>
      </c>
      <c r="C170">
        <f>Initialisation!$C$11</f>
        <v>68.40100000000001</v>
      </c>
      <c r="D170">
        <f>Initialisation!$C$12</f>
        <v>22.800333333333334</v>
      </c>
      <c r="E170">
        <v>0</v>
      </c>
      <c r="G170">
        <f>MeteoJ!C170</f>
        <v>0</v>
      </c>
      <c r="J170">
        <f>ETR!F170</f>
        <v>0</v>
      </c>
      <c r="K170">
        <f t="shared" si="15"/>
        <v>53.195447995280141</v>
      </c>
      <c r="L170">
        <f t="shared" si="16"/>
        <v>0</v>
      </c>
      <c r="M170">
        <f t="shared" si="17"/>
        <v>0</v>
      </c>
      <c r="O170">
        <f>ETR!K170</f>
        <v>0</v>
      </c>
      <c r="P170">
        <f t="shared" si="18"/>
        <v>58.17907690221746</v>
      </c>
      <c r="Q170">
        <f t="shared" si="19"/>
        <v>0</v>
      </c>
      <c r="R170">
        <f t="shared" si="20"/>
        <v>0</v>
      </c>
    </row>
    <row r="171" spans="1:18" x14ac:dyDescent="0.35">
      <c r="A171" s="8">
        <f>ETR!A171</f>
        <v>42144</v>
      </c>
      <c r="B171">
        <f t="shared" si="14"/>
        <v>5</v>
      </c>
      <c r="C171">
        <f>Initialisation!$C$11</f>
        <v>68.40100000000001</v>
      </c>
      <c r="D171">
        <f>Initialisation!$C$12</f>
        <v>22.800333333333334</v>
      </c>
      <c r="E171">
        <v>0</v>
      </c>
      <c r="G171">
        <f>MeteoJ!C171</f>
        <v>0</v>
      </c>
      <c r="J171">
        <f>ETR!F171</f>
        <v>0</v>
      </c>
      <c r="K171">
        <f t="shared" si="15"/>
        <v>53.195447995280141</v>
      </c>
      <c r="L171">
        <f t="shared" si="16"/>
        <v>0</v>
      </c>
      <c r="M171">
        <f t="shared" si="17"/>
        <v>0</v>
      </c>
      <c r="O171">
        <f>ETR!K171</f>
        <v>0</v>
      </c>
      <c r="P171">
        <f t="shared" si="18"/>
        <v>58.17907690221746</v>
      </c>
      <c r="Q171">
        <f t="shared" si="19"/>
        <v>0</v>
      </c>
      <c r="R171">
        <f t="shared" si="20"/>
        <v>0</v>
      </c>
    </row>
    <row r="172" spans="1:18" x14ac:dyDescent="0.35">
      <c r="A172" s="8">
        <f>ETR!A172</f>
        <v>42144</v>
      </c>
      <c r="B172">
        <f t="shared" si="14"/>
        <v>5</v>
      </c>
      <c r="C172">
        <f>Initialisation!$C$11</f>
        <v>68.40100000000001</v>
      </c>
      <c r="D172">
        <f>Initialisation!$C$12</f>
        <v>22.800333333333334</v>
      </c>
      <c r="E172">
        <v>0</v>
      </c>
      <c r="G172">
        <f>MeteoJ!C172</f>
        <v>0</v>
      </c>
      <c r="J172">
        <f>ETR!F172</f>
        <v>0</v>
      </c>
      <c r="K172">
        <f t="shared" si="15"/>
        <v>53.195447995280141</v>
      </c>
      <c r="L172">
        <f t="shared" si="16"/>
        <v>0</v>
      </c>
      <c r="M172">
        <f t="shared" si="17"/>
        <v>0</v>
      </c>
      <c r="O172">
        <f>ETR!K172</f>
        <v>0</v>
      </c>
      <c r="P172">
        <f t="shared" si="18"/>
        <v>58.17907690221746</v>
      </c>
      <c r="Q172">
        <f t="shared" si="19"/>
        <v>0</v>
      </c>
      <c r="R172">
        <f t="shared" si="20"/>
        <v>0</v>
      </c>
    </row>
    <row r="173" spans="1:18" x14ac:dyDescent="0.35">
      <c r="A173" s="8">
        <f>ETR!A173</f>
        <v>42144</v>
      </c>
      <c r="B173">
        <f t="shared" si="14"/>
        <v>5</v>
      </c>
      <c r="C173">
        <f>Initialisation!$C$11</f>
        <v>68.40100000000001</v>
      </c>
      <c r="D173">
        <f>Initialisation!$C$12</f>
        <v>22.800333333333334</v>
      </c>
      <c r="E173">
        <v>0</v>
      </c>
      <c r="G173">
        <f>MeteoJ!C173</f>
        <v>0</v>
      </c>
      <c r="J173">
        <f>ETR!F173</f>
        <v>0</v>
      </c>
      <c r="K173">
        <f t="shared" si="15"/>
        <v>53.195447995280141</v>
      </c>
      <c r="L173">
        <f t="shared" si="16"/>
        <v>0</v>
      </c>
      <c r="M173">
        <f t="shared" si="17"/>
        <v>0</v>
      </c>
      <c r="O173">
        <f>ETR!K173</f>
        <v>0</v>
      </c>
      <c r="P173">
        <f t="shared" si="18"/>
        <v>58.17907690221746</v>
      </c>
      <c r="Q173">
        <f t="shared" si="19"/>
        <v>0</v>
      </c>
      <c r="R173">
        <f t="shared" si="20"/>
        <v>0</v>
      </c>
    </row>
    <row r="174" spans="1:18" x14ac:dyDescent="0.35">
      <c r="A174" s="8">
        <f>ETR!A174</f>
        <v>42144</v>
      </c>
      <c r="B174">
        <f t="shared" si="14"/>
        <v>5</v>
      </c>
      <c r="C174">
        <f>Initialisation!$C$11</f>
        <v>68.40100000000001</v>
      </c>
      <c r="D174">
        <f>Initialisation!$C$12</f>
        <v>22.800333333333334</v>
      </c>
      <c r="E174">
        <v>0</v>
      </c>
      <c r="G174">
        <f>MeteoJ!C174</f>
        <v>0</v>
      </c>
      <c r="J174">
        <f>ETR!F174</f>
        <v>0</v>
      </c>
      <c r="K174">
        <f t="shared" si="15"/>
        <v>53.195447995280141</v>
      </c>
      <c r="L174">
        <f t="shared" si="16"/>
        <v>0</v>
      </c>
      <c r="M174">
        <f t="shared" si="17"/>
        <v>0</v>
      </c>
      <c r="O174">
        <f>ETR!K174</f>
        <v>0</v>
      </c>
      <c r="P174">
        <f t="shared" si="18"/>
        <v>58.17907690221746</v>
      </c>
      <c r="Q174">
        <f t="shared" si="19"/>
        <v>0</v>
      </c>
      <c r="R174">
        <f t="shared" si="20"/>
        <v>0</v>
      </c>
    </row>
    <row r="175" spans="1:18" x14ac:dyDescent="0.35">
      <c r="A175" s="8">
        <f>ETR!A175</f>
        <v>42144</v>
      </c>
      <c r="B175">
        <f t="shared" si="14"/>
        <v>5</v>
      </c>
      <c r="C175">
        <f>Initialisation!$C$11</f>
        <v>68.40100000000001</v>
      </c>
      <c r="D175">
        <f>Initialisation!$C$12</f>
        <v>22.800333333333334</v>
      </c>
      <c r="E175">
        <v>0</v>
      </c>
      <c r="G175">
        <f>MeteoJ!C175</f>
        <v>0</v>
      </c>
      <c r="J175">
        <f>ETR!F175</f>
        <v>0</v>
      </c>
      <c r="K175">
        <f t="shared" si="15"/>
        <v>53.195447995280141</v>
      </c>
      <c r="L175">
        <f t="shared" si="16"/>
        <v>0</v>
      </c>
      <c r="M175">
        <f t="shared" si="17"/>
        <v>0</v>
      </c>
      <c r="O175">
        <f>ETR!K175</f>
        <v>0</v>
      </c>
      <c r="P175">
        <f t="shared" si="18"/>
        <v>58.17907690221746</v>
      </c>
      <c r="Q175">
        <f t="shared" si="19"/>
        <v>0</v>
      </c>
      <c r="R175">
        <f t="shared" si="20"/>
        <v>0</v>
      </c>
    </row>
    <row r="176" spans="1:18" x14ac:dyDescent="0.35">
      <c r="A176" s="8">
        <f>ETR!A176</f>
        <v>42144</v>
      </c>
      <c r="B176">
        <f t="shared" si="14"/>
        <v>5</v>
      </c>
      <c r="C176">
        <f>Initialisation!$C$11</f>
        <v>68.40100000000001</v>
      </c>
      <c r="D176">
        <f>Initialisation!$C$12</f>
        <v>22.800333333333334</v>
      </c>
      <c r="E176">
        <v>0</v>
      </c>
      <c r="G176">
        <f>MeteoJ!C176</f>
        <v>0</v>
      </c>
      <c r="J176">
        <f>ETR!F176</f>
        <v>0</v>
      </c>
      <c r="K176">
        <f t="shared" si="15"/>
        <v>53.195447995280141</v>
      </c>
      <c r="L176">
        <f t="shared" si="16"/>
        <v>0</v>
      </c>
      <c r="M176">
        <f t="shared" si="17"/>
        <v>0</v>
      </c>
      <c r="O176">
        <f>ETR!K176</f>
        <v>0</v>
      </c>
      <c r="P176">
        <f t="shared" si="18"/>
        <v>58.17907690221746</v>
      </c>
      <c r="Q176">
        <f t="shared" si="19"/>
        <v>0</v>
      </c>
      <c r="R176">
        <f t="shared" si="20"/>
        <v>0</v>
      </c>
    </row>
    <row r="177" spans="1:18" x14ac:dyDescent="0.35">
      <c r="A177" s="8">
        <f>ETR!A177</f>
        <v>42144</v>
      </c>
      <c r="B177">
        <f t="shared" si="14"/>
        <v>5</v>
      </c>
      <c r="C177">
        <f>Initialisation!$C$11</f>
        <v>68.40100000000001</v>
      </c>
      <c r="D177">
        <f>Initialisation!$C$12</f>
        <v>22.800333333333334</v>
      </c>
      <c r="E177">
        <v>0</v>
      </c>
      <c r="G177">
        <f>MeteoJ!C177</f>
        <v>0</v>
      </c>
      <c r="J177">
        <f>ETR!F177</f>
        <v>0</v>
      </c>
      <c r="K177">
        <f t="shared" si="15"/>
        <v>53.195447995280141</v>
      </c>
      <c r="L177">
        <f t="shared" si="16"/>
        <v>0</v>
      </c>
      <c r="M177">
        <f t="shared" si="17"/>
        <v>0</v>
      </c>
      <c r="O177">
        <f>ETR!K177</f>
        <v>0</v>
      </c>
      <c r="P177">
        <f t="shared" si="18"/>
        <v>58.17907690221746</v>
      </c>
      <c r="Q177">
        <f t="shared" si="19"/>
        <v>0</v>
      </c>
      <c r="R177">
        <f t="shared" si="20"/>
        <v>0</v>
      </c>
    </row>
    <row r="178" spans="1:18" x14ac:dyDescent="0.35">
      <c r="A178" s="8">
        <f>ETR!A178</f>
        <v>42144</v>
      </c>
      <c r="B178">
        <f t="shared" si="14"/>
        <v>5</v>
      </c>
      <c r="C178">
        <f>Initialisation!$C$11</f>
        <v>68.40100000000001</v>
      </c>
      <c r="D178">
        <f>Initialisation!$C$12</f>
        <v>22.800333333333334</v>
      </c>
      <c r="E178">
        <v>0</v>
      </c>
      <c r="G178">
        <f>MeteoJ!C178</f>
        <v>0</v>
      </c>
      <c r="J178">
        <f>ETR!F178</f>
        <v>0</v>
      </c>
      <c r="K178">
        <f t="shared" si="15"/>
        <v>53.195447995280141</v>
      </c>
      <c r="L178">
        <f t="shared" si="16"/>
        <v>0</v>
      </c>
      <c r="M178">
        <f t="shared" si="17"/>
        <v>0</v>
      </c>
      <c r="O178">
        <f>ETR!K178</f>
        <v>0</v>
      </c>
      <c r="P178">
        <f t="shared" si="18"/>
        <v>58.17907690221746</v>
      </c>
      <c r="Q178">
        <f t="shared" si="19"/>
        <v>0</v>
      </c>
      <c r="R178">
        <f t="shared" si="20"/>
        <v>0</v>
      </c>
    </row>
    <row r="179" spans="1:18" x14ac:dyDescent="0.35">
      <c r="A179" s="8">
        <f>ETR!A179</f>
        <v>42144</v>
      </c>
      <c r="B179">
        <f t="shared" si="14"/>
        <v>5</v>
      </c>
      <c r="C179">
        <f>Initialisation!$C$11</f>
        <v>68.40100000000001</v>
      </c>
      <c r="D179">
        <f>Initialisation!$C$12</f>
        <v>22.800333333333334</v>
      </c>
      <c r="E179">
        <v>0</v>
      </c>
      <c r="G179">
        <f>MeteoJ!C179</f>
        <v>0</v>
      </c>
      <c r="J179">
        <f>ETR!F179</f>
        <v>0</v>
      </c>
      <c r="K179">
        <f t="shared" si="15"/>
        <v>53.195447995280141</v>
      </c>
      <c r="L179">
        <f t="shared" si="16"/>
        <v>0</v>
      </c>
      <c r="M179">
        <f t="shared" si="17"/>
        <v>0</v>
      </c>
      <c r="O179">
        <f>ETR!K179</f>
        <v>0</v>
      </c>
      <c r="P179">
        <f t="shared" si="18"/>
        <v>58.17907690221746</v>
      </c>
      <c r="Q179">
        <f t="shared" si="19"/>
        <v>0</v>
      </c>
      <c r="R179">
        <f t="shared" si="20"/>
        <v>0</v>
      </c>
    </row>
    <row r="180" spans="1:18" x14ac:dyDescent="0.35">
      <c r="A180" s="8">
        <f>ETR!A180</f>
        <v>42144</v>
      </c>
      <c r="B180">
        <f t="shared" si="14"/>
        <v>5</v>
      </c>
      <c r="C180">
        <f>Initialisation!$C$11</f>
        <v>68.40100000000001</v>
      </c>
      <c r="D180">
        <f>Initialisation!$C$12</f>
        <v>22.800333333333334</v>
      </c>
      <c r="E180">
        <v>0</v>
      </c>
      <c r="G180">
        <f>MeteoJ!C180</f>
        <v>0</v>
      </c>
      <c r="J180">
        <f>ETR!F180</f>
        <v>0</v>
      </c>
      <c r="K180">
        <f t="shared" si="15"/>
        <v>53.195447995280141</v>
      </c>
      <c r="L180">
        <f t="shared" si="16"/>
        <v>0</v>
      </c>
      <c r="M180">
        <f t="shared" si="17"/>
        <v>0</v>
      </c>
      <c r="O180">
        <f>ETR!K180</f>
        <v>0</v>
      </c>
      <c r="P180">
        <f t="shared" si="18"/>
        <v>58.17907690221746</v>
      </c>
      <c r="Q180">
        <f t="shared" si="19"/>
        <v>0</v>
      </c>
      <c r="R180">
        <f t="shared" si="20"/>
        <v>0</v>
      </c>
    </row>
    <row r="181" spans="1:18" x14ac:dyDescent="0.35">
      <c r="A181" s="8">
        <f>ETR!A181</f>
        <v>42144</v>
      </c>
      <c r="B181">
        <f t="shared" si="14"/>
        <v>5</v>
      </c>
      <c r="C181">
        <f>Initialisation!$C$11</f>
        <v>68.40100000000001</v>
      </c>
      <c r="D181">
        <f>Initialisation!$C$12</f>
        <v>22.800333333333334</v>
      </c>
      <c r="E181">
        <v>0</v>
      </c>
      <c r="G181">
        <f>MeteoJ!C181</f>
        <v>0</v>
      </c>
      <c r="J181">
        <f>ETR!F181</f>
        <v>0</v>
      </c>
      <c r="K181">
        <f t="shared" si="15"/>
        <v>53.195447995280141</v>
      </c>
      <c r="L181">
        <f t="shared" si="16"/>
        <v>0</v>
      </c>
      <c r="M181">
        <f t="shared" si="17"/>
        <v>0</v>
      </c>
      <c r="O181">
        <f>ETR!K181</f>
        <v>0</v>
      </c>
      <c r="P181">
        <f t="shared" si="18"/>
        <v>58.17907690221746</v>
      </c>
      <c r="Q181">
        <f t="shared" si="19"/>
        <v>0</v>
      </c>
      <c r="R181">
        <f t="shared" si="20"/>
        <v>0</v>
      </c>
    </row>
    <row r="182" spans="1:18" x14ac:dyDescent="0.35">
      <c r="A182" s="8">
        <f>ETR!A182</f>
        <v>42144</v>
      </c>
      <c r="B182">
        <f t="shared" si="14"/>
        <v>5</v>
      </c>
      <c r="C182">
        <f>Initialisation!$C$11</f>
        <v>68.40100000000001</v>
      </c>
      <c r="D182">
        <f>Initialisation!$C$12</f>
        <v>22.800333333333334</v>
      </c>
      <c r="E182">
        <v>0</v>
      </c>
      <c r="G182">
        <f>MeteoJ!C182</f>
        <v>0</v>
      </c>
      <c r="J182">
        <f>ETR!F182</f>
        <v>0</v>
      </c>
      <c r="K182">
        <f t="shared" si="15"/>
        <v>53.195447995280141</v>
      </c>
      <c r="L182">
        <f t="shared" si="16"/>
        <v>0</v>
      </c>
      <c r="M182">
        <f t="shared" si="17"/>
        <v>0</v>
      </c>
      <c r="O182">
        <f>ETR!K182</f>
        <v>0</v>
      </c>
      <c r="P182">
        <f t="shared" si="18"/>
        <v>58.17907690221746</v>
      </c>
      <c r="Q182">
        <f t="shared" si="19"/>
        <v>0</v>
      </c>
      <c r="R182">
        <f t="shared" si="20"/>
        <v>0</v>
      </c>
    </row>
    <row r="183" spans="1:18" x14ac:dyDescent="0.35">
      <c r="A183" s="8">
        <f>ETR!A183</f>
        <v>42144</v>
      </c>
      <c r="B183">
        <f t="shared" si="14"/>
        <v>5</v>
      </c>
      <c r="C183">
        <f>Initialisation!$C$11</f>
        <v>68.40100000000001</v>
      </c>
      <c r="D183">
        <f>Initialisation!$C$12</f>
        <v>22.800333333333334</v>
      </c>
      <c r="E183">
        <v>0</v>
      </c>
      <c r="G183">
        <f>MeteoJ!C183</f>
        <v>0</v>
      </c>
      <c r="J183">
        <f>ETR!F183</f>
        <v>0</v>
      </c>
      <c r="K183">
        <f t="shared" si="15"/>
        <v>53.195447995280141</v>
      </c>
      <c r="L183">
        <f t="shared" si="16"/>
        <v>0</v>
      </c>
      <c r="M183">
        <f t="shared" si="17"/>
        <v>0</v>
      </c>
      <c r="O183">
        <f>ETR!K183</f>
        <v>0</v>
      </c>
      <c r="P183">
        <f t="shared" si="18"/>
        <v>58.17907690221746</v>
      </c>
      <c r="Q183">
        <f t="shared" si="19"/>
        <v>0</v>
      </c>
      <c r="R183">
        <f t="shared" si="20"/>
        <v>0</v>
      </c>
    </row>
    <row r="184" spans="1:18" x14ac:dyDescent="0.35">
      <c r="A184" s="8">
        <f>ETR!A184</f>
        <v>42144</v>
      </c>
      <c r="B184">
        <f t="shared" si="14"/>
        <v>5</v>
      </c>
      <c r="C184">
        <f>Initialisation!$C$11</f>
        <v>68.40100000000001</v>
      </c>
      <c r="D184">
        <f>Initialisation!$C$12</f>
        <v>22.800333333333334</v>
      </c>
      <c r="E184">
        <v>0</v>
      </c>
      <c r="G184">
        <f>MeteoJ!C184</f>
        <v>0</v>
      </c>
      <c r="J184">
        <f>ETR!F184</f>
        <v>0</v>
      </c>
      <c r="K184">
        <f t="shared" si="15"/>
        <v>53.195447995280141</v>
      </c>
      <c r="L184">
        <f t="shared" si="16"/>
        <v>0</v>
      </c>
      <c r="M184">
        <f t="shared" si="17"/>
        <v>0</v>
      </c>
      <c r="O184">
        <f>ETR!K184</f>
        <v>0</v>
      </c>
      <c r="P184">
        <f t="shared" si="18"/>
        <v>58.17907690221746</v>
      </c>
      <c r="Q184">
        <f t="shared" si="19"/>
        <v>0</v>
      </c>
      <c r="R184">
        <f t="shared" si="20"/>
        <v>0</v>
      </c>
    </row>
    <row r="185" spans="1:18" x14ac:dyDescent="0.35">
      <c r="A185" s="8">
        <f>ETR!A185</f>
        <v>42144</v>
      </c>
      <c r="B185">
        <f t="shared" si="14"/>
        <v>5</v>
      </c>
      <c r="C185">
        <f>Initialisation!$C$11</f>
        <v>68.40100000000001</v>
      </c>
      <c r="D185">
        <f>Initialisation!$C$12</f>
        <v>22.800333333333334</v>
      </c>
      <c r="E185">
        <v>0</v>
      </c>
      <c r="G185">
        <f>MeteoJ!C185</f>
        <v>0</v>
      </c>
      <c r="J185">
        <f>ETR!F185</f>
        <v>0</v>
      </c>
      <c r="K185">
        <f t="shared" si="15"/>
        <v>53.195447995280141</v>
      </c>
      <c r="L185">
        <f t="shared" si="16"/>
        <v>0</v>
      </c>
      <c r="M185">
        <f t="shared" si="17"/>
        <v>0</v>
      </c>
      <c r="O185">
        <f>ETR!K185</f>
        <v>0</v>
      </c>
      <c r="P185">
        <f t="shared" si="18"/>
        <v>58.17907690221746</v>
      </c>
      <c r="Q185">
        <f t="shared" si="19"/>
        <v>0</v>
      </c>
      <c r="R185">
        <f t="shared" si="20"/>
        <v>0</v>
      </c>
    </row>
    <row r="186" spans="1:18" x14ac:dyDescent="0.35">
      <c r="A186" s="8">
        <f>ETR!A186</f>
        <v>42144</v>
      </c>
      <c r="B186">
        <f t="shared" si="14"/>
        <v>5</v>
      </c>
      <c r="C186">
        <f>Initialisation!$C$11</f>
        <v>68.40100000000001</v>
      </c>
      <c r="D186">
        <f>Initialisation!$C$12</f>
        <v>22.800333333333334</v>
      </c>
      <c r="E186">
        <v>0</v>
      </c>
      <c r="G186">
        <f>MeteoJ!C186</f>
        <v>0</v>
      </c>
      <c r="J186">
        <f>ETR!F186</f>
        <v>0</v>
      </c>
      <c r="K186">
        <f t="shared" si="15"/>
        <v>53.195447995280141</v>
      </c>
      <c r="L186">
        <f t="shared" si="16"/>
        <v>0</v>
      </c>
      <c r="M186">
        <f t="shared" si="17"/>
        <v>0</v>
      </c>
      <c r="O186">
        <f>ETR!K186</f>
        <v>0</v>
      </c>
      <c r="P186">
        <f t="shared" si="18"/>
        <v>58.17907690221746</v>
      </c>
      <c r="Q186">
        <f t="shared" si="19"/>
        <v>0</v>
      </c>
      <c r="R186">
        <f t="shared" si="20"/>
        <v>0</v>
      </c>
    </row>
    <row r="187" spans="1:18" x14ac:dyDescent="0.35">
      <c r="A187" s="8">
        <f>ETR!A187</f>
        <v>42144</v>
      </c>
      <c r="B187">
        <f t="shared" si="14"/>
        <v>5</v>
      </c>
      <c r="C187">
        <f>Initialisation!$C$11</f>
        <v>68.40100000000001</v>
      </c>
      <c r="D187">
        <f>Initialisation!$C$12</f>
        <v>22.800333333333334</v>
      </c>
      <c r="E187">
        <v>0</v>
      </c>
      <c r="G187">
        <f>MeteoJ!C187</f>
        <v>0</v>
      </c>
      <c r="J187">
        <f>ETR!F187</f>
        <v>0</v>
      </c>
      <c r="K187">
        <f t="shared" si="15"/>
        <v>53.195447995280141</v>
      </c>
      <c r="L187">
        <f t="shared" si="16"/>
        <v>0</v>
      </c>
      <c r="M187">
        <f t="shared" si="17"/>
        <v>0</v>
      </c>
      <c r="O187">
        <f>ETR!K187</f>
        <v>0</v>
      </c>
      <c r="P187">
        <f t="shared" si="18"/>
        <v>58.17907690221746</v>
      </c>
      <c r="Q187">
        <f t="shared" si="19"/>
        <v>0</v>
      </c>
      <c r="R187">
        <f t="shared" si="20"/>
        <v>0</v>
      </c>
    </row>
    <row r="188" spans="1:18" x14ac:dyDescent="0.35">
      <c r="A188" s="8">
        <f>ETR!A188</f>
        <v>42144</v>
      </c>
      <c r="B188">
        <f t="shared" si="14"/>
        <v>5</v>
      </c>
      <c r="C188">
        <f>Initialisation!$C$11</f>
        <v>68.40100000000001</v>
      </c>
      <c r="D188">
        <f>Initialisation!$C$12</f>
        <v>22.800333333333334</v>
      </c>
      <c r="E188">
        <v>0</v>
      </c>
      <c r="G188">
        <f>MeteoJ!C188</f>
        <v>0</v>
      </c>
      <c r="J188">
        <f>ETR!F188</f>
        <v>0</v>
      </c>
      <c r="K188">
        <f t="shared" si="15"/>
        <v>53.195447995280141</v>
      </c>
      <c r="L188">
        <f t="shared" si="16"/>
        <v>0</v>
      </c>
      <c r="M188">
        <f t="shared" si="17"/>
        <v>0</v>
      </c>
      <c r="O188">
        <f>ETR!K188</f>
        <v>0</v>
      </c>
      <c r="P188">
        <f t="shared" si="18"/>
        <v>58.17907690221746</v>
      </c>
      <c r="Q188">
        <f t="shared" si="19"/>
        <v>0</v>
      </c>
      <c r="R188">
        <f t="shared" si="20"/>
        <v>0</v>
      </c>
    </row>
    <row r="189" spans="1:18" x14ac:dyDescent="0.35">
      <c r="A189" s="8">
        <f>ETR!A189</f>
        <v>42144</v>
      </c>
      <c r="B189">
        <f t="shared" si="14"/>
        <v>5</v>
      </c>
      <c r="C189">
        <f>Initialisation!$C$11</f>
        <v>68.40100000000001</v>
      </c>
      <c r="D189">
        <f>Initialisation!$C$12</f>
        <v>22.800333333333334</v>
      </c>
      <c r="E189">
        <v>0</v>
      </c>
      <c r="G189">
        <f>MeteoJ!C189</f>
        <v>0</v>
      </c>
      <c r="J189">
        <f>ETR!F189</f>
        <v>0</v>
      </c>
      <c r="K189">
        <f t="shared" si="15"/>
        <v>53.195447995280141</v>
      </c>
      <c r="L189">
        <f t="shared" si="16"/>
        <v>0</v>
      </c>
      <c r="M189">
        <f t="shared" si="17"/>
        <v>0</v>
      </c>
      <c r="O189">
        <f>ETR!K189</f>
        <v>0</v>
      </c>
      <c r="P189">
        <f t="shared" si="18"/>
        <v>58.17907690221746</v>
      </c>
      <c r="Q189">
        <f t="shared" si="19"/>
        <v>0</v>
      </c>
      <c r="R189">
        <f t="shared" si="20"/>
        <v>0</v>
      </c>
    </row>
    <row r="190" spans="1:18" x14ac:dyDescent="0.35">
      <c r="A190" s="8">
        <f>ETR!A190</f>
        <v>42144</v>
      </c>
      <c r="B190">
        <f t="shared" si="14"/>
        <v>5</v>
      </c>
      <c r="C190">
        <f>Initialisation!$C$11</f>
        <v>68.40100000000001</v>
      </c>
      <c r="D190">
        <f>Initialisation!$C$12</f>
        <v>22.800333333333334</v>
      </c>
      <c r="E190">
        <v>0</v>
      </c>
      <c r="G190">
        <f>MeteoJ!C190</f>
        <v>0</v>
      </c>
      <c r="J190">
        <f>ETR!F190</f>
        <v>0</v>
      </c>
      <c r="K190">
        <f t="shared" si="15"/>
        <v>53.195447995280141</v>
      </c>
      <c r="L190">
        <f t="shared" si="16"/>
        <v>0</v>
      </c>
      <c r="M190">
        <f t="shared" si="17"/>
        <v>0</v>
      </c>
      <c r="O190">
        <f>ETR!K190</f>
        <v>0</v>
      </c>
      <c r="P190">
        <f t="shared" si="18"/>
        <v>58.17907690221746</v>
      </c>
      <c r="Q190">
        <f t="shared" si="19"/>
        <v>0</v>
      </c>
      <c r="R190">
        <f t="shared" si="20"/>
        <v>0</v>
      </c>
    </row>
    <row r="191" spans="1:18" x14ac:dyDescent="0.35">
      <c r="A191" s="8">
        <f>ETR!A191</f>
        <v>42144</v>
      </c>
      <c r="B191">
        <f t="shared" si="14"/>
        <v>5</v>
      </c>
      <c r="C191">
        <f>Initialisation!$C$11</f>
        <v>68.40100000000001</v>
      </c>
      <c r="D191">
        <f>Initialisation!$C$12</f>
        <v>22.800333333333334</v>
      </c>
      <c r="E191">
        <v>0</v>
      </c>
      <c r="G191">
        <f>MeteoJ!C191</f>
        <v>0</v>
      </c>
      <c r="J191">
        <f>ETR!F191</f>
        <v>0</v>
      </c>
      <c r="K191">
        <f t="shared" si="15"/>
        <v>53.195447995280141</v>
      </c>
      <c r="L191">
        <f t="shared" si="16"/>
        <v>0</v>
      </c>
      <c r="M191">
        <f t="shared" si="17"/>
        <v>0</v>
      </c>
      <c r="O191">
        <f>ETR!K191</f>
        <v>0</v>
      </c>
      <c r="P191">
        <f t="shared" si="18"/>
        <v>58.17907690221746</v>
      </c>
      <c r="Q191">
        <f t="shared" si="19"/>
        <v>0</v>
      </c>
      <c r="R191">
        <f t="shared" si="20"/>
        <v>0</v>
      </c>
    </row>
    <row r="192" spans="1:18" x14ac:dyDescent="0.35">
      <c r="A192" s="8">
        <f>ETR!A192</f>
        <v>42144</v>
      </c>
      <c r="B192">
        <f t="shared" si="14"/>
        <v>5</v>
      </c>
      <c r="C192">
        <f>Initialisation!$C$11</f>
        <v>68.40100000000001</v>
      </c>
      <c r="D192">
        <f>Initialisation!$C$12</f>
        <v>22.800333333333334</v>
      </c>
      <c r="E192">
        <v>0</v>
      </c>
      <c r="G192">
        <f>MeteoJ!C192</f>
        <v>0</v>
      </c>
      <c r="J192">
        <f>ETR!F192</f>
        <v>0</v>
      </c>
      <c r="K192">
        <f t="shared" si="15"/>
        <v>53.195447995280141</v>
      </c>
      <c r="L192">
        <f t="shared" si="16"/>
        <v>0</v>
      </c>
      <c r="M192">
        <f t="shared" si="17"/>
        <v>0</v>
      </c>
      <c r="O192">
        <f>ETR!K192</f>
        <v>0</v>
      </c>
      <c r="P192">
        <f t="shared" si="18"/>
        <v>58.17907690221746</v>
      </c>
      <c r="Q192">
        <f t="shared" si="19"/>
        <v>0</v>
      </c>
      <c r="R192">
        <f t="shared" si="20"/>
        <v>0</v>
      </c>
    </row>
    <row r="193" spans="1:18" x14ac:dyDescent="0.35">
      <c r="A193" s="8">
        <f>ETR!A193</f>
        <v>42144</v>
      </c>
      <c r="B193">
        <f t="shared" si="14"/>
        <v>5</v>
      </c>
      <c r="C193">
        <f>Initialisation!$C$11</f>
        <v>68.40100000000001</v>
      </c>
      <c r="D193">
        <f>Initialisation!$C$12</f>
        <v>22.800333333333334</v>
      </c>
      <c r="E193">
        <v>0</v>
      </c>
      <c r="G193">
        <f>MeteoJ!C193</f>
        <v>0</v>
      </c>
      <c r="J193">
        <f>ETR!F193</f>
        <v>0</v>
      </c>
      <c r="K193">
        <f t="shared" si="15"/>
        <v>53.195447995280141</v>
      </c>
      <c r="L193">
        <f t="shared" si="16"/>
        <v>0</v>
      </c>
      <c r="M193">
        <f t="shared" si="17"/>
        <v>0</v>
      </c>
      <c r="O193">
        <f>ETR!K193</f>
        <v>0</v>
      </c>
      <c r="P193">
        <f t="shared" si="18"/>
        <v>58.17907690221746</v>
      </c>
      <c r="Q193">
        <f t="shared" si="19"/>
        <v>0</v>
      </c>
      <c r="R193">
        <f t="shared" si="20"/>
        <v>0</v>
      </c>
    </row>
    <row r="194" spans="1:18" x14ac:dyDescent="0.35">
      <c r="A194" s="8">
        <f>ETR!A194</f>
        <v>42144</v>
      </c>
      <c r="B194">
        <f t="shared" si="14"/>
        <v>5</v>
      </c>
      <c r="C194">
        <f>Initialisation!$C$11</f>
        <v>68.40100000000001</v>
      </c>
      <c r="D194">
        <f>Initialisation!$C$12</f>
        <v>22.800333333333334</v>
      </c>
      <c r="E194">
        <v>0</v>
      </c>
      <c r="G194">
        <f>MeteoJ!C194</f>
        <v>0</v>
      </c>
      <c r="J194">
        <f>ETR!F194</f>
        <v>0</v>
      </c>
      <c r="K194">
        <f t="shared" si="15"/>
        <v>53.195447995280141</v>
      </c>
      <c r="L194">
        <f t="shared" si="16"/>
        <v>0</v>
      </c>
      <c r="M194">
        <f t="shared" si="17"/>
        <v>0</v>
      </c>
      <c r="O194">
        <f>ETR!K194</f>
        <v>0</v>
      </c>
      <c r="P194">
        <f t="shared" si="18"/>
        <v>58.17907690221746</v>
      </c>
      <c r="Q194">
        <f t="shared" si="19"/>
        <v>0</v>
      </c>
      <c r="R194">
        <f t="shared" si="20"/>
        <v>0</v>
      </c>
    </row>
    <row r="195" spans="1:18" x14ac:dyDescent="0.35">
      <c r="A195" s="8">
        <f>ETR!A195</f>
        <v>42144</v>
      </c>
      <c r="B195">
        <f t="shared" ref="B195:B258" si="21">MONTH(A195)</f>
        <v>5</v>
      </c>
      <c r="C195">
        <f>Initialisation!$C$11</f>
        <v>68.40100000000001</v>
      </c>
      <c r="D195">
        <f>Initialisation!$C$12</f>
        <v>22.800333333333334</v>
      </c>
      <c r="E195">
        <v>0</v>
      </c>
      <c r="G195">
        <f>MeteoJ!C195</f>
        <v>0</v>
      </c>
      <c r="J195">
        <f>ETR!F195</f>
        <v>0</v>
      </c>
      <c r="K195">
        <f t="shared" si="15"/>
        <v>53.195447995280141</v>
      </c>
      <c r="L195">
        <f t="shared" si="16"/>
        <v>0</v>
      </c>
      <c r="M195">
        <f t="shared" si="17"/>
        <v>0</v>
      </c>
      <c r="O195">
        <f>ETR!K195</f>
        <v>0</v>
      </c>
      <c r="P195">
        <f t="shared" si="18"/>
        <v>58.17907690221746</v>
      </c>
      <c r="Q195">
        <f t="shared" si="19"/>
        <v>0</v>
      </c>
      <c r="R195">
        <f t="shared" si="20"/>
        <v>0</v>
      </c>
    </row>
    <row r="196" spans="1:18" x14ac:dyDescent="0.35">
      <c r="A196" s="8">
        <f>ETR!A196</f>
        <v>42144</v>
      </c>
      <c r="B196">
        <f t="shared" si="21"/>
        <v>5</v>
      </c>
      <c r="C196">
        <f>Initialisation!$C$11</f>
        <v>68.40100000000001</v>
      </c>
      <c r="D196">
        <f>Initialisation!$C$12</f>
        <v>22.800333333333334</v>
      </c>
      <c r="E196">
        <v>0</v>
      </c>
      <c r="G196">
        <f>MeteoJ!C196</f>
        <v>0</v>
      </c>
      <c r="J196">
        <f>ETR!F196</f>
        <v>0</v>
      </c>
      <c r="K196">
        <f t="shared" ref="K196:K259" si="22">IF($K195+$G195+$L195-$J195&gt;=$C$2,$C$2,IF($K195+$G195+$L195-$J195&gt;$D$2,$K195+$G195+$L195-$J195,IF($K195+$G195+$L195-$J195&gt;0,$K195+$G195+$L195-$J195*($K195/$D$2),$K195+$G195+$L195-$J195*($K195/$D$2))))</f>
        <v>53.195447995280141</v>
      </c>
      <c r="L196">
        <f t="shared" ref="L196:L259" si="23">IF($K196+$G196-$J196&lt;2/3*$D196,2/3*$D196,0)</f>
        <v>0</v>
      </c>
      <c r="M196">
        <f t="shared" ref="M196:M259" si="24">M195+L195</f>
        <v>0</v>
      </c>
      <c r="O196">
        <f>ETR!K196</f>
        <v>0</v>
      </c>
      <c r="P196">
        <f t="shared" ref="P196:P259" si="25">IF($P195+$G195+$Q195-$O195&gt;=$C$2,$C$2,IF($P195+$G195+$Q195-$O195&gt;$D$2,$P195+$G195+$Q195-$O195,IF($P195+$G195+$Q195-$O195&gt;0,$P195+$G195+$Q195-$O195*($P195/$D$2),$P195+$G195+$Q195-$O195*($P195/$D$2))))</f>
        <v>58.17907690221746</v>
      </c>
      <c r="Q196">
        <f t="shared" ref="Q196:Q259" si="26">IF($P196+$G196-$O196&lt;2/3*$D196,2/3*$D196,0)</f>
        <v>0</v>
      </c>
      <c r="R196">
        <f t="shared" ref="R196:R259" si="27">R195+Q195</f>
        <v>0</v>
      </c>
    </row>
    <row r="197" spans="1:18" x14ac:dyDescent="0.35">
      <c r="A197" s="8">
        <f>ETR!A197</f>
        <v>42144</v>
      </c>
      <c r="B197">
        <f t="shared" si="21"/>
        <v>5</v>
      </c>
      <c r="C197">
        <f>Initialisation!$C$11</f>
        <v>68.40100000000001</v>
      </c>
      <c r="D197">
        <f>Initialisation!$C$12</f>
        <v>22.800333333333334</v>
      </c>
      <c r="E197">
        <v>0</v>
      </c>
      <c r="G197">
        <f>MeteoJ!C197</f>
        <v>0</v>
      </c>
      <c r="J197">
        <f>ETR!F197</f>
        <v>0</v>
      </c>
      <c r="K197">
        <f t="shared" si="22"/>
        <v>53.195447995280141</v>
      </c>
      <c r="L197">
        <f t="shared" si="23"/>
        <v>0</v>
      </c>
      <c r="M197">
        <f t="shared" si="24"/>
        <v>0</v>
      </c>
      <c r="O197">
        <f>ETR!K197</f>
        <v>0</v>
      </c>
      <c r="P197">
        <f t="shared" si="25"/>
        <v>58.17907690221746</v>
      </c>
      <c r="Q197">
        <f t="shared" si="26"/>
        <v>0</v>
      </c>
      <c r="R197">
        <f t="shared" si="27"/>
        <v>0</v>
      </c>
    </row>
    <row r="198" spans="1:18" x14ac:dyDescent="0.35">
      <c r="A198" s="8">
        <f>ETR!A198</f>
        <v>42144</v>
      </c>
      <c r="B198">
        <f t="shared" si="21"/>
        <v>5</v>
      </c>
      <c r="C198">
        <f>Initialisation!$C$11</f>
        <v>68.40100000000001</v>
      </c>
      <c r="D198">
        <f>Initialisation!$C$12</f>
        <v>22.800333333333334</v>
      </c>
      <c r="E198">
        <v>0</v>
      </c>
      <c r="G198">
        <f>MeteoJ!C198</f>
        <v>0</v>
      </c>
      <c r="J198">
        <f>ETR!F198</f>
        <v>0</v>
      </c>
      <c r="K198">
        <f t="shared" si="22"/>
        <v>53.195447995280141</v>
      </c>
      <c r="L198">
        <f t="shared" si="23"/>
        <v>0</v>
      </c>
      <c r="M198">
        <f t="shared" si="24"/>
        <v>0</v>
      </c>
      <c r="O198">
        <f>ETR!K198</f>
        <v>0</v>
      </c>
      <c r="P198">
        <f t="shared" si="25"/>
        <v>58.17907690221746</v>
      </c>
      <c r="Q198">
        <f t="shared" si="26"/>
        <v>0</v>
      </c>
      <c r="R198">
        <f t="shared" si="27"/>
        <v>0</v>
      </c>
    </row>
    <row r="199" spans="1:18" x14ac:dyDescent="0.35">
      <c r="A199" s="8">
        <f>ETR!A199</f>
        <v>42144</v>
      </c>
      <c r="B199">
        <f t="shared" si="21"/>
        <v>5</v>
      </c>
      <c r="C199">
        <f>Initialisation!$C$11</f>
        <v>68.40100000000001</v>
      </c>
      <c r="D199">
        <f>Initialisation!$C$12</f>
        <v>22.800333333333334</v>
      </c>
      <c r="E199">
        <v>0</v>
      </c>
      <c r="G199">
        <f>MeteoJ!C199</f>
        <v>0</v>
      </c>
      <c r="J199">
        <f>ETR!F199</f>
        <v>0</v>
      </c>
      <c r="K199">
        <f t="shared" si="22"/>
        <v>53.195447995280141</v>
      </c>
      <c r="L199">
        <f t="shared" si="23"/>
        <v>0</v>
      </c>
      <c r="M199">
        <f t="shared" si="24"/>
        <v>0</v>
      </c>
      <c r="O199">
        <f>ETR!K199</f>
        <v>0</v>
      </c>
      <c r="P199">
        <f t="shared" si="25"/>
        <v>58.17907690221746</v>
      </c>
      <c r="Q199">
        <f t="shared" si="26"/>
        <v>0</v>
      </c>
      <c r="R199">
        <f t="shared" si="27"/>
        <v>0</v>
      </c>
    </row>
    <row r="200" spans="1:18" x14ac:dyDescent="0.35">
      <c r="A200" s="8">
        <f>ETR!A200</f>
        <v>42144</v>
      </c>
      <c r="B200">
        <f t="shared" si="21"/>
        <v>5</v>
      </c>
      <c r="C200">
        <f>Initialisation!$C$11</f>
        <v>68.40100000000001</v>
      </c>
      <c r="D200">
        <f>Initialisation!$C$12</f>
        <v>22.800333333333334</v>
      </c>
      <c r="E200">
        <v>0</v>
      </c>
      <c r="G200">
        <f>MeteoJ!C200</f>
        <v>0</v>
      </c>
      <c r="J200">
        <f>ETR!F200</f>
        <v>0</v>
      </c>
      <c r="K200">
        <f t="shared" si="22"/>
        <v>53.195447995280141</v>
      </c>
      <c r="L200">
        <f t="shared" si="23"/>
        <v>0</v>
      </c>
      <c r="M200">
        <f t="shared" si="24"/>
        <v>0</v>
      </c>
      <c r="O200">
        <f>ETR!K200</f>
        <v>0</v>
      </c>
      <c r="P200">
        <f t="shared" si="25"/>
        <v>58.17907690221746</v>
      </c>
      <c r="Q200">
        <f t="shared" si="26"/>
        <v>0</v>
      </c>
      <c r="R200">
        <f t="shared" si="27"/>
        <v>0</v>
      </c>
    </row>
    <row r="201" spans="1:18" x14ac:dyDescent="0.35">
      <c r="A201" s="8">
        <f>ETR!A201</f>
        <v>42144</v>
      </c>
      <c r="B201">
        <f t="shared" si="21"/>
        <v>5</v>
      </c>
      <c r="C201">
        <f>Initialisation!$C$11</f>
        <v>68.40100000000001</v>
      </c>
      <c r="D201">
        <f>Initialisation!$C$12</f>
        <v>22.800333333333334</v>
      </c>
      <c r="E201">
        <v>0</v>
      </c>
      <c r="G201">
        <f>MeteoJ!C201</f>
        <v>0</v>
      </c>
      <c r="J201">
        <f>ETR!F201</f>
        <v>0</v>
      </c>
      <c r="K201">
        <f t="shared" si="22"/>
        <v>53.195447995280141</v>
      </c>
      <c r="L201">
        <f t="shared" si="23"/>
        <v>0</v>
      </c>
      <c r="M201">
        <f t="shared" si="24"/>
        <v>0</v>
      </c>
      <c r="O201">
        <f>ETR!K201</f>
        <v>0</v>
      </c>
      <c r="P201">
        <f t="shared" si="25"/>
        <v>58.17907690221746</v>
      </c>
      <c r="Q201">
        <f t="shared" si="26"/>
        <v>0</v>
      </c>
      <c r="R201">
        <f t="shared" si="27"/>
        <v>0</v>
      </c>
    </row>
    <row r="202" spans="1:18" x14ac:dyDescent="0.35">
      <c r="A202" s="8">
        <f>ETR!A202</f>
        <v>42144</v>
      </c>
      <c r="B202">
        <f t="shared" si="21"/>
        <v>5</v>
      </c>
      <c r="C202">
        <f>Initialisation!$C$11</f>
        <v>68.40100000000001</v>
      </c>
      <c r="D202">
        <f>Initialisation!$C$12</f>
        <v>22.800333333333334</v>
      </c>
      <c r="E202">
        <v>0</v>
      </c>
      <c r="G202">
        <f>MeteoJ!C202</f>
        <v>0</v>
      </c>
      <c r="J202">
        <f>ETR!F202</f>
        <v>0</v>
      </c>
      <c r="K202">
        <f t="shared" si="22"/>
        <v>53.195447995280141</v>
      </c>
      <c r="L202">
        <f t="shared" si="23"/>
        <v>0</v>
      </c>
      <c r="M202">
        <f t="shared" si="24"/>
        <v>0</v>
      </c>
      <c r="O202">
        <f>ETR!K202</f>
        <v>0</v>
      </c>
      <c r="P202">
        <f t="shared" si="25"/>
        <v>58.17907690221746</v>
      </c>
      <c r="Q202">
        <f t="shared" si="26"/>
        <v>0</v>
      </c>
      <c r="R202">
        <f t="shared" si="27"/>
        <v>0</v>
      </c>
    </row>
    <row r="203" spans="1:18" x14ac:dyDescent="0.35">
      <c r="A203" s="8">
        <f>ETR!A203</f>
        <v>42144</v>
      </c>
      <c r="B203">
        <f t="shared" si="21"/>
        <v>5</v>
      </c>
      <c r="C203">
        <f>Initialisation!$C$11</f>
        <v>68.40100000000001</v>
      </c>
      <c r="D203">
        <f>Initialisation!$C$12</f>
        <v>22.800333333333334</v>
      </c>
      <c r="E203">
        <v>0</v>
      </c>
      <c r="G203">
        <f>MeteoJ!C203</f>
        <v>0</v>
      </c>
      <c r="J203">
        <f>ETR!F203</f>
        <v>0</v>
      </c>
      <c r="K203">
        <f t="shared" si="22"/>
        <v>53.195447995280141</v>
      </c>
      <c r="L203">
        <f t="shared" si="23"/>
        <v>0</v>
      </c>
      <c r="M203">
        <f t="shared" si="24"/>
        <v>0</v>
      </c>
      <c r="O203">
        <f>ETR!K203</f>
        <v>0</v>
      </c>
      <c r="P203">
        <f t="shared" si="25"/>
        <v>58.17907690221746</v>
      </c>
      <c r="Q203">
        <f t="shared" si="26"/>
        <v>0</v>
      </c>
      <c r="R203">
        <f t="shared" si="27"/>
        <v>0</v>
      </c>
    </row>
    <row r="204" spans="1:18" x14ac:dyDescent="0.35">
      <c r="A204" s="8">
        <f>ETR!A204</f>
        <v>42144</v>
      </c>
      <c r="B204">
        <f t="shared" si="21"/>
        <v>5</v>
      </c>
      <c r="C204">
        <f>Initialisation!$C$11</f>
        <v>68.40100000000001</v>
      </c>
      <c r="D204">
        <f>Initialisation!$C$12</f>
        <v>22.800333333333334</v>
      </c>
      <c r="E204">
        <v>0</v>
      </c>
      <c r="G204">
        <f>MeteoJ!C204</f>
        <v>0</v>
      </c>
      <c r="J204">
        <f>ETR!F204</f>
        <v>0</v>
      </c>
      <c r="K204">
        <f t="shared" si="22"/>
        <v>53.195447995280141</v>
      </c>
      <c r="L204">
        <f t="shared" si="23"/>
        <v>0</v>
      </c>
      <c r="M204">
        <f t="shared" si="24"/>
        <v>0</v>
      </c>
      <c r="O204">
        <f>ETR!K204</f>
        <v>0</v>
      </c>
      <c r="P204">
        <f t="shared" si="25"/>
        <v>58.17907690221746</v>
      </c>
      <c r="Q204">
        <f t="shared" si="26"/>
        <v>0</v>
      </c>
      <c r="R204">
        <f t="shared" si="27"/>
        <v>0</v>
      </c>
    </row>
    <row r="205" spans="1:18" x14ac:dyDescent="0.35">
      <c r="A205" s="8">
        <f>ETR!A205</f>
        <v>42144</v>
      </c>
      <c r="B205">
        <f t="shared" si="21"/>
        <v>5</v>
      </c>
      <c r="C205">
        <f>Initialisation!$C$11</f>
        <v>68.40100000000001</v>
      </c>
      <c r="D205">
        <f>Initialisation!$C$12</f>
        <v>22.800333333333334</v>
      </c>
      <c r="E205">
        <v>0</v>
      </c>
      <c r="G205">
        <f>MeteoJ!C205</f>
        <v>0</v>
      </c>
      <c r="J205">
        <f>ETR!F205</f>
        <v>0</v>
      </c>
      <c r="K205">
        <f t="shared" si="22"/>
        <v>53.195447995280141</v>
      </c>
      <c r="L205">
        <f t="shared" si="23"/>
        <v>0</v>
      </c>
      <c r="M205">
        <f t="shared" si="24"/>
        <v>0</v>
      </c>
      <c r="O205">
        <f>ETR!K205</f>
        <v>0</v>
      </c>
      <c r="P205">
        <f t="shared" si="25"/>
        <v>58.17907690221746</v>
      </c>
      <c r="Q205">
        <f t="shared" si="26"/>
        <v>0</v>
      </c>
      <c r="R205">
        <f t="shared" si="27"/>
        <v>0</v>
      </c>
    </row>
    <row r="206" spans="1:18" x14ac:dyDescent="0.35">
      <c r="A206" s="8">
        <f>ETR!A206</f>
        <v>42144</v>
      </c>
      <c r="B206">
        <f t="shared" si="21"/>
        <v>5</v>
      </c>
      <c r="C206">
        <f>Initialisation!$C$11</f>
        <v>68.40100000000001</v>
      </c>
      <c r="D206">
        <f>Initialisation!$C$12</f>
        <v>22.800333333333334</v>
      </c>
      <c r="E206">
        <v>0</v>
      </c>
      <c r="G206">
        <f>MeteoJ!C206</f>
        <v>0</v>
      </c>
      <c r="J206">
        <f>ETR!F206</f>
        <v>0</v>
      </c>
      <c r="K206">
        <f t="shared" si="22"/>
        <v>53.195447995280141</v>
      </c>
      <c r="L206">
        <f t="shared" si="23"/>
        <v>0</v>
      </c>
      <c r="M206">
        <f t="shared" si="24"/>
        <v>0</v>
      </c>
      <c r="O206">
        <f>ETR!K206</f>
        <v>0</v>
      </c>
      <c r="P206">
        <f t="shared" si="25"/>
        <v>58.17907690221746</v>
      </c>
      <c r="Q206">
        <f t="shared" si="26"/>
        <v>0</v>
      </c>
      <c r="R206">
        <f t="shared" si="27"/>
        <v>0</v>
      </c>
    </row>
    <row r="207" spans="1:18" x14ac:dyDescent="0.35">
      <c r="A207" s="8">
        <f>ETR!A207</f>
        <v>42144</v>
      </c>
      <c r="B207">
        <f t="shared" si="21"/>
        <v>5</v>
      </c>
      <c r="C207">
        <f>Initialisation!$C$11</f>
        <v>68.40100000000001</v>
      </c>
      <c r="D207">
        <f>Initialisation!$C$12</f>
        <v>22.800333333333334</v>
      </c>
      <c r="E207">
        <v>0</v>
      </c>
      <c r="G207">
        <f>MeteoJ!C207</f>
        <v>0</v>
      </c>
      <c r="J207">
        <f>ETR!F207</f>
        <v>0</v>
      </c>
      <c r="K207">
        <f t="shared" si="22"/>
        <v>53.195447995280141</v>
      </c>
      <c r="L207">
        <f t="shared" si="23"/>
        <v>0</v>
      </c>
      <c r="M207">
        <f t="shared" si="24"/>
        <v>0</v>
      </c>
      <c r="O207">
        <f>ETR!K207</f>
        <v>0</v>
      </c>
      <c r="P207">
        <f t="shared" si="25"/>
        <v>58.17907690221746</v>
      </c>
      <c r="Q207">
        <f t="shared" si="26"/>
        <v>0</v>
      </c>
      <c r="R207">
        <f t="shared" si="27"/>
        <v>0</v>
      </c>
    </row>
    <row r="208" spans="1:18" x14ac:dyDescent="0.35">
      <c r="A208" s="8">
        <f>ETR!A208</f>
        <v>42144</v>
      </c>
      <c r="B208">
        <f t="shared" si="21"/>
        <v>5</v>
      </c>
      <c r="C208">
        <f>Initialisation!$C$11</f>
        <v>68.40100000000001</v>
      </c>
      <c r="D208">
        <f>Initialisation!$C$12</f>
        <v>22.800333333333334</v>
      </c>
      <c r="E208">
        <v>0</v>
      </c>
      <c r="G208">
        <f>MeteoJ!C208</f>
        <v>0</v>
      </c>
      <c r="J208">
        <f>ETR!F208</f>
        <v>0</v>
      </c>
      <c r="K208">
        <f t="shared" si="22"/>
        <v>53.195447995280141</v>
      </c>
      <c r="L208">
        <f t="shared" si="23"/>
        <v>0</v>
      </c>
      <c r="M208">
        <f t="shared" si="24"/>
        <v>0</v>
      </c>
      <c r="O208">
        <f>ETR!K208</f>
        <v>0</v>
      </c>
      <c r="P208">
        <f t="shared" si="25"/>
        <v>58.17907690221746</v>
      </c>
      <c r="Q208">
        <f t="shared" si="26"/>
        <v>0</v>
      </c>
      <c r="R208">
        <f t="shared" si="27"/>
        <v>0</v>
      </c>
    </row>
    <row r="209" spans="1:18" x14ac:dyDescent="0.35">
      <c r="A209" s="8">
        <f>ETR!A209</f>
        <v>42144</v>
      </c>
      <c r="B209">
        <f t="shared" si="21"/>
        <v>5</v>
      </c>
      <c r="C209">
        <f>Initialisation!$C$11</f>
        <v>68.40100000000001</v>
      </c>
      <c r="D209">
        <f>Initialisation!$C$12</f>
        <v>22.800333333333334</v>
      </c>
      <c r="E209">
        <v>0</v>
      </c>
      <c r="G209">
        <f>MeteoJ!C209</f>
        <v>0</v>
      </c>
      <c r="J209">
        <f>ETR!F209</f>
        <v>0</v>
      </c>
      <c r="K209">
        <f t="shared" si="22"/>
        <v>53.195447995280141</v>
      </c>
      <c r="L209">
        <f t="shared" si="23"/>
        <v>0</v>
      </c>
      <c r="M209">
        <f t="shared" si="24"/>
        <v>0</v>
      </c>
      <c r="O209">
        <f>ETR!K209</f>
        <v>0</v>
      </c>
      <c r="P209">
        <f t="shared" si="25"/>
        <v>58.17907690221746</v>
      </c>
      <c r="Q209">
        <f t="shared" si="26"/>
        <v>0</v>
      </c>
      <c r="R209">
        <f t="shared" si="27"/>
        <v>0</v>
      </c>
    </row>
    <row r="210" spans="1:18" x14ac:dyDescent="0.35">
      <c r="A210" s="8">
        <f>ETR!A210</f>
        <v>42144</v>
      </c>
      <c r="B210">
        <f t="shared" si="21"/>
        <v>5</v>
      </c>
      <c r="C210">
        <f>Initialisation!$C$11</f>
        <v>68.40100000000001</v>
      </c>
      <c r="D210">
        <f>Initialisation!$C$12</f>
        <v>22.800333333333334</v>
      </c>
      <c r="E210">
        <v>0</v>
      </c>
      <c r="G210">
        <f>MeteoJ!C210</f>
        <v>0</v>
      </c>
      <c r="J210">
        <f>ETR!F210</f>
        <v>0</v>
      </c>
      <c r="K210">
        <f t="shared" si="22"/>
        <v>53.195447995280141</v>
      </c>
      <c r="L210">
        <f t="shared" si="23"/>
        <v>0</v>
      </c>
      <c r="M210">
        <f t="shared" si="24"/>
        <v>0</v>
      </c>
      <c r="O210">
        <f>ETR!K210</f>
        <v>0</v>
      </c>
      <c r="P210">
        <f t="shared" si="25"/>
        <v>58.17907690221746</v>
      </c>
      <c r="Q210">
        <f t="shared" si="26"/>
        <v>0</v>
      </c>
      <c r="R210">
        <f t="shared" si="27"/>
        <v>0</v>
      </c>
    </row>
    <row r="211" spans="1:18" x14ac:dyDescent="0.35">
      <c r="A211" s="8">
        <f>ETR!A211</f>
        <v>42144</v>
      </c>
      <c r="B211">
        <f t="shared" si="21"/>
        <v>5</v>
      </c>
      <c r="C211">
        <f>Initialisation!$C$11</f>
        <v>68.40100000000001</v>
      </c>
      <c r="D211">
        <f>Initialisation!$C$12</f>
        <v>22.800333333333334</v>
      </c>
      <c r="E211">
        <v>0</v>
      </c>
      <c r="G211">
        <f>MeteoJ!C211</f>
        <v>0</v>
      </c>
      <c r="J211">
        <f>ETR!F211</f>
        <v>0</v>
      </c>
      <c r="K211">
        <f t="shared" si="22"/>
        <v>53.195447995280141</v>
      </c>
      <c r="L211">
        <f t="shared" si="23"/>
        <v>0</v>
      </c>
      <c r="M211">
        <f t="shared" si="24"/>
        <v>0</v>
      </c>
      <c r="O211">
        <f>ETR!K211</f>
        <v>0</v>
      </c>
      <c r="P211">
        <f t="shared" si="25"/>
        <v>58.17907690221746</v>
      </c>
      <c r="Q211">
        <f t="shared" si="26"/>
        <v>0</v>
      </c>
      <c r="R211">
        <f t="shared" si="27"/>
        <v>0</v>
      </c>
    </row>
    <row r="212" spans="1:18" x14ac:dyDescent="0.35">
      <c r="A212" s="8">
        <f>ETR!A212</f>
        <v>42144</v>
      </c>
      <c r="B212">
        <f t="shared" si="21"/>
        <v>5</v>
      </c>
      <c r="C212">
        <f>Initialisation!$C$11</f>
        <v>68.40100000000001</v>
      </c>
      <c r="D212">
        <f>Initialisation!$C$12</f>
        <v>22.800333333333334</v>
      </c>
      <c r="E212">
        <v>0</v>
      </c>
      <c r="G212">
        <f>MeteoJ!C212</f>
        <v>0</v>
      </c>
      <c r="J212">
        <f>ETR!F212</f>
        <v>0</v>
      </c>
      <c r="K212">
        <f t="shared" si="22"/>
        <v>53.195447995280141</v>
      </c>
      <c r="L212">
        <f t="shared" si="23"/>
        <v>0</v>
      </c>
      <c r="M212">
        <f t="shared" si="24"/>
        <v>0</v>
      </c>
      <c r="O212">
        <f>ETR!K212</f>
        <v>0</v>
      </c>
      <c r="P212">
        <f t="shared" si="25"/>
        <v>58.17907690221746</v>
      </c>
      <c r="Q212">
        <f t="shared" si="26"/>
        <v>0</v>
      </c>
      <c r="R212">
        <f t="shared" si="27"/>
        <v>0</v>
      </c>
    </row>
    <row r="213" spans="1:18" x14ac:dyDescent="0.35">
      <c r="A213" s="8">
        <f>ETR!A213</f>
        <v>42144</v>
      </c>
      <c r="B213">
        <f t="shared" si="21"/>
        <v>5</v>
      </c>
      <c r="C213">
        <f>Initialisation!$C$11</f>
        <v>68.40100000000001</v>
      </c>
      <c r="D213">
        <f>Initialisation!$C$12</f>
        <v>22.800333333333334</v>
      </c>
      <c r="E213">
        <v>0</v>
      </c>
      <c r="G213">
        <f>MeteoJ!C213</f>
        <v>0</v>
      </c>
      <c r="J213">
        <f>ETR!F213</f>
        <v>0</v>
      </c>
      <c r="K213">
        <f t="shared" si="22"/>
        <v>53.195447995280141</v>
      </c>
      <c r="L213">
        <f t="shared" si="23"/>
        <v>0</v>
      </c>
      <c r="M213">
        <f t="shared" si="24"/>
        <v>0</v>
      </c>
      <c r="O213">
        <f>ETR!K213</f>
        <v>0</v>
      </c>
      <c r="P213">
        <f t="shared" si="25"/>
        <v>58.17907690221746</v>
      </c>
      <c r="Q213">
        <f t="shared" si="26"/>
        <v>0</v>
      </c>
      <c r="R213">
        <f t="shared" si="27"/>
        <v>0</v>
      </c>
    </row>
    <row r="214" spans="1:18" x14ac:dyDescent="0.35">
      <c r="A214" s="8">
        <f>ETR!A214</f>
        <v>42144</v>
      </c>
      <c r="B214">
        <f t="shared" si="21"/>
        <v>5</v>
      </c>
      <c r="C214">
        <f>Initialisation!$C$11</f>
        <v>68.40100000000001</v>
      </c>
      <c r="D214">
        <f>Initialisation!$C$12</f>
        <v>22.800333333333334</v>
      </c>
      <c r="E214">
        <v>0</v>
      </c>
      <c r="G214">
        <f>MeteoJ!C214</f>
        <v>0</v>
      </c>
      <c r="J214">
        <f>ETR!F214</f>
        <v>0</v>
      </c>
      <c r="K214">
        <f t="shared" si="22"/>
        <v>53.195447995280141</v>
      </c>
      <c r="L214">
        <f t="shared" si="23"/>
        <v>0</v>
      </c>
      <c r="M214">
        <f t="shared" si="24"/>
        <v>0</v>
      </c>
      <c r="O214">
        <f>ETR!K214</f>
        <v>0</v>
      </c>
      <c r="P214">
        <f t="shared" si="25"/>
        <v>58.17907690221746</v>
      </c>
      <c r="Q214">
        <f t="shared" si="26"/>
        <v>0</v>
      </c>
      <c r="R214">
        <f t="shared" si="27"/>
        <v>0</v>
      </c>
    </row>
    <row r="215" spans="1:18" x14ac:dyDescent="0.35">
      <c r="A215" s="8">
        <f>ETR!A215</f>
        <v>42144</v>
      </c>
      <c r="B215">
        <f t="shared" si="21"/>
        <v>5</v>
      </c>
      <c r="C215">
        <f>Initialisation!$C$11</f>
        <v>68.40100000000001</v>
      </c>
      <c r="D215">
        <f>Initialisation!$C$12</f>
        <v>22.800333333333334</v>
      </c>
      <c r="E215">
        <v>0</v>
      </c>
      <c r="G215">
        <f>MeteoJ!C215</f>
        <v>0</v>
      </c>
      <c r="J215">
        <f>ETR!F215</f>
        <v>0</v>
      </c>
      <c r="K215">
        <f t="shared" si="22"/>
        <v>53.195447995280141</v>
      </c>
      <c r="L215">
        <f t="shared" si="23"/>
        <v>0</v>
      </c>
      <c r="M215">
        <f t="shared" si="24"/>
        <v>0</v>
      </c>
      <c r="O215">
        <f>ETR!K215</f>
        <v>0</v>
      </c>
      <c r="P215">
        <f t="shared" si="25"/>
        <v>58.17907690221746</v>
      </c>
      <c r="Q215">
        <f t="shared" si="26"/>
        <v>0</v>
      </c>
      <c r="R215">
        <f t="shared" si="27"/>
        <v>0</v>
      </c>
    </row>
    <row r="216" spans="1:18" x14ac:dyDescent="0.35">
      <c r="A216" s="8">
        <f>ETR!A216</f>
        <v>42144</v>
      </c>
      <c r="B216">
        <f t="shared" si="21"/>
        <v>5</v>
      </c>
      <c r="C216">
        <f>Initialisation!$C$11</f>
        <v>68.40100000000001</v>
      </c>
      <c r="D216">
        <f>Initialisation!$C$12</f>
        <v>22.800333333333334</v>
      </c>
      <c r="E216">
        <v>0</v>
      </c>
      <c r="G216">
        <f>MeteoJ!C216</f>
        <v>0</v>
      </c>
      <c r="J216">
        <f>ETR!F216</f>
        <v>0</v>
      </c>
      <c r="K216">
        <f t="shared" si="22"/>
        <v>53.195447995280141</v>
      </c>
      <c r="L216">
        <f t="shared" si="23"/>
        <v>0</v>
      </c>
      <c r="M216">
        <f t="shared" si="24"/>
        <v>0</v>
      </c>
      <c r="O216">
        <f>ETR!K216</f>
        <v>0</v>
      </c>
      <c r="P216">
        <f t="shared" si="25"/>
        <v>58.17907690221746</v>
      </c>
      <c r="Q216">
        <f t="shared" si="26"/>
        <v>0</v>
      </c>
      <c r="R216">
        <f t="shared" si="27"/>
        <v>0</v>
      </c>
    </row>
    <row r="217" spans="1:18" x14ac:dyDescent="0.35">
      <c r="A217" s="8">
        <f>ETR!A217</f>
        <v>42144</v>
      </c>
      <c r="B217">
        <f t="shared" si="21"/>
        <v>5</v>
      </c>
      <c r="C217">
        <f>Initialisation!$C$11</f>
        <v>68.40100000000001</v>
      </c>
      <c r="D217">
        <f>Initialisation!$C$12</f>
        <v>22.800333333333334</v>
      </c>
      <c r="E217">
        <v>0</v>
      </c>
      <c r="G217">
        <f>MeteoJ!C217</f>
        <v>0</v>
      </c>
      <c r="J217">
        <f>ETR!F217</f>
        <v>0</v>
      </c>
      <c r="K217">
        <f t="shared" si="22"/>
        <v>53.195447995280141</v>
      </c>
      <c r="L217">
        <f t="shared" si="23"/>
        <v>0</v>
      </c>
      <c r="M217">
        <f t="shared" si="24"/>
        <v>0</v>
      </c>
      <c r="O217">
        <f>ETR!K217</f>
        <v>0</v>
      </c>
      <c r="P217">
        <f t="shared" si="25"/>
        <v>58.17907690221746</v>
      </c>
      <c r="Q217">
        <f t="shared" si="26"/>
        <v>0</v>
      </c>
      <c r="R217">
        <f t="shared" si="27"/>
        <v>0</v>
      </c>
    </row>
    <row r="218" spans="1:18" x14ac:dyDescent="0.35">
      <c r="A218" s="8">
        <f>ETR!A218</f>
        <v>42144</v>
      </c>
      <c r="B218">
        <f t="shared" si="21"/>
        <v>5</v>
      </c>
      <c r="C218">
        <f>Initialisation!$C$11</f>
        <v>68.40100000000001</v>
      </c>
      <c r="D218">
        <f>Initialisation!$C$12</f>
        <v>22.800333333333334</v>
      </c>
      <c r="E218">
        <v>0</v>
      </c>
      <c r="G218">
        <f>MeteoJ!C218</f>
        <v>0</v>
      </c>
      <c r="J218">
        <f>ETR!F218</f>
        <v>0</v>
      </c>
      <c r="K218">
        <f t="shared" si="22"/>
        <v>53.195447995280141</v>
      </c>
      <c r="L218">
        <f t="shared" si="23"/>
        <v>0</v>
      </c>
      <c r="M218">
        <f t="shared" si="24"/>
        <v>0</v>
      </c>
      <c r="O218">
        <f>ETR!K218</f>
        <v>0</v>
      </c>
      <c r="P218">
        <f t="shared" si="25"/>
        <v>58.17907690221746</v>
      </c>
      <c r="Q218">
        <f t="shared" si="26"/>
        <v>0</v>
      </c>
      <c r="R218">
        <f t="shared" si="27"/>
        <v>0</v>
      </c>
    </row>
    <row r="219" spans="1:18" x14ac:dyDescent="0.35">
      <c r="A219" s="8">
        <f>ETR!A219</f>
        <v>42144</v>
      </c>
      <c r="B219">
        <f t="shared" si="21"/>
        <v>5</v>
      </c>
      <c r="C219">
        <f>Initialisation!$C$11</f>
        <v>68.40100000000001</v>
      </c>
      <c r="D219">
        <f>Initialisation!$C$12</f>
        <v>22.800333333333334</v>
      </c>
      <c r="E219">
        <v>0</v>
      </c>
      <c r="G219">
        <f>MeteoJ!C219</f>
        <v>0</v>
      </c>
      <c r="J219">
        <f>ETR!F219</f>
        <v>0</v>
      </c>
      <c r="K219">
        <f t="shared" si="22"/>
        <v>53.195447995280141</v>
      </c>
      <c r="L219">
        <f t="shared" si="23"/>
        <v>0</v>
      </c>
      <c r="M219">
        <f t="shared" si="24"/>
        <v>0</v>
      </c>
      <c r="O219">
        <f>ETR!K219</f>
        <v>0</v>
      </c>
      <c r="P219">
        <f t="shared" si="25"/>
        <v>58.17907690221746</v>
      </c>
      <c r="Q219">
        <f t="shared" si="26"/>
        <v>0</v>
      </c>
      <c r="R219">
        <f t="shared" si="27"/>
        <v>0</v>
      </c>
    </row>
    <row r="220" spans="1:18" x14ac:dyDescent="0.35">
      <c r="A220" s="8">
        <f>ETR!A220</f>
        <v>42144</v>
      </c>
      <c r="B220">
        <f t="shared" si="21"/>
        <v>5</v>
      </c>
      <c r="C220">
        <f>Initialisation!$C$11</f>
        <v>68.40100000000001</v>
      </c>
      <c r="D220">
        <f>Initialisation!$C$12</f>
        <v>22.800333333333334</v>
      </c>
      <c r="E220">
        <v>0</v>
      </c>
      <c r="G220">
        <f>MeteoJ!C220</f>
        <v>0</v>
      </c>
      <c r="J220">
        <f>ETR!F220</f>
        <v>0</v>
      </c>
      <c r="K220">
        <f t="shared" si="22"/>
        <v>53.195447995280141</v>
      </c>
      <c r="L220">
        <f t="shared" si="23"/>
        <v>0</v>
      </c>
      <c r="M220">
        <f t="shared" si="24"/>
        <v>0</v>
      </c>
      <c r="O220">
        <f>ETR!K220</f>
        <v>0</v>
      </c>
      <c r="P220">
        <f t="shared" si="25"/>
        <v>58.17907690221746</v>
      </c>
      <c r="Q220">
        <f t="shared" si="26"/>
        <v>0</v>
      </c>
      <c r="R220">
        <f t="shared" si="27"/>
        <v>0</v>
      </c>
    </row>
    <row r="221" spans="1:18" x14ac:dyDescent="0.35">
      <c r="A221" s="8">
        <f>ETR!A221</f>
        <v>42144</v>
      </c>
      <c r="B221">
        <f t="shared" si="21"/>
        <v>5</v>
      </c>
      <c r="C221">
        <f>Initialisation!$C$11</f>
        <v>68.40100000000001</v>
      </c>
      <c r="D221">
        <f>Initialisation!$C$12</f>
        <v>22.800333333333334</v>
      </c>
      <c r="E221">
        <v>0</v>
      </c>
      <c r="G221">
        <f>MeteoJ!C221</f>
        <v>0</v>
      </c>
      <c r="J221">
        <f>ETR!F221</f>
        <v>0</v>
      </c>
      <c r="K221">
        <f t="shared" si="22"/>
        <v>53.195447995280141</v>
      </c>
      <c r="L221">
        <f t="shared" si="23"/>
        <v>0</v>
      </c>
      <c r="M221">
        <f t="shared" si="24"/>
        <v>0</v>
      </c>
      <c r="O221">
        <f>ETR!K221</f>
        <v>0</v>
      </c>
      <c r="P221">
        <f t="shared" si="25"/>
        <v>58.17907690221746</v>
      </c>
      <c r="Q221">
        <f t="shared" si="26"/>
        <v>0</v>
      </c>
      <c r="R221">
        <f t="shared" si="27"/>
        <v>0</v>
      </c>
    </row>
    <row r="222" spans="1:18" x14ac:dyDescent="0.35">
      <c r="A222" s="8">
        <f>ETR!A222</f>
        <v>42144</v>
      </c>
      <c r="B222">
        <f t="shared" si="21"/>
        <v>5</v>
      </c>
      <c r="C222">
        <f>Initialisation!$C$11</f>
        <v>68.40100000000001</v>
      </c>
      <c r="D222">
        <f>Initialisation!$C$12</f>
        <v>22.800333333333334</v>
      </c>
      <c r="E222">
        <v>0</v>
      </c>
      <c r="G222">
        <f>MeteoJ!C222</f>
        <v>0</v>
      </c>
      <c r="J222">
        <f>ETR!F222</f>
        <v>0</v>
      </c>
      <c r="K222">
        <f t="shared" si="22"/>
        <v>53.195447995280141</v>
      </c>
      <c r="L222">
        <f t="shared" si="23"/>
        <v>0</v>
      </c>
      <c r="M222">
        <f t="shared" si="24"/>
        <v>0</v>
      </c>
      <c r="O222">
        <f>ETR!K222</f>
        <v>0</v>
      </c>
      <c r="P222">
        <f t="shared" si="25"/>
        <v>58.17907690221746</v>
      </c>
      <c r="Q222">
        <f t="shared" si="26"/>
        <v>0</v>
      </c>
      <c r="R222">
        <f t="shared" si="27"/>
        <v>0</v>
      </c>
    </row>
    <row r="223" spans="1:18" x14ac:dyDescent="0.35">
      <c r="A223" s="8">
        <f>ETR!A223</f>
        <v>42144</v>
      </c>
      <c r="B223">
        <f t="shared" si="21"/>
        <v>5</v>
      </c>
      <c r="C223">
        <f>Initialisation!$C$11</f>
        <v>68.40100000000001</v>
      </c>
      <c r="D223">
        <f>Initialisation!$C$12</f>
        <v>22.800333333333334</v>
      </c>
      <c r="E223">
        <v>0</v>
      </c>
      <c r="G223">
        <f>MeteoJ!C223</f>
        <v>0</v>
      </c>
      <c r="J223">
        <f>ETR!F223</f>
        <v>0</v>
      </c>
      <c r="K223">
        <f t="shared" si="22"/>
        <v>53.195447995280141</v>
      </c>
      <c r="L223">
        <f t="shared" si="23"/>
        <v>0</v>
      </c>
      <c r="M223">
        <f t="shared" si="24"/>
        <v>0</v>
      </c>
      <c r="O223">
        <f>ETR!K223</f>
        <v>0</v>
      </c>
      <c r="P223">
        <f t="shared" si="25"/>
        <v>58.17907690221746</v>
      </c>
      <c r="Q223">
        <f t="shared" si="26"/>
        <v>0</v>
      </c>
      <c r="R223">
        <f t="shared" si="27"/>
        <v>0</v>
      </c>
    </row>
    <row r="224" spans="1:18" x14ac:dyDescent="0.35">
      <c r="A224" s="8">
        <f>ETR!A224</f>
        <v>42144</v>
      </c>
      <c r="B224">
        <f t="shared" si="21"/>
        <v>5</v>
      </c>
      <c r="C224">
        <f>Initialisation!$C$11</f>
        <v>68.40100000000001</v>
      </c>
      <c r="D224">
        <f>Initialisation!$C$12</f>
        <v>22.800333333333334</v>
      </c>
      <c r="E224">
        <v>0</v>
      </c>
      <c r="G224">
        <f>MeteoJ!C224</f>
        <v>0</v>
      </c>
      <c r="J224">
        <f>ETR!F224</f>
        <v>0</v>
      </c>
      <c r="K224">
        <f t="shared" si="22"/>
        <v>53.195447995280141</v>
      </c>
      <c r="L224">
        <f t="shared" si="23"/>
        <v>0</v>
      </c>
      <c r="M224">
        <f t="shared" si="24"/>
        <v>0</v>
      </c>
      <c r="O224">
        <f>ETR!K224</f>
        <v>0</v>
      </c>
      <c r="P224">
        <f t="shared" si="25"/>
        <v>58.17907690221746</v>
      </c>
      <c r="Q224">
        <f t="shared" si="26"/>
        <v>0</v>
      </c>
      <c r="R224">
        <f t="shared" si="27"/>
        <v>0</v>
      </c>
    </row>
    <row r="225" spans="1:18" x14ac:dyDescent="0.35">
      <c r="A225" s="8">
        <f>ETR!A225</f>
        <v>42144</v>
      </c>
      <c r="B225">
        <f t="shared" si="21"/>
        <v>5</v>
      </c>
      <c r="C225">
        <f>Initialisation!$C$11</f>
        <v>68.40100000000001</v>
      </c>
      <c r="D225">
        <f>Initialisation!$C$12</f>
        <v>22.800333333333334</v>
      </c>
      <c r="E225">
        <v>0</v>
      </c>
      <c r="G225">
        <f>MeteoJ!C225</f>
        <v>0</v>
      </c>
      <c r="J225">
        <f>ETR!F225</f>
        <v>0</v>
      </c>
      <c r="K225">
        <f t="shared" si="22"/>
        <v>53.195447995280141</v>
      </c>
      <c r="L225">
        <f t="shared" si="23"/>
        <v>0</v>
      </c>
      <c r="M225">
        <f t="shared" si="24"/>
        <v>0</v>
      </c>
      <c r="O225">
        <f>ETR!K225</f>
        <v>0</v>
      </c>
      <c r="P225">
        <f t="shared" si="25"/>
        <v>58.17907690221746</v>
      </c>
      <c r="Q225">
        <f t="shared" si="26"/>
        <v>0</v>
      </c>
      <c r="R225">
        <f t="shared" si="27"/>
        <v>0</v>
      </c>
    </row>
    <row r="226" spans="1:18" x14ac:dyDescent="0.35">
      <c r="A226" s="8">
        <f>ETR!A226</f>
        <v>42144</v>
      </c>
      <c r="B226">
        <f t="shared" si="21"/>
        <v>5</v>
      </c>
      <c r="C226">
        <f>Initialisation!$C$11</f>
        <v>68.40100000000001</v>
      </c>
      <c r="D226">
        <f>Initialisation!$C$12</f>
        <v>22.800333333333334</v>
      </c>
      <c r="E226">
        <v>0</v>
      </c>
      <c r="G226">
        <f>MeteoJ!C226</f>
        <v>0</v>
      </c>
      <c r="J226">
        <f>ETR!F226</f>
        <v>0</v>
      </c>
      <c r="K226">
        <f t="shared" si="22"/>
        <v>53.195447995280141</v>
      </c>
      <c r="L226">
        <f t="shared" si="23"/>
        <v>0</v>
      </c>
      <c r="M226">
        <f t="shared" si="24"/>
        <v>0</v>
      </c>
      <c r="O226">
        <f>ETR!K226</f>
        <v>0</v>
      </c>
      <c r="P226">
        <f t="shared" si="25"/>
        <v>58.17907690221746</v>
      </c>
      <c r="Q226">
        <f t="shared" si="26"/>
        <v>0</v>
      </c>
      <c r="R226">
        <f t="shared" si="27"/>
        <v>0</v>
      </c>
    </row>
    <row r="227" spans="1:18" x14ac:dyDescent="0.35">
      <c r="A227" s="8">
        <f>ETR!A227</f>
        <v>42144</v>
      </c>
      <c r="B227">
        <f t="shared" si="21"/>
        <v>5</v>
      </c>
      <c r="C227">
        <f>Initialisation!$C$11</f>
        <v>68.40100000000001</v>
      </c>
      <c r="D227">
        <f>Initialisation!$C$12</f>
        <v>22.800333333333334</v>
      </c>
      <c r="E227">
        <v>0</v>
      </c>
      <c r="G227">
        <f>MeteoJ!C227</f>
        <v>0</v>
      </c>
      <c r="J227">
        <f>ETR!F227</f>
        <v>0</v>
      </c>
      <c r="K227">
        <f t="shared" si="22"/>
        <v>53.195447995280141</v>
      </c>
      <c r="L227">
        <f t="shared" si="23"/>
        <v>0</v>
      </c>
      <c r="M227">
        <f t="shared" si="24"/>
        <v>0</v>
      </c>
      <c r="O227">
        <f>ETR!K227</f>
        <v>0</v>
      </c>
      <c r="P227">
        <f t="shared" si="25"/>
        <v>58.17907690221746</v>
      </c>
      <c r="Q227">
        <f t="shared" si="26"/>
        <v>0</v>
      </c>
      <c r="R227">
        <f t="shared" si="27"/>
        <v>0</v>
      </c>
    </row>
    <row r="228" spans="1:18" x14ac:dyDescent="0.35">
      <c r="A228" s="8">
        <f>ETR!A228</f>
        <v>42144</v>
      </c>
      <c r="B228">
        <f t="shared" si="21"/>
        <v>5</v>
      </c>
      <c r="C228">
        <f>Initialisation!$C$11</f>
        <v>68.40100000000001</v>
      </c>
      <c r="D228">
        <f>Initialisation!$C$12</f>
        <v>22.800333333333334</v>
      </c>
      <c r="E228">
        <v>0</v>
      </c>
      <c r="G228">
        <f>MeteoJ!C228</f>
        <v>0</v>
      </c>
      <c r="J228">
        <f>ETR!F228</f>
        <v>0</v>
      </c>
      <c r="K228">
        <f t="shared" si="22"/>
        <v>53.195447995280141</v>
      </c>
      <c r="L228">
        <f t="shared" si="23"/>
        <v>0</v>
      </c>
      <c r="M228">
        <f t="shared" si="24"/>
        <v>0</v>
      </c>
      <c r="O228">
        <f>ETR!K228</f>
        <v>0</v>
      </c>
      <c r="P228">
        <f t="shared" si="25"/>
        <v>58.17907690221746</v>
      </c>
      <c r="Q228">
        <f t="shared" si="26"/>
        <v>0</v>
      </c>
      <c r="R228">
        <f t="shared" si="27"/>
        <v>0</v>
      </c>
    </row>
    <row r="229" spans="1:18" x14ac:dyDescent="0.35">
      <c r="A229" s="8">
        <f>ETR!A229</f>
        <v>42144</v>
      </c>
      <c r="B229">
        <f t="shared" si="21"/>
        <v>5</v>
      </c>
      <c r="C229">
        <f>Initialisation!$C$11</f>
        <v>68.40100000000001</v>
      </c>
      <c r="D229">
        <f>Initialisation!$C$12</f>
        <v>22.800333333333334</v>
      </c>
      <c r="E229">
        <v>0</v>
      </c>
      <c r="G229">
        <f>MeteoJ!C229</f>
        <v>0</v>
      </c>
      <c r="J229">
        <f>ETR!F229</f>
        <v>0</v>
      </c>
      <c r="K229">
        <f t="shared" si="22"/>
        <v>53.195447995280141</v>
      </c>
      <c r="L229">
        <f t="shared" si="23"/>
        <v>0</v>
      </c>
      <c r="M229">
        <f t="shared" si="24"/>
        <v>0</v>
      </c>
      <c r="O229">
        <f>ETR!K229</f>
        <v>0</v>
      </c>
      <c r="P229">
        <f t="shared" si="25"/>
        <v>58.17907690221746</v>
      </c>
      <c r="Q229">
        <f t="shared" si="26"/>
        <v>0</v>
      </c>
      <c r="R229">
        <f t="shared" si="27"/>
        <v>0</v>
      </c>
    </row>
    <row r="230" spans="1:18" x14ac:dyDescent="0.35">
      <c r="A230" s="8">
        <f>ETR!A230</f>
        <v>42144</v>
      </c>
      <c r="B230">
        <f t="shared" si="21"/>
        <v>5</v>
      </c>
      <c r="C230">
        <f>Initialisation!$C$11</f>
        <v>68.40100000000001</v>
      </c>
      <c r="D230">
        <f>Initialisation!$C$12</f>
        <v>22.800333333333334</v>
      </c>
      <c r="E230">
        <v>0</v>
      </c>
      <c r="G230">
        <f>MeteoJ!C230</f>
        <v>0</v>
      </c>
      <c r="J230">
        <f>ETR!F230</f>
        <v>0</v>
      </c>
      <c r="K230">
        <f t="shared" si="22"/>
        <v>53.195447995280141</v>
      </c>
      <c r="L230">
        <f t="shared" si="23"/>
        <v>0</v>
      </c>
      <c r="M230">
        <f t="shared" si="24"/>
        <v>0</v>
      </c>
      <c r="O230">
        <f>ETR!K230</f>
        <v>0</v>
      </c>
      <c r="P230">
        <f t="shared" si="25"/>
        <v>58.17907690221746</v>
      </c>
      <c r="Q230">
        <f t="shared" si="26"/>
        <v>0</v>
      </c>
      <c r="R230">
        <f t="shared" si="27"/>
        <v>0</v>
      </c>
    </row>
    <row r="231" spans="1:18" x14ac:dyDescent="0.35">
      <c r="A231" s="8">
        <f>ETR!A231</f>
        <v>42144</v>
      </c>
      <c r="B231">
        <f t="shared" si="21"/>
        <v>5</v>
      </c>
      <c r="C231">
        <f>Initialisation!$C$11</f>
        <v>68.40100000000001</v>
      </c>
      <c r="D231">
        <f>Initialisation!$C$12</f>
        <v>22.800333333333334</v>
      </c>
      <c r="E231">
        <v>0</v>
      </c>
      <c r="G231">
        <f>MeteoJ!C231</f>
        <v>0</v>
      </c>
      <c r="J231">
        <f>ETR!F231</f>
        <v>0</v>
      </c>
      <c r="K231">
        <f t="shared" si="22"/>
        <v>53.195447995280141</v>
      </c>
      <c r="L231">
        <f t="shared" si="23"/>
        <v>0</v>
      </c>
      <c r="M231">
        <f t="shared" si="24"/>
        <v>0</v>
      </c>
      <c r="O231">
        <f>ETR!K231</f>
        <v>0</v>
      </c>
      <c r="P231">
        <f t="shared" si="25"/>
        <v>58.17907690221746</v>
      </c>
      <c r="Q231">
        <f t="shared" si="26"/>
        <v>0</v>
      </c>
      <c r="R231">
        <f t="shared" si="27"/>
        <v>0</v>
      </c>
    </row>
    <row r="232" spans="1:18" x14ac:dyDescent="0.35">
      <c r="A232" s="8">
        <f>ETR!A232</f>
        <v>42144</v>
      </c>
      <c r="B232">
        <f t="shared" si="21"/>
        <v>5</v>
      </c>
      <c r="C232">
        <f>Initialisation!$C$11</f>
        <v>68.40100000000001</v>
      </c>
      <c r="D232">
        <f>Initialisation!$C$12</f>
        <v>22.800333333333334</v>
      </c>
      <c r="E232">
        <v>0</v>
      </c>
      <c r="G232">
        <f>MeteoJ!C232</f>
        <v>0</v>
      </c>
      <c r="J232">
        <f>ETR!F232</f>
        <v>0</v>
      </c>
      <c r="K232">
        <f t="shared" si="22"/>
        <v>53.195447995280141</v>
      </c>
      <c r="L232">
        <f t="shared" si="23"/>
        <v>0</v>
      </c>
      <c r="M232">
        <f t="shared" si="24"/>
        <v>0</v>
      </c>
      <c r="O232">
        <f>ETR!K232</f>
        <v>0</v>
      </c>
      <c r="P232">
        <f t="shared" si="25"/>
        <v>58.17907690221746</v>
      </c>
      <c r="Q232">
        <f t="shared" si="26"/>
        <v>0</v>
      </c>
      <c r="R232">
        <f t="shared" si="27"/>
        <v>0</v>
      </c>
    </row>
    <row r="233" spans="1:18" x14ac:dyDescent="0.35">
      <c r="A233" s="8">
        <f>ETR!A233</f>
        <v>42144</v>
      </c>
      <c r="B233">
        <f t="shared" si="21"/>
        <v>5</v>
      </c>
      <c r="C233">
        <f>Initialisation!$C$11</f>
        <v>68.40100000000001</v>
      </c>
      <c r="D233">
        <f>Initialisation!$C$12</f>
        <v>22.800333333333334</v>
      </c>
      <c r="E233">
        <v>0</v>
      </c>
      <c r="G233">
        <f>MeteoJ!C233</f>
        <v>0</v>
      </c>
      <c r="J233">
        <f>ETR!F233</f>
        <v>0</v>
      </c>
      <c r="K233">
        <f t="shared" si="22"/>
        <v>53.195447995280141</v>
      </c>
      <c r="L233">
        <f t="shared" si="23"/>
        <v>0</v>
      </c>
      <c r="M233">
        <f t="shared" si="24"/>
        <v>0</v>
      </c>
      <c r="O233">
        <f>ETR!K233</f>
        <v>0</v>
      </c>
      <c r="P233">
        <f t="shared" si="25"/>
        <v>58.17907690221746</v>
      </c>
      <c r="Q233">
        <f t="shared" si="26"/>
        <v>0</v>
      </c>
      <c r="R233">
        <f t="shared" si="27"/>
        <v>0</v>
      </c>
    </row>
    <row r="234" spans="1:18" x14ac:dyDescent="0.35">
      <c r="A234" s="8">
        <f>ETR!A234</f>
        <v>42144</v>
      </c>
      <c r="B234">
        <f t="shared" si="21"/>
        <v>5</v>
      </c>
      <c r="C234">
        <f>Initialisation!$C$11</f>
        <v>68.40100000000001</v>
      </c>
      <c r="D234">
        <f>Initialisation!$C$12</f>
        <v>22.800333333333334</v>
      </c>
      <c r="E234">
        <v>0</v>
      </c>
      <c r="G234">
        <f>MeteoJ!C234</f>
        <v>0</v>
      </c>
      <c r="J234">
        <f>ETR!F234</f>
        <v>0</v>
      </c>
      <c r="K234">
        <f t="shared" si="22"/>
        <v>53.195447995280141</v>
      </c>
      <c r="L234">
        <f t="shared" si="23"/>
        <v>0</v>
      </c>
      <c r="M234">
        <f t="shared" si="24"/>
        <v>0</v>
      </c>
      <c r="O234">
        <f>ETR!K234</f>
        <v>0</v>
      </c>
      <c r="P234">
        <f t="shared" si="25"/>
        <v>58.17907690221746</v>
      </c>
      <c r="Q234">
        <f t="shared" si="26"/>
        <v>0</v>
      </c>
      <c r="R234">
        <f t="shared" si="27"/>
        <v>0</v>
      </c>
    </row>
    <row r="235" spans="1:18" x14ac:dyDescent="0.35">
      <c r="A235" s="8">
        <f>ETR!A235</f>
        <v>42144</v>
      </c>
      <c r="B235">
        <f t="shared" si="21"/>
        <v>5</v>
      </c>
      <c r="C235">
        <f>Initialisation!$C$11</f>
        <v>68.40100000000001</v>
      </c>
      <c r="D235">
        <f>Initialisation!$C$12</f>
        <v>22.800333333333334</v>
      </c>
      <c r="E235">
        <v>0</v>
      </c>
      <c r="G235">
        <f>MeteoJ!C235</f>
        <v>0</v>
      </c>
      <c r="J235">
        <f>ETR!F235</f>
        <v>0</v>
      </c>
      <c r="K235">
        <f t="shared" si="22"/>
        <v>53.195447995280141</v>
      </c>
      <c r="L235">
        <f t="shared" si="23"/>
        <v>0</v>
      </c>
      <c r="M235">
        <f t="shared" si="24"/>
        <v>0</v>
      </c>
      <c r="O235">
        <f>ETR!K235</f>
        <v>0</v>
      </c>
      <c r="P235">
        <f t="shared" si="25"/>
        <v>58.17907690221746</v>
      </c>
      <c r="Q235">
        <f t="shared" si="26"/>
        <v>0</v>
      </c>
      <c r="R235">
        <f t="shared" si="27"/>
        <v>0</v>
      </c>
    </row>
    <row r="236" spans="1:18" x14ac:dyDescent="0.35">
      <c r="A236" s="8">
        <f>ETR!A236</f>
        <v>42144</v>
      </c>
      <c r="B236">
        <f t="shared" si="21"/>
        <v>5</v>
      </c>
      <c r="C236">
        <f>Initialisation!$C$11</f>
        <v>68.40100000000001</v>
      </c>
      <c r="D236">
        <f>Initialisation!$C$12</f>
        <v>22.800333333333334</v>
      </c>
      <c r="E236">
        <v>0</v>
      </c>
      <c r="G236">
        <f>MeteoJ!C236</f>
        <v>0</v>
      </c>
      <c r="J236">
        <f>ETR!F236</f>
        <v>0</v>
      </c>
      <c r="K236">
        <f t="shared" si="22"/>
        <v>53.195447995280141</v>
      </c>
      <c r="L236">
        <f t="shared" si="23"/>
        <v>0</v>
      </c>
      <c r="M236">
        <f t="shared" si="24"/>
        <v>0</v>
      </c>
      <c r="O236">
        <f>ETR!K236</f>
        <v>0</v>
      </c>
      <c r="P236">
        <f t="shared" si="25"/>
        <v>58.17907690221746</v>
      </c>
      <c r="Q236">
        <f t="shared" si="26"/>
        <v>0</v>
      </c>
      <c r="R236">
        <f t="shared" si="27"/>
        <v>0</v>
      </c>
    </row>
    <row r="237" spans="1:18" x14ac:dyDescent="0.35">
      <c r="A237" s="8">
        <f>ETR!A237</f>
        <v>42144</v>
      </c>
      <c r="B237">
        <f t="shared" si="21"/>
        <v>5</v>
      </c>
      <c r="C237">
        <f>Initialisation!$C$11</f>
        <v>68.40100000000001</v>
      </c>
      <c r="D237">
        <f>Initialisation!$C$12</f>
        <v>22.800333333333334</v>
      </c>
      <c r="E237">
        <v>0</v>
      </c>
      <c r="G237">
        <f>MeteoJ!C237</f>
        <v>0</v>
      </c>
      <c r="J237">
        <f>ETR!F237</f>
        <v>0</v>
      </c>
      <c r="K237">
        <f t="shared" si="22"/>
        <v>53.195447995280141</v>
      </c>
      <c r="L237">
        <f t="shared" si="23"/>
        <v>0</v>
      </c>
      <c r="M237">
        <f t="shared" si="24"/>
        <v>0</v>
      </c>
      <c r="O237">
        <f>ETR!K237</f>
        <v>0</v>
      </c>
      <c r="P237">
        <f t="shared" si="25"/>
        <v>58.17907690221746</v>
      </c>
      <c r="Q237">
        <f t="shared" si="26"/>
        <v>0</v>
      </c>
      <c r="R237">
        <f t="shared" si="27"/>
        <v>0</v>
      </c>
    </row>
    <row r="238" spans="1:18" x14ac:dyDescent="0.35">
      <c r="A238" s="8">
        <f>ETR!A238</f>
        <v>42144</v>
      </c>
      <c r="B238">
        <f t="shared" si="21"/>
        <v>5</v>
      </c>
      <c r="C238">
        <f>Initialisation!$C$11</f>
        <v>68.40100000000001</v>
      </c>
      <c r="D238">
        <f>Initialisation!$C$12</f>
        <v>22.800333333333334</v>
      </c>
      <c r="E238">
        <v>0</v>
      </c>
      <c r="G238">
        <f>MeteoJ!C238</f>
        <v>0</v>
      </c>
      <c r="J238">
        <f>ETR!F238</f>
        <v>0</v>
      </c>
      <c r="K238">
        <f t="shared" si="22"/>
        <v>53.195447995280141</v>
      </c>
      <c r="L238">
        <f t="shared" si="23"/>
        <v>0</v>
      </c>
      <c r="M238">
        <f t="shared" si="24"/>
        <v>0</v>
      </c>
      <c r="O238">
        <f>ETR!K238</f>
        <v>0</v>
      </c>
      <c r="P238">
        <f t="shared" si="25"/>
        <v>58.17907690221746</v>
      </c>
      <c r="Q238">
        <f t="shared" si="26"/>
        <v>0</v>
      </c>
      <c r="R238">
        <f t="shared" si="27"/>
        <v>0</v>
      </c>
    </row>
    <row r="239" spans="1:18" x14ac:dyDescent="0.35">
      <c r="A239" s="8">
        <f>ETR!A239</f>
        <v>42144</v>
      </c>
      <c r="B239">
        <f t="shared" si="21"/>
        <v>5</v>
      </c>
      <c r="C239">
        <f>Initialisation!$C$11</f>
        <v>68.40100000000001</v>
      </c>
      <c r="D239">
        <f>Initialisation!$C$12</f>
        <v>22.800333333333334</v>
      </c>
      <c r="E239">
        <v>0</v>
      </c>
      <c r="G239">
        <f>MeteoJ!C239</f>
        <v>0</v>
      </c>
      <c r="J239">
        <f>ETR!F239</f>
        <v>0</v>
      </c>
      <c r="K239">
        <f t="shared" si="22"/>
        <v>53.195447995280141</v>
      </c>
      <c r="L239">
        <f t="shared" si="23"/>
        <v>0</v>
      </c>
      <c r="M239">
        <f t="shared" si="24"/>
        <v>0</v>
      </c>
      <c r="O239">
        <f>ETR!K239</f>
        <v>0</v>
      </c>
      <c r="P239">
        <f t="shared" si="25"/>
        <v>58.17907690221746</v>
      </c>
      <c r="Q239">
        <f t="shared" si="26"/>
        <v>0</v>
      </c>
      <c r="R239">
        <f t="shared" si="27"/>
        <v>0</v>
      </c>
    </row>
    <row r="240" spans="1:18" x14ac:dyDescent="0.35">
      <c r="A240" s="8">
        <f>ETR!A240</f>
        <v>42144</v>
      </c>
      <c r="B240">
        <f t="shared" si="21"/>
        <v>5</v>
      </c>
      <c r="C240">
        <f>Initialisation!$C$11</f>
        <v>68.40100000000001</v>
      </c>
      <c r="D240">
        <f>Initialisation!$C$12</f>
        <v>22.800333333333334</v>
      </c>
      <c r="E240">
        <v>0</v>
      </c>
      <c r="G240">
        <f>MeteoJ!C240</f>
        <v>0</v>
      </c>
      <c r="J240">
        <f>ETR!F240</f>
        <v>0</v>
      </c>
      <c r="K240">
        <f t="shared" si="22"/>
        <v>53.195447995280141</v>
      </c>
      <c r="L240">
        <f t="shared" si="23"/>
        <v>0</v>
      </c>
      <c r="M240">
        <f t="shared" si="24"/>
        <v>0</v>
      </c>
      <c r="O240">
        <f>ETR!K240</f>
        <v>0</v>
      </c>
      <c r="P240">
        <f t="shared" si="25"/>
        <v>58.17907690221746</v>
      </c>
      <c r="Q240">
        <f t="shared" si="26"/>
        <v>0</v>
      </c>
      <c r="R240">
        <f t="shared" si="27"/>
        <v>0</v>
      </c>
    </row>
    <row r="241" spans="1:18" x14ac:dyDescent="0.35">
      <c r="A241" s="8">
        <f>ETR!A241</f>
        <v>42144</v>
      </c>
      <c r="B241">
        <f t="shared" si="21"/>
        <v>5</v>
      </c>
      <c r="C241">
        <f>Initialisation!$C$11</f>
        <v>68.40100000000001</v>
      </c>
      <c r="D241">
        <f>Initialisation!$C$12</f>
        <v>22.800333333333334</v>
      </c>
      <c r="E241">
        <v>0</v>
      </c>
      <c r="G241">
        <f>MeteoJ!C241</f>
        <v>0</v>
      </c>
      <c r="J241">
        <f>ETR!F241</f>
        <v>0</v>
      </c>
      <c r="K241">
        <f t="shared" si="22"/>
        <v>53.195447995280141</v>
      </c>
      <c r="L241">
        <f t="shared" si="23"/>
        <v>0</v>
      </c>
      <c r="M241">
        <f t="shared" si="24"/>
        <v>0</v>
      </c>
      <c r="O241">
        <f>ETR!K241</f>
        <v>0</v>
      </c>
      <c r="P241">
        <f t="shared" si="25"/>
        <v>58.17907690221746</v>
      </c>
      <c r="Q241">
        <f t="shared" si="26"/>
        <v>0</v>
      </c>
      <c r="R241">
        <f t="shared" si="27"/>
        <v>0</v>
      </c>
    </row>
    <row r="242" spans="1:18" x14ac:dyDescent="0.35">
      <c r="A242" s="8">
        <f>ETR!A242</f>
        <v>42144</v>
      </c>
      <c r="B242">
        <f t="shared" si="21"/>
        <v>5</v>
      </c>
      <c r="C242">
        <f>Initialisation!$C$11</f>
        <v>68.40100000000001</v>
      </c>
      <c r="D242">
        <f>Initialisation!$C$12</f>
        <v>22.800333333333334</v>
      </c>
      <c r="E242">
        <v>0</v>
      </c>
      <c r="G242">
        <f>MeteoJ!C242</f>
        <v>0</v>
      </c>
      <c r="J242">
        <f>ETR!F242</f>
        <v>0</v>
      </c>
      <c r="K242">
        <f t="shared" si="22"/>
        <v>53.195447995280141</v>
      </c>
      <c r="L242">
        <f t="shared" si="23"/>
        <v>0</v>
      </c>
      <c r="M242">
        <f t="shared" si="24"/>
        <v>0</v>
      </c>
      <c r="O242">
        <f>ETR!K242</f>
        <v>0</v>
      </c>
      <c r="P242">
        <f t="shared" si="25"/>
        <v>58.17907690221746</v>
      </c>
      <c r="Q242">
        <f t="shared" si="26"/>
        <v>0</v>
      </c>
      <c r="R242">
        <f t="shared" si="27"/>
        <v>0</v>
      </c>
    </row>
    <row r="243" spans="1:18" x14ac:dyDescent="0.35">
      <c r="A243" s="8">
        <f>ETR!A243</f>
        <v>42144</v>
      </c>
      <c r="B243">
        <f t="shared" si="21"/>
        <v>5</v>
      </c>
      <c r="C243">
        <f>Initialisation!$C$11</f>
        <v>68.40100000000001</v>
      </c>
      <c r="D243">
        <f>Initialisation!$C$12</f>
        <v>22.800333333333334</v>
      </c>
      <c r="E243">
        <v>0</v>
      </c>
      <c r="G243">
        <f>MeteoJ!C243</f>
        <v>0</v>
      </c>
      <c r="J243">
        <f>ETR!F243</f>
        <v>0</v>
      </c>
      <c r="K243">
        <f t="shared" si="22"/>
        <v>53.195447995280141</v>
      </c>
      <c r="L243">
        <f t="shared" si="23"/>
        <v>0</v>
      </c>
      <c r="M243">
        <f t="shared" si="24"/>
        <v>0</v>
      </c>
      <c r="O243">
        <f>ETR!K243</f>
        <v>0</v>
      </c>
      <c r="P243">
        <f t="shared" si="25"/>
        <v>58.17907690221746</v>
      </c>
      <c r="Q243">
        <f t="shared" si="26"/>
        <v>0</v>
      </c>
      <c r="R243">
        <f t="shared" si="27"/>
        <v>0</v>
      </c>
    </row>
    <row r="244" spans="1:18" x14ac:dyDescent="0.35">
      <c r="A244" s="8">
        <f>ETR!A244</f>
        <v>42144</v>
      </c>
      <c r="B244">
        <f t="shared" si="21"/>
        <v>5</v>
      </c>
      <c r="C244">
        <f>Initialisation!$C$11</f>
        <v>68.40100000000001</v>
      </c>
      <c r="D244">
        <f>Initialisation!$C$12</f>
        <v>22.800333333333334</v>
      </c>
      <c r="E244">
        <v>0</v>
      </c>
      <c r="G244">
        <f>MeteoJ!C244</f>
        <v>0</v>
      </c>
      <c r="J244">
        <f>ETR!F244</f>
        <v>0</v>
      </c>
      <c r="K244">
        <f t="shared" si="22"/>
        <v>53.195447995280141</v>
      </c>
      <c r="L244">
        <f t="shared" si="23"/>
        <v>0</v>
      </c>
      <c r="M244">
        <f t="shared" si="24"/>
        <v>0</v>
      </c>
      <c r="O244">
        <f>ETR!K244</f>
        <v>0</v>
      </c>
      <c r="P244">
        <f t="shared" si="25"/>
        <v>58.17907690221746</v>
      </c>
      <c r="Q244">
        <f t="shared" si="26"/>
        <v>0</v>
      </c>
      <c r="R244">
        <f t="shared" si="27"/>
        <v>0</v>
      </c>
    </row>
    <row r="245" spans="1:18" x14ac:dyDescent="0.35">
      <c r="A245" s="8">
        <f>ETR!A245</f>
        <v>42144</v>
      </c>
      <c r="B245">
        <f t="shared" si="21"/>
        <v>5</v>
      </c>
      <c r="C245">
        <f>Initialisation!$C$11</f>
        <v>68.40100000000001</v>
      </c>
      <c r="D245">
        <f>Initialisation!$C$12</f>
        <v>22.800333333333334</v>
      </c>
      <c r="E245">
        <v>0</v>
      </c>
      <c r="G245">
        <f>MeteoJ!C245</f>
        <v>0</v>
      </c>
      <c r="J245">
        <f>ETR!F245</f>
        <v>0</v>
      </c>
      <c r="K245">
        <f t="shared" si="22"/>
        <v>53.195447995280141</v>
      </c>
      <c r="L245">
        <f t="shared" si="23"/>
        <v>0</v>
      </c>
      <c r="M245">
        <f t="shared" si="24"/>
        <v>0</v>
      </c>
      <c r="O245">
        <f>ETR!K245</f>
        <v>0</v>
      </c>
      <c r="P245">
        <f t="shared" si="25"/>
        <v>58.17907690221746</v>
      </c>
      <c r="Q245">
        <f t="shared" si="26"/>
        <v>0</v>
      </c>
      <c r="R245">
        <f t="shared" si="27"/>
        <v>0</v>
      </c>
    </row>
    <row r="246" spans="1:18" x14ac:dyDescent="0.35">
      <c r="A246" s="8">
        <f>ETR!A246</f>
        <v>42144</v>
      </c>
      <c r="B246">
        <f t="shared" si="21"/>
        <v>5</v>
      </c>
      <c r="C246">
        <f>Initialisation!$C$11</f>
        <v>68.40100000000001</v>
      </c>
      <c r="D246">
        <f>Initialisation!$C$12</f>
        <v>22.800333333333334</v>
      </c>
      <c r="E246">
        <v>0</v>
      </c>
      <c r="G246">
        <f>MeteoJ!C246</f>
        <v>0</v>
      </c>
      <c r="J246">
        <f>ETR!F246</f>
        <v>0</v>
      </c>
      <c r="K246">
        <f t="shared" si="22"/>
        <v>53.195447995280141</v>
      </c>
      <c r="L246">
        <f t="shared" si="23"/>
        <v>0</v>
      </c>
      <c r="M246">
        <f t="shared" si="24"/>
        <v>0</v>
      </c>
      <c r="O246">
        <f>ETR!K246</f>
        <v>0</v>
      </c>
      <c r="P246">
        <f t="shared" si="25"/>
        <v>58.17907690221746</v>
      </c>
      <c r="Q246">
        <f t="shared" si="26"/>
        <v>0</v>
      </c>
      <c r="R246">
        <f t="shared" si="27"/>
        <v>0</v>
      </c>
    </row>
    <row r="247" spans="1:18" x14ac:dyDescent="0.35">
      <c r="A247" s="8">
        <f>ETR!A247</f>
        <v>42144</v>
      </c>
      <c r="B247">
        <f t="shared" si="21"/>
        <v>5</v>
      </c>
      <c r="C247">
        <f>Initialisation!$C$11</f>
        <v>68.40100000000001</v>
      </c>
      <c r="D247">
        <f>Initialisation!$C$12</f>
        <v>22.800333333333334</v>
      </c>
      <c r="E247">
        <v>0</v>
      </c>
      <c r="G247">
        <f>MeteoJ!C247</f>
        <v>0</v>
      </c>
      <c r="J247">
        <f>ETR!F247</f>
        <v>0</v>
      </c>
      <c r="K247">
        <f t="shared" si="22"/>
        <v>53.195447995280141</v>
      </c>
      <c r="L247">
        <f t="shared" si="23"/>
        <v>0</v>
      </c>
      <c r="M247">
        <f t="shared" si="24"/>
        <v>0</v>
      </c>
      <c r="O247">
        <f>ETR!K247</f>
        <v>0</v>
      </c>
      <c r="P247">
        <f t="shared" si="25"/>
        <v>58.17907690221746</v>
      </c>
      <c r="Q247">
        <f t="shared" si="26"/>
        <v>0</v>
      </c>
      <c r="R247">
        <f t="shared" si="27"/>
        <v>0</v>
      </c>
    </row>
    <row r="248" spans="1:18" x14ac:dyDescent="0.35">
      <c r="A248" s="8">
        <f>ETR!A248</f>
        <v>42144</v>
      </c>
      <c r="B248">
        <f t="shared" si="21"/>
        <v>5</v>
      </c>
      <c r="C248">
        <f>Initialisation!$C$11</f>
        <v>68.40100000000001</v>
      </c>
      <c r="D248">
        <f>Initialisation!$C$12</f>
        <v>22.800333333333334</v>
      </c>
      <c r="E248">
        <v>0</v>
      </c>
      <c r="G248">
        <f>MeteoJ!C248</f>
        <v>0</v>
      </c>
      <c r="J248">
        <f>ETR!F248</f>
        <v>0</v>
      </c>
      <c r="K248">
        <f t="shared" si="22"/>
        <v>53.195447995280141</v>
      </c>
      <c r="L248">
        <f t="shared" si="23"/>
        <v>0</v>
      </c>
      <c r="M248">
        <f t="shared" si="24"/>
        <v>0</v>
      </c>
      <c r="O248">
        <f>ETR!K248</f>
        <v>0</v>
      </c>
      <c r="P248">
        <f t="shared" si="25"/>
        <v>58.17907690221746</v>
      </c>
      <c r="Q248">
        <f t="shared" si="26"/>
        <v>0</v>
      </c>
      <c r="R248">
        <f t="shared" si="27"/>
        <v>0</v>
      </c>
    </row>
    <row r="249" spans="1:18" x14ac:dyDescent="0.35">
      <c r="A249" s="8">
        <f>ETR!A249</f>
        <v>42144</v>
      </c>
      <c r="B249">
        <f t="shared" si="21"/>
        <v>5</v>
      </c>
      <c r="C249">
        <f>Initialisation!$C$11</f>
        <v>68.40100000000001</v>
      </c>
      <c r="D249">
        <f>Initialisation!$C$12</f>
        <v>22.800333333333334</v>
      </c>
      <c r="E249">
        <v>0</v>
      </c>
      <c r="G249">
        <f>MeteoJ!C249</f>
        <v>0</v>
      </c>
      <c r="J249">
        <f>ETR!F249</f>
        <v>0</v>
      </c>
      <c r="K249">
        <f t="shared" si="22"/>
        <v>53.195447995280141</v>
      </c>
      <c r="L249">
        <f t="shared" si="23"/>
        <v>0</v>
      </c>
      <c r="M249">
        <f t="shared" si="24"/>
        <v>0</v>
      </c>
      <c r="O249">
        <f>ETR!K249</f>
        <v>0</v>
      </c>
      <c r="P249">
        <f t="shared" si="25"/>
        <v>58.17907690221746</v>
      </c>
      <c r="Q249">
        <f t="shared" si="26"/>
        <v>0</v>
      </c>
      <c r="R249">
        <f t="shared" si="27"/>
        <v>0</v>
      </c>
    </row>
    <row r="250" spans="1:18" x14ac:dyDescent="0.35">
      <c r="A250" s="8">
        <f>ETR!A250</f>
        <v>42144</v>
      </c>
      <c r="B250">
        <f t="shared" si="21"/>
        <v>5</v>
      </c>
      <c r="C250">
        <f>Initialisation!$C$11</f>
        <v>68.40100000000001</v>
      </c>
      <c r="D250">
        <f>Initialisation!$C$12</f>
        <v>22.800333333333334</v>
      </c>
      <c r="E250">
        <v>0</v>
      </c>
      <c r="G250">
        <f>MeteoJ!C250</f>
        <v>0</v>
      </c>
      <c r="J250">
        <f>ETR!F250</f>
        <v>0</v>
      </c>
      <c r="K250">
        <f t="shared" si="22"/>
        <v>53.195447995280141</v>
      </c>
      <c r="L250">
        <f t="shared" si="23"/>
        <v>0</v>
      </c>
      <c r="M250">
        <f t="shared" si="24"/>
        <v>0</v>
      </c>
      <c r="O250">
        <f>ETR!K250</f>
        <v>0</v>
      </c>
      <c r="P250">
        <f t="shared" si="25"/>
        <v>58.17907690221746</v>
      </c>
      <c r="Q250">
        <f t="shared" si="26"/>
        <v>0</v>
      </c>
      <c r="R250">
        <f t="shared" si="27"/>
        <v>0</v>
      </c>
    </row>
    <row r="251" spans="1:18" x14ac:dyDescent="0.35">
      <c r="A251" s="8">
        <f>ETR!A251</f>
        <v>42144</v>
      </c>
      <c r="B251">
        <f t="shared" si="21"/>
        <v>5</v>
      </c>
      <c r="C251">
        <f>Initialisation!$C$11</f>
        <v>68.40100000000001</v>
      </c>
      <c r="D251">
        <f>Initialisation!$C$12</f>
        <v>22.800333333333334</v>
      </c>
      <c r="E251">
        <v>0</v>
      </c>
      <c r="G251">
        <f>MeteoJ!C251</f>
        <v>0</v>
      </c>
      <c r="J251">
        <f>ETR!F251</f>
        <v>0</v>
      </c>
      <c r="K251">
        <f t="shared" si="22"/>
        <v>53.195447995280141</v>
      </c>
      <c r="L251">
        <f t="shared" si="23"/>
        <v>0</v>
      </c>
      <c r="M251">
        <f t="shared" si="24"/>
        <v>0</v>
      </c>
      <c r="O251">
        <f>ETR!K251</f>
        <v>0</v>
      </c>
      <c r="P251">
        <f t="shared" si="25"/>
        <v>58.17907690221746</v>
      </c>
      <c r="Q251">
        <f t="shared" si="26"/>
        <v>0</v>
      </c>
      <c r="R251">
        <f t="shared" si="27"/>
        <v>0</v>
      </c>
    </row>
    <row r="252" spans="1:18" x14ac:dyDescent="0.35">
      <c r="A252" s="8">
        <f>ETR!A252</f>
        <v>42144</v>
      </c>
      <c r="B252">
        <f t="shared" si="21"/>
        <v>5</v>
      </c>
      <c r="C252">
        <f>Initialisation!$C$11</f>
        <v>68.40100000000001</v>
      </c>
      <c r="D252">
        <f>Initialisation!$C$12</f>
        <v>22.800333333333334</v>
      </c>
      <c r="E252">
        <v>0</v>
      </c>
      <c r="G252">
        <f>MeteoJ!C252</f>
        <v>0</v>
      </c>
      <c r="J252">
        <f>ETR!F252</f>
        <v>0</v>
      </c>
      <c r="K252">
        <f t="shared" si="22"/>
        <v>53.195447995280141</v>
      </c>
      <c r="L252">
        <f t="shared" si="23"/>
        <v>0</v>
      </c>
      <c r="M252">
        <f t="shared" si="24"/>
        <v>0</v>
      </c>
      <c r="O252">
        <f>ETR!K252</f>
        <v>0</v>
      </c>
      <c r="P252">
        <f t="shared" si="25"/>
        <v>58.17907690221746</v>
      </c>
      <c r="Q252">
        <f t="shared" si="26"/>
        <v>0</v>
      </c>
      <c r="R252">
        <f t="shared" si="27"/>
        <v>0</v>
      </c>
    </row>
    <row r="253" spans="1:18" x14ac:dyDescent="0.35">
      <c r="A253" s="8">
        <f>ETR!A253</f>
        <v>42144</v>
      </c>
      <c r="B253">
        <f t="shared" si="21"/>
        <v>5</v>
      </c>
      <c r="C253">
        <f>Initialisation!$C$11</f>
        <v>68.40100000000001</v>
      </c>
      <c r="D253">
        <f>Initialisation!$C$12</f>
        <v>22.800333333333334</v>
      </c>
      <c r="E253">
        <v>0</v>
      </c>
      <c r="G253">
        <f>MeteoJ!C253</f>
        <v>0</v>
      </c>
      <c r="J253">
        <f>ETR!F253</f>
        <v>0</v>
      </c>
      <c r="K253">
        <f t="shared" si="22"/>
        <v>53.195447995280141</v>
      </c>
      <c r="L253">
        <f t="shared" si="23"/>
        <v>0</v>
      </c>
      <c r="M253">
        <f t="shared" si="24"/>
        <v>0</v>
      </c>
      <c r="O253">
        <f>ETR!K253</f>
        <v>0</v>
      </c>
      <c r="P253">
        <f t="shared" si="25"/>
        <v>58.17907690221746</v>
      </c>
      <c r="Q253">
        <f t="shared" si="26"/>
        <v>0</v>
      </c>
      <c r="R253">
        <f t="shared" si="27"/>
        <v>0</v>
      </c>
    </row>
    <row r="254" spans="1:18" x14ac:dyDescent="0.35">
      <c r="A254" s="8">
        <f>ETR!A254</f>
        <v>42144</v>
      </c>
      <c r="B254">
        <f t="shared" si="21"/>
        <v>5</v>
      </c>
      <c r="C254">
        <f>Initialisation!$C$11</f>
        <v>68.40100000000001</v>
      </c>
      <c r="D254">
        <f>Initialisation!$C$12</f>
        <v>22.800333333333334</v>
      </c>
      <c r="E254">
        <v>0</v>
      </c>
      <c r="G254">
        <f>MeteoJ!C254</f>
        <v>0</v>
      </c>
      <c r="J254">
        <f>ETR!F254</f>
        <v>0</v>
      </c>
      <c r="K254">
        <f t="shared" si="22"/>
        <v>53.195447995280141</v>
      </c>
      <c r="L254">
        <f t="shared" si="23"/>
        <v>0</v>
      </c>
      <c r="M254">
        <f t="shared" si="24"/>
        <v>0</v>
      </c>
      <c r="O254">
        <f>ETR!K254</f>
        <v>0</v>
      </c>
      <c r="P254">
        <f t="shared" si="25"/>
        <v>58.17907690221746</v>
      </c>
      <c r="Q254">
        <f t="shared" si="26"/>
        <v>0</v>
      </c>
      <c r="R254">
        <f t="shared" si="27"/>
        <v>0</v>
      </c>
    </row>
    <row r="255" spans="1:18" x14ac:dyDescent="0.35">
      <c r="A255" s="8">
        <f>ETR!A255</f>
        <v>42144</v>
      </c>
      <c r="B255">
        <f t="shared" si="21"/>
        <v>5</v>
      </c>
      <c r="C255">
        <f>Initialisation!$C$11</f>
        <v>68.40100000000001</v>
      </c>
      <c r="D255">
        <f>Initialisation!$C$12</f>
        <v>22.800333333333334</v>
      </c>
      <c r="E255">
        <v>0</v>
      </c>
      <c r="G255">
        <f>MeteoJ!C255</f>
        <v>0</v>
      </c>
      <c r="J255">
        <f>ETR!F255</f>
        <v>0</v>
      </c>
      <c r="K255">
        <f t="shared" si="22"/>
        <v>53.195447995280141</v>
      </c>
      <c r="L255">
        <f t="shared" si="23"/>
        <v>0</v>
      </c>
      <c r="M255">
        <f t="shared" si="24"/>
        <v>0</v>
      </c>
      <c r="O255">
        <f>ETR!K255</f>
        <v>0</v>
      </c>
      <c r="P255">
        <f t="shared" si="25"/>
        <v>58.17907690221746</v>
      </c>
      <c r="Q255">
        <f t="shared" si="26"/>
        <v>0</v>
      </c>
      <c r="R255">
        <f t="shared" si="27"/>
        <v>0</v>
      </c>
    </row>
    <row r="256" spans="1:18" x14ac:dyDescent="0.35">
      <c r="A256" s="8">
        <f>ETR!A256</f>
        <v>42144</v>
      </c>
      <c r="B256">
        <f t="shared" si="21"/>
        <v>5</v>
      </c>
      <c r="C256">
        <f>Initialisation!$C$11</f>
        <v>68.40100000000001</v>
      </c>
      <c r="D256">
        <f>Initialisation!$C$12</f>
        <v>22.800333333333334</v>
      </c>
      <c r="E256">
        <v>0</v>
      </c>
      <c r="G256">
        <f>MeteoJ!C256</f>
        <v>0</v>
      </c>
      <c r="J256">
        <f>ETR!F256</f>
        <v>0</v>
      </c>
      <c r="K256">
        <f t="shared" si="22"/>
        <v>53.195447995280141</v>
      </c>
      <c r="L256">
        <f t="shared" si="23"/>
        <v>0</v>
      </c>
      <c r="M256">
        <f t="shared" si="24"/>
        <v>0</v>
      </c>
      <c r="O256">
        <f>ETR!K256</f>
        <v>0</v>
      </c>
      <c r="P256">
        <f t="shared" si="25"/>
        <v>58.17907690221746</v>
      </c>
      <c r="Q256">
        <f t="shared" si="26"/>
        <v>0</v>
      </c>
      <c r="R256">
        <f t="shared" si="27"/>
        <v>0</v>
      </c>
    </row>
    <row r="257" spans="1:18" x14ac:dyDescent="0.35">
      <c r="A257" s="8">
        <f>ETR!A257</f>
        <v>42144</v>
      </c>
      <c r="B257">
        <f t="shared" si="21"/>
        <v>5</v>
      </c>
      <c r="C257">
        <f>Initialisation!$C$11</f>
        <v>68.40100000000001</v>
      </c>
      <c r="D257">
        <f>Initialisation!$C$12</f>
        <v>22.800333333333334</v>
      </c>
      <c r="E257">
        <v>0</v>
      </c>
      <c r="G257">
        <f>MeteoJ!C257</f>
        <v>0</v>
      </c>
      <c r="J257">
        <f>ETR!F257</f>
        <v>0</v>
      </c>
      <c r="K257">
        <f t="shared" si="22"/>
        <v>53.195447995280141</v>
      </c>
      <c r="L257">
        <f t="shared" si="23"/>
        <v>0</v>
      </c>
      <c r="M257">
        <f t="shared" si="24"/>
        <v>0</v>
      </c>
      <c r="O257">
        <f>ETR!K257</f>
        <v>0</v>
      </c>
      <c r="P257">
        <f t="shared" si="25"/>
        <v>58.17907690221746</v>
      </c>
      <c r="Q257">
        <f t="shared" si="26"/>
        <v>0</v>
      </c>
      <c r="R257">
        <f t="shared" si="27"/>
        <v>0</v>
      </c>
    </row>
    <row r="258" spans="1:18" x14ac:dyDescent="0.35">
      <c r="A258" s="8">
        <f>ETR!A258</f>
        <v>42144</v>
      </c>
      <c r="B258">
        <f t="shared" si="21"/>
        <v>5</v>
      </c>
      <c r="C258">
        <f>Initialisation!$C$11</f>
        <v>68.40100000000001</v>
      </c>
      <c r="D258">
        <f>Initialisation!$C$12</f>
        <v>22.800333333333334</v>
      </c>
      <c r="E258">
        <v>0</v>
      </c>
      <c r="G258">
        <f>MeteoJ!C258</f>
        <v>0</v>
      </c>
      <c r="J258">
        <f>ETR!F258</f>
        <v>0</v>
      </c>
      <c r="K258">
        <f t="shared" si="22"/>
        <v>53.195447995280141</v>
      </c>
      <c r="L258">
        <f t="shared" si="23"/>
        <v>0</v>
      </c>
      <c r="M258">
        <f t="shared" si="24"/>
        <v>0</v>
      </c>
      <c r="O258">
        <f>ETR!K258</f>
        <v>0</v>
      </c>
      <c r="P258">
        <f t="shared" si="25"/>
        <v>58.17907690221746</v>
      </c>
      <c r="Q258">
        <f t="shared" si="26"/>
        <v>0</v>
      </c>
      <c r="R258">
        <f t="shared" si="27"/>
        <v>0</v>
      </c>
    </row>
    <row r="259" spans="1:18" x14ac:dyDescent="0.35">
      <c r="A259" s="8">
        <f>ETR!A259</f>
        <v>42144</v>
      </c>
      <c r="B259">
        <f t="shared" ref="B259:B322" si="28">MONTH(A259)</f>
        <v>5</v>
      </c>
      <c r="C259">
        <f>Initialisation!$C$11</f>
        <v>68.40100000000001</v>
      </c>
      <c r="D259">
        <f>Initialisation!$C$12</f>
        <v>22.800333333333334</v>
      </c>
      <c r="E259">
        <v>0</v>
      </c>
      <c r="G259">
        <f>MeteoJ!C259</f>
        <v>0</v>
      </c>
      <c r="J259">
        <f>ETR!F259</f>
        <v>0</v>
      </c>
      <c r="K259">
        <f t="shared" si="22"/>
        <v>53.195447995280141</v>
      </c>
      <c r="L259">
        <f t="shared" si="23"/>
        <v>0</v>
      </c>
      <c r="M259">
        <f t="shared" si="24"/>
        <v>0</v>
      </c>
      <c r="O259">
        <f>ETR!K259</f>
        <v>0</v>
      </c>
      <c r="P259">
        <f t="shared" si="25"/>
        <v>58.17907690221746</v>
      </c>
      <c r="Q259">
        <f t="shared" si="26"/>
        <v>0</v>
      </c>
      <c r="R259">
        <f t="shared" si="27"/>
        <v>0</v>
      </c>
    </row>
    <row r="260" spans="1:18" x14ac:dyDescent="0.35">
      <c r="A260" s="8">
        <f>ETR!A260</f>
        <v>42144</v>
      </c>
      <c r="B260">
        <f t="shared" si="28"/>
        <v>5</v>
      </c>
      <c r="C260">
        <f>Initialisation!$C$11</f>
        <v>68.40100000000001</v>
      </c>
      <c r="D260">
        <f>Initialisation!$C$12</f>
        <v>22.800333333333334</v>
      </c>
      <c r="E260">
        <v>0</v>
      </c>
      <c r="G260">
        <f>MeteoJ!C260</f>
        <v>0</v>
      </c>
      <c r="J260">
        <f>ETR!F260</f>
        <v>0</v>
      </c>
      <c r="K260">
        <f t="shared" ref="K260:K323" si="29">IF($K259+$G259+$L259-$J259&gt;=$C$2,$C$2,IF($K259+$G259+$L259-$J259&gt;$D$2,$K259+$G259+$L259-$J259,IF($K259+$G259+$L259-$J259&gt;0,$K259+$G259+$L259-$J259*($K259/$D$2),$K259+$G259+$L259-$J259*($K259/$D$2))))</f>
        <v>53.195447995280141</v>
      </c>
      <c r="L260">
        <f t="shared" ref="L260:L323" si="30">IF($K260+$G260-$J260&lt;2/3*$D260,2/3*$D260,0)</f>
        <v>0</v>
      </c>
      <c r="M260">
        <f t="shared" ref="M260:M323" si="31">M259+L259</f>
        <v>0</v>
      </c>
      <c r="O260">
        <f>ETR!K260</f>
        <v>0</v>
      </c>
      <c r="P260">
        <f t="shared" ref="P260:P323" si="32">IF($P259+$G259+$Q259-$O259&gt;=$C$2,$C$2,IF($P259+$G259+$Q259-$O259&gt;$D$2,$P259+$G259+$Q259-$O259,IF($P259+$G259+$Q259-$O259&gt;0,$P259+$G259+$Q259-$O259*($P259/$D$2),$P259+$G259+$Q259-$O259*($P259/$D$2))))</f>
        <v>58.17907690221746</v>
      </c>
      <c r="Q260">
        <f t="shared" ref="Q260:Q323" si="33">IF($P260+$G260-$O260&lt;2/3*$D260,2/3*$D260,0)</f>
        <v>0</v>
      </c>
      <c r="R260">
        <f t="shared" ref="R260:R323" si="34">R259+Q259</f>
        <v>0</v>
      </c>
    </row>
    <row r="261" spans="1:18" x14ac:dyDescent="0.35">
      <c r="A261" s="8">
        <f>ETR!A261</f>
        <v>42144</v>
      </c>
      <c r="B261">
        <f t="shared" si="28"/>
        <v>5</v>
      </c>
      <c r="C261">
        <f>Initialisation!$C$11</f>
        <v>68.40100000000001</v>
      </c>
      <c r="D261">
        <f>Initialisation!$C$12</f>
        <v>22.800333333333334</v>
      </c>
      <c r="E261">
        <v>0</v>
      </c>
      <c r="G261">
        <f>MeteoJ!C261</f>
        <v>0</v>
      </c>
      <c r="J261">
        <f>ETR!F261</f>
        <v>0</v>
      </c>
      <c r="K261">
        <f t="shared" si="29"/>
        <v>53.195447995280141</v>
      </c>
      <c r="L261">
        <f t="shared" si="30"/>
        <v>0</v>
      </c>
      <c r="M261">
        <f t="shared" si="31"/>
        <v>0</v>
      </c>
      <c r="O261">
        <f>ETR!K261</f>
        <v>0</v>
      </c>
      <c r="P261">
        <f t="shared" si="32"/>
        <v>58.17907690221746</v>
      </c>
      <c r="Q261">
        <f t="shared" si="33"/>
        <v>0</v>
      </c>
      <c r="R261">
        <f t="shared" si="34"/>
        <v>0</v>
      </c>
    </row>
    <row r="262" spans="1:18" x14ac:dyDescent="0.35">
      <c r="A262" s="8">
        <f>ETR!A262</f>
        <v>42144</v>
      </c>
      <c r="B262">
        <f t="shared" si="28"/>
        <v>5</v>
      </c>
      <c r="C262">
        <f>Initialisation!$C$11</f>
        <v>68.40100000000001</v>
      </c>
      <c r="D262">
        <f>Initialisation!$C$12</f>
        <v>22.800333333333334</v>
      </c>
      <c r="E262">
        <v>0</v>
      </c>
      <c r="G262">
        <f>MeteoJ!C262</f>
        <v>0</v>
      </c>
      <c r="J262">
        <f>ETR!F262</f>
        <v>0</v>
      </c>
      <c r="K262">
        <f t="shared" si="29"/>
        <v>53.195447995280141</v>
      </c>
      <c r="L262">
        <f t="shared" si="30"/>
        <v>0</v>
      </c>
      <c r="M262">
        <f t="shared" si="31"/>
        <v>0</v>
      </c>
      <c r="O262">
        <f>ETR!K262</f>
        <v>0</v>
      </c>
      <c r="P262">
        <f t="shared" si="32"/>
        <v>58.17907690221746</v>
      </c>
      <c r="Q262">
        <f t="shared" si="33"/>
        <v>0</v>
      </c>
      <c r="R262">
        <f t="shared" si="34"/>
        <v>0</v>
      </c>
    </row>
    <row r="263" spans="1:18" x14ac:dyDescent="0.35">
      <c r="A263" s="8">
        <f>ETR!A263</f>
        <v>42144</v>
      </c>
      <c r="B263">
        <f t="shared" si="28"/>
        <v>5</v>
      </c>
      <c r="C263">
        <f>Initialisation!$C$11</f>
        <v>68.40100000000001</v>
      </c>
      <c r="D263">
        <f>Initialisation!$C$12</f>
        <v>22.800333333333334</v>
      </c>
      <c r="E263">
        <v>0</v>
      </c>
      <c r="G263">
        <f>MeteoJ!C263</f>
        <v>0</v>
      </c>
      <c r="J263">
        <f>ETR!F263</f>
        <v>0</v>
      </c>
      <c r="K263">
        <f t="shared" si="29"/>
        <v>53.195447995280141</v>
      </c>
      <c r="L263">
        <f t="shared" si="30"/>
        <v>0</v>
      </c>
      <c r="M263">
        <f t="shared" si="31"/>
        <v>0</v>
      </c>
      <c r="O263">
        <f>ETR!K263</f>
        <v>0</v>
      </c>
      <c r="P263">
        <f t="shared" si="32"/>
        <v>58.17907690221746</v>
      </c>
      <c r="Q263">
        <f t="shared" si="33"/>
        <v>0</v>
      </c>
      <c r="R263">
        <f t="shared" si="34"/>
        <v>0</v>
      </c>
    </row>
    <row r="264" spans="1:18" x14ac:dyDescent="0.35">
      <c r="A264" s="8">
        <f>ETR!A264</f>
        <v>42144</v>
      </c>
      <c r="B264">
        <f t="shared" si="28"/>
        <v>5</v>
      </c>
      <c r="C264">
        <f>Initialisation!$C$11</f>
        <v>68.40100000000001</v>
      </c>
      <c r="D264">
        <f>Initialisation!$C$12</f>
        <v>22.800333333333334</v>
      </c>
      <c r="E264">
        <v>0</v>
      </c>
      <c r="G264">
        <f>MeteoJ!C264</f>
        <v>0</v>
      </c>
      <c r="J264">
        <f>ETR!F264</f>
        <v>0</v>
      </c>
      <c r="K264">
        <f t="shared" si="29"/>
        <v>53.195447995280141</v>
      </c>
      <c r="L264">
        <f t="shared" si="30"/>
        <v>0</v>
      </c>
      <c r="M264">
        <f t="shared" si="31"/>
        <v>0</v>
      </c>
      <c r="O264">
        <f>ETR!K264</f>
        <v>0</v>
      </c>
      <c r="P264">
        <f t="shared" si="32"/>
        <v>58.17907690221746</v>
      </c>
      <c r="Q264">
        <f t="shared" si="33"/>
        <v>0</v>
      </c>
      <c r="R264">
        <f t="shared" si="34"/>
        <v>0</v>
      </c>
    </row>
    <row r="265" spans="1:18" x14ac:dyDescent="0.35">
      <c r="A265" s="8">
        <f>ETR!A265</f>
        <v>42144</v>
      </c>
      <c r="B265">
        <f t="shared" si="28"/>
        <v>5</v>
      </c>
      <c r="C265">
        <f>Initialisation!$C$11</f>
        <v>68.40100000000001</v>
      </c>
      <c r="D265">
        <f>Initialisation!$C$12</f>
        <v>22.800333333333334</v>
      </c>
      <c r="E265">
        <v>0</v>
      </c>
      <c r="G265">
        <f>MeteoJ!C265</f>
        <v>0</v>
      </c>
      <c r="J265">
        <f>ETR!F265</f>
        <v>0</v>
      </c>
      <c r="K265">
        <f t="shared" si="29"/>
        <v>53.195447995280141</v>
      </c>
      <c r="L265">
        <f t="shared" si="30"/>
        <v>0</v>
      </c>
      <c r="M265">
        <f t="shared" si="31"/>
        <v>0</v>
      </c>
      <c r="O265">
        <f>ETR!K265</f>
        <v>0</v>
      </c>
      <c r="P265">
        <f t="shared" si="32"/>
        <v>58.17907690221746</v>
      </c>
      <c r="Q265">
        <f t="shared" si="33"/>
        <v>0</v>
      </c>
      <c r="R265">
        <f t="shared" si="34"/>
        <v>0</v>
      </c>
    </row>
    <row r="266" spans="1:18" x14ac:dyDescent="0.35">
      <c r="A266" s="8">
        <f>ETR!A266</f>
        <v>42144</v>
      </c>
      <c r="B266">
        <f t="shared" si="28"/>
        <v>5</v>
      </c>
      <c r="C266">
        <f>Initialisation!$C$11</f>
        <v>68.40100000000001</v>
      </c>
      <c r="D266">
        <f>Initialisation!$C$12</f>
        <v>22.800333333333334</v>
      </c>
      <c r="E266">
        <v>0</v>
      </c>
      <c r="G266">
        <f>MeteoJ!C266</f>
        <v>0</v>
      </c>
      <c r="J266">
        <f>ETR!F266</f>
        <v>0</v>
      </c>
      <c r="K266">
        <f t="shared" si="29"/>
        <v>53.195447995280141</v>
      </c>
      <c r="L266">
        <f t="shared" si="30"/>
        <v>0</v>
      </c>
      <c r="M266">
        <f t="shared" si="31"/>
        <v>0</v>
      </c>
      <c r="O266">
        <f>ETR!K266</f>
        <v>0</v>
      </c>
      <c r="P266">
        <f t="shared" si="32"/>
        <v>58.17907690221746</v>
      </c>
      <c r="Q266">
        <f t="shared" si="33"/>
        <v>0</v>
      </c>
      <c r="R266">
        <f t="shared" si="34"/>
        <v>0</v>
      </c>
    </row>
    <row r="267" spans="1:18" x14ac:dyDescent="0.35">
      <c r="A267" s="8">
        <f>ETR!A267</f>
        <v>42144</v>
      </c>
      <c r="B267">
        <f t="shared" si="28"/>
        <v>5</v>
      </c>
      <c r="C267">
        <f>Initialisation!$C$11</f>
        <v>68.40100000000001</v>
      </c>
      <c r="D267">
        <f>Initialisation!$C$12</f>
        <v>22.800333333333334</v>
      </c>
      <c r="E267">
        <v>0</v>
      </c>
      <c r="G267">
        <f>MeteoJ!C267</f>
        <v>0</v>
      </c>
      <c r="J267">
        <f>ETR!F267</f>
        <v>0</v>
      </c>
      <c r="K267">
        <f t="shared" si="29"/>
        <v>53.195447995280141</v>
      </c>
      <c r="L267">
        <f t="shared" si="30"/>
        <v>0</v>
      </c>
      <c r="M267">
        <f t="shared" si="31"/>
        <v>0</v>
      </c>
      <c r="O267">
        <f>ETR!K267</f>
        <v>0</v>
      </c>
      <c r="P267">
        <f t="shared" si="32"/>
        <v>58.17907690221746</v>
      </c>
      <c r="Q267">
        <f t="shared" si="33"/>
        <v>0</v>
      </c>
      <c r="R267">
        <f t="shared" si="34"/>
        <v>0</v>
      </c>
    </row>
    <row r="268" spans="1:18" x14ac:dyDescent="0.35">
      <c r="A268" s="8">
        <f>ETR!A268</f>
        <v>42144</v>
      </c>
      <c r="B268">
        <f t="shared" si="28"/>
        <v>5</v>
      </c>
      <c r="C268">
        <f>Initialisation!$C$11</f>
        <v>68.40100000000001</v>
      </c>
      <c r="D268">
        <f>Initialisation!$C$12</f>
        <v>22.800333333333334</v>
      </c>
      <c r="E268">
        <v>0</v>
      </c>
      <c r="G268">
        <f>MeteoJ!C268</f>
        <v>0</v>
      </c>
      <c r="J268">
        <f>ETR!F268</f>
        <v>0</v>
      </c>
      <c r="K268">
        <f t="shared" si="29"/>
        <v>53.195447995280141</v>
      </c>
      <c r="L268">
        <f t="shared" si="30"/>
        <v>0</v>
      </c>
      <c r="M268">
        <f t="shared" si="31"/>
        <v>0</v>
      </c>
      <c r="O268">
        <f>ETR!K268</f>
        <v>0</v>
      </c>
      <c r="P268">
        <f t="shared" si="32"/>
        <v>58.17907690221746</v>
      </c>
      <c r="Q268">
        <f t="shared" si="33"/>
        <v>0</v>
      </c>
      <c r="R268">
        <f t="shared" si="34"/>
        <v>0</v>
      </c>
    </row>
    <row r="269" spans="1:18" x14ac:dyDescent="0.35">
      <c r="A269" s="8">
        <f>ETR!A269</f>
        <v>42144</v>
      </c>
      <c r="B269">
        <f t="shared" si="28"/>
        <v>5</v>
      </c>
      <c r="C269">
        <f>Initialisation!$C$11</f>
        <v>68.40100000000001</v>
      </c>
      <c r="D269">
        <f>Initialisation!$C$12</f>
        <v>22.800333333333334</v>
      </c>
      <c r="E269">
        <v>0</v>
      </c>
      <c r="G269">
        <f>MeteoJ!C269</f>
        <v>0</v>
      </c>
      <c r="J269">
        <f>ETR!F269</f>
        <v>0</v>
      </c>
      <c r="K269">
        <f t="shared" si="29"/>
        <v>53.195447995280141</v>
      </c>
      <c r="L269">
        <f t="shared" si="30"/>
        <v>0</v>
      </c>
      <c r="M269">
        <f t="shared" si="31"/>
        <v>0</v>
      </c>
      <c r="O269">
        <f>ETR!K269</f>
        <v>0</v>
      </c>
      <c r="P269">
        <f t="shared" si="32"/>
        <v>58.17907690221746</v>
      </c>
      <c r="Q269">
        <f t="shared" si="33"/>
        <v>0</v>
      </c>
      <c r="R269">
        <f t="shared" si="34"/>
        <v>0</v>
      </c>
    </row>
    <row r="270" spans="1:18" x14ac:dyDescent="0.35">
      <c r="A270" s="8">
        <f>ETR!A270</f>
        <v>42144</v>
      </c>
      <c r="B270">
        <f t="shared" si="28"/>
        <v>5</v>
      </c>
      <c r="C270">
        <f>Initialisation!$C$11</f>
        <v>68.40100000000001</v>
      </c>
      <c r="D270">
        <f>Initialisation!$C$12</f>
        <v>22.800333333333334</v>
      </c>
      <c r="E270">
        <v>0</v>
      </c>
      <c r="G270">
        <f>MeteoJ!C270</f>
        <v>0</v>
      </c>
      <c r="J270">
        <f>ETR!F270</f>
        <v>0</v>
      </c>
      <c r="K270">
        <f t="shared" si="29"/>
        <v>53.195447995280141</v>
      </c>
      <c r="L270">
        <f t="shared" si="30"/>
        <v>0</v>
      </c>
      <c r="M270">
        <f t="shared" si="31"/>
        <v>0</v>
      </c>
      <c r="O270">
        <f>ETR!K270</f>
        <v>0</v>
      </c>
      <c r="P270">
        <f t="shared" si="32"/>
        <v>58.17907690221746</v>
      </c>
      <c r="Q270">
        <f t="shared" si="33"/>
        <v>0</v>
      </c>
      <c r="R270">
        <f t="shared" si="34"/>
        <v>0</v>
      </c>
    </row>
    <row r="271" spans="1:18" x14ac:dyDescent="0.35">
      <c r="A271" s="8">
        <f>ETR!A271</f>
        <v>42144</v>
      </c>
      <c r="B271">
        <f t="shared" si="28"/>
        <v>5</v>
      </c>
      <c r="C271">
        <f>Initialisation!$C$11</f>
        <v>68.40100000000001</v>
      </c>
      <c r="D271">
        <f>Initialisation!$C$12</f>
        <v>22.800333333333334</v>
      </c>
      <c r="E271">
        <v>0</v>
      </c>
      <c r="G271">
        <f>MeteoJ!C271</f>
        <v>0</v>
      </c>
      <c r="J271">
        <f>ETR!F271</f>
        <v>0</v>
      </c>
      <c r="K271">
        <f t="shared" si="29"/>
        <v>53.195447995280141</v>
      </c>
      <c r="L271">
        <f t="shared" si="30"/>
        <v>0</v>
      </c>
      <c r="M271">
        <f t="shared" si="31"/>
        <v>0</v>
      </c>
      <c r="O271">
        <f>ETR!K271</f>
        <v>0</v>
      </c>
      <c r="P271">
        <f t="shared" si="32"/>
        <v>58.17907690221746</v>
      </c>
      <c r="Q271">
        <f t="shared" si="33"/>
        <v>0</v>
      </c>
      <c r="R271">
        <f t="shared" si="34"/>
        <v>0</v>
      </c>
    </row>
    <row r="272" spans="1:18" x14ac:dyDescent="0.35">
      <c r="A272" s="8">
        <f>ETR!A272</f>
        <v>42144</v>
      </c>
      <c r="B272">
        <f t="shared" si="28"/>
        <v>5</v>
      </c>
      <c r="C272">
        <f>Initialisation!$C$11</f>
        <v>68.40100000000001</v>
      </c>
      <c r="D272">
        <f>Initialisation!$C$12</f>
        <v>22.800333333333334</v>
      </c>
      <c r="E272">
        <v>0</v>
      </c>
      <c r="G272">
        <f>MeteoJ!C272</f>
        <v>0</v>
      </c>
      <c r="J272">
        <f>ETR!F272</f>
        <v>0</v>
      </c>
      <c r="K272">
        <f t="shared" si="29"/>
        <v>53.195447995280141</v>
      </c>
      <c r="L272">
        <f t="shared" si="30"/>
        <v>0</v>
      </c>
      <c r="M272">
        <f t="shared" si="31"/>
        <v>0</v>
      </c>
      <c r="O272">
        <f>ETR!K272</f>
        <v>0</v>
      </c>
      <c r="P272">
        <f t="shared" si="32"/>
        <v>58.17907690221746</v>
      </c>
      <c r="Q272">
        <f t="shared" si="33"/>
        <v>0</v>
      </c>
      <c r="R272">
        <f t="shared" si="34"/>
        <v>0</v>
      </c>
    </row>
    <row r="273" spans="1:18" x14ac:dyDescent="0.35">
      <c r="A273" s="8">
        <f>ETR!A273</f>
        <v>42144</v>
      </c>
      <c r="B273">
        <f t="shared" si="28"/>
        <v>5</v>
      </c>
      <c r="C273">
        <f>Initialisation!$C$11</f>
        <v>68.40100000000001</v>
      </c>
      <c r="D273">
        <f>Initialisation!$C$12</f>
        <v>22.800333333333334</v>
      </c>
      <c r="E273">
        <v>0</v>
      </c>
      <c r="G273">
        <f>MeteoJ!C273</f>
        <v>0</v>
      </c>
      <c r="J273">
        <f>ETR!F273</f>
        <v>0</v>
      </c>
      <c r="K273">
        <f t="shared" si="29"/>
        <v>53.195447995280141</v>
      </c>
      <c r="L273">
        <f t="shared" si="30"/>
        <v>0</v>
      </c>
      <c r="M273">
        <f t="shared" si="31"/>
        <v>0</v>
      </c>
      <c r="O273">
        <f>ETR!K273</f>
        <v>0</v>
      </c>
      <c r="P273">
        <f t="shared" si="32"/>
        <v>58.17907690221746</v>
      </c>
      <c r="Q273">
        <f t="shared" si="33"/>
        <v>0</v>
      </c>
      <c r="R273">
        <f t="shared" si="34"/>
        <v>0</v>
      </c>
    </row>
    <row r="274" spans="1:18" x14ac:dyDescent="0.35">
      <c r="A274" s="8">
        <f>ETR!A274</f>
        <v>42144</v>
      </c>
      <c r="B274">
        <f t="shared" si="28"/>
        <v>5</v>
      </c>
      <c r="C274">
        <f>Initialisation!$C$11</f>
        <v>68.40100000000001</v>
      </c>
      <c r="D274">
        <f>Initialisation!$C$12</f>
        <v>22.800333333333334</v>
      </c>
      <c r="E274">
        <v>0</v>
      </c>
      <c r="G274">
        <f>MeteoJ!C274</f>
        <v>0</v>
      </c>
      <c r="J274">
        <f>ETR!F274</f>
        <v>0</v>
      </c>
      <c r="K274">
        <f t="shared" si="29"/>
        <v>53.195447995280141</v>
      </c>
      <c r="L274">
        <f t="shared" si="30"/>
        <v>0</v>
      </c>
      <c r="M274">
        <f t="shared" si="31"/>
        <v>0</v>
      </c>
      <c r="O274">
        <f>ETR!K274</f>
        <v>0</v>
      </c>
      <c r="P274">
        <f t="shared" si="32"/>
        <v>58.17907690221746</v>
      </c>
      <c r="Q274">
        <f t="shared" si="33"/>
        <v>0</v>
      </c>
      <c r="R274">
        <f t="shared" si="34"/>
        <v>0</v>
      </c>
    </row>
    <row r="275" spans="1:18" x14ac:dyDescent="0.35">
      <c r="A275" s="8">
        <f>ETR!A275</f>
        <v>42144</v>
      </c>
      <c r="B275">
        <f t="shared" si="28"/>
        <v>5</v>
      </c>
      <c r="C275">
        <f>Initialisation!$C$11</f>
        <v>68.40100000000001</v>
      </c>
      <c r="D275">
        <f>Initialisation!$C$12</f>
        <v>22.800333333333334</v>
      </c>
      <c r="E275">
        <v>0</v>
      </c>
      <c r="G275">
        <f>MeteoJ!C275</f>
        <v>0</v>
      </c>
      <c r="J275">
        <f>ETR!F275</f>
        <v>0</v>
      </c>
      <c r="K275">
        <f t="shared" si="29"/>
        <v>53.195447995280141</v>
      </c>
      <c r="L275">
        <f t="shared" si="30"/>
        <v>0</v>
      </c>
      <c r="M275">
        <f t="shared" si="31"/>
        <v>0</v>
      </c>
      <c r="O275">
        <f>ETR!K275</f>
        <v>0</v>
      </c>
      <c r="P275">
        <f t="shared" si="32"/>
        <v>58.17907690221746</v>
      </c>
      <c r="Q275">
        <f t="shared" si="33"/>
        <v>0</v>
      </c>
      <c r="R275">
        <f t="shared" si="34"/>
        <v>0</v>
      </c>
    </row>
    <row r="276" spans="1:18" x14ac:dyDescent="0.35">
      <c r="A276" s="8">
        <f>ETR!A276</f>
        <v>42144</v>
      </c>
      <c r="B276">
        <f t="shared" si="28"/>
        <v>5</v>
      </c>
      <c r="C276">
        <f>Initialisation!$C$11</f>
        <v>68.40100000000001</v>
      </c>
      <c r="D276">
        <f>Initialisation!$C$12</f>
        <v>22.800333333333334</v>
      </c>
      <c r="E276">
        <v>0</v>
      </c>
      <c r="G276">
        <f>MeteoJ!C276</f>
        <v>0</v>
      </c>
      <c r="J276">
        <f>ETR!F276</f>
        <v>0</v>
      </c>
      <c r="K276">
        <f t="shared" si="29"/>
        <v>53.195447995280141</v>
      </c>
      <c r="L276">
        <f t="shared" si="30"/>
        <v>0</v>
      </c>
      <c r="M276">
        <f t="shared" si="31"/>
        <v>0</v>
      </c>
      <c r="O276">
        <f>ETR!K276</f>
        <v>0</v>
      </c>
      <c r="P276">
        <f t="shared" si="32"/>
        <v>58.17907690221746</v>
      </c>
      <c r="Q276">
        <f t="shared" si="33"/>
        <v>0</v>
      </c>
      <c r="R276">
        <f t="shared" si="34"/>
        <v>0</v>
      </c>
    </row>
    <row r="277" spans="1:18" x14ac:dyDescent="0.35">
      <c r="A277" s="8">
        <f>ETR!A277</f>
        <v>42144</v>
      </c>
      <c r="B277">
        <f t="shared" si="28"/>
        <v>5</v>
      </c>
      <c r="C277">
        <f>Initialisation!$C$11</f>
        <v>68.40100000000001</v>
      </c>
      <c r="D277">
        <f>Initialisation!$C$12</f>
        <v>22.800333333333334</v>
      </c>
      <c r="E277">
        <v>0</v>
      </c>
      <c r="G277">
        <f>MeteoJ!C277</f>
        <v>0</v>
      </c>
      <c r="J277">
        <f>ETR!F277</f>
        <v>0</v>
      </c>
      <c r="K277">
        <f t="shared" si="29"/>
        <v>53.195447995280141</v>
      </c>
      <c r="L277">
        <f t="shared" si="30"/>
        <v>0</v>
      </c>
      <c r="M277">
        <f t="shared" si="31"/>
        <v>0</v>
      </c>
      <c r="O277">
        <f>ETR!K277</f>
        <v>0</v>
      </c>
      <c r="P277">
        <f t="shared" si="32"/>
        <v>58.17907690221746</v>
      </c>
      <c r="Q277">
        <f t="shared" si="33"/>
        <v>0</v>
      </c>
      <c r="R277">
        <f t="shared" si="34"/>
        <v>0</v>
      </c>
    </row>
    <row r="278" spans="1:18" x14ac:dyDescent="0.35">
      <c r="A278" s="8">
        <f>ETR!A278</f>
        <v>42144</v>
      </c>
      <c r="B278">
        <f t="shared" si="28"/>
        <v>5</v>
      </c>
      <c r="C278">
        <f>Initialisation!$C$11</f>
        <v>68.40100000000001</v>
      </c>
      <c r="D278">
        <f>Initialisation!$C$12</f>
        <v>22.800333333333334</v>
      </c>
      <c r="E278">
        <v>0</v>
      </c>
      <c r="G278">
        <f>MeteoJ!C278</f>
        <v>0</v>
      </c>
      <c r="J278">
        <f>ETR!F278</f>
        <v>0</v>
      </c>
      <c r="K278">
        <f t="shared" si="29"/>
        <v>53.195447995280141</v>
      </c>
      <c r="L278">
        <f t="shared" si="30"/>
        <v>0</v>
      </c>
      <c r="M278">
        <f t="shared" si="31"/>
        <v>0</v>
      </c>
      <c r="O278">
        <f>ETR!K278</f>
        <v>0</v>
      </c>
      <c r="P278">
        <f t="shared" si="32"/>
        <v>58.17907690221746</v>
      </c>
      <c r="Q278">
        <f t="shared" si="33"/>
        <v>0</v>
      </c>
      <c r="R278">
        <f t="shared" si="34"/>
        <v>0</v>
      </c>
    </row>
    <row r="279" spans="1:18" x14ac:dyDescent="0.35">
      <c r="A279" s="8">
        <f>ETR!A279</f>
        <v>42144</v>
      </c>
      <c r="B279">
        <f t="shared" si="28"/>
        <v>5</v>
      </c>
      <c r="C279">
        <f>Initialisation!$C$11</f>
        <v>68.40100000000001</v>
      </c>
      <c r="D279">
        <f>Initialisation!$C$12</f>
        <v>22.800333333333334</v>
      </c>
      <c r="E279">
        <v>0</v>
      </c>
      <c r="G279">
        <f>MeteoJ!C279</f>
        <v>0</v>
      </c>
      <c r="J279">
        <f>ETR!F279</f>
        <v>0</v>
      </c>
      <c r="K279">
        <f t="shared" si="29"/>
        <v>53.195447995280141</v>
      </c>
      <c r="L279">
        <f t="shared" si="30"/>
        <v>0</v>
      </c>
      <c r="M279">
        <f t="shared" si="31"/>
        <v>0</v>
      </c>
      <c r="O279">
        <f>ETR!K279</f>
        <v>0</v>
      </c>
      <c r="P279">
        <f t="shared" si="32"/>
        <v>58.17907690221746</v>
      </c>
      <c r="Q279">
        <f t="shared" si="33"/>
        <v>0</v>
      </c>
      <c r="R279">
        <f t="shared" si="34"/>
        <v>0</v>
      </c>
    </row>
    <row r="280" spans="1:18" x14ac:dyDescent="0.35">
      <c r="A280" s="8">
        <f>ETR!A280</f>
        <v>42144</v>
      </c>
      <c r="B280">
        <f t="shared" si="28"/>
        <v>5</v>
      </c>
      <c r="C280">
        <f>Initialisation!$C$11</f>
        <v>68.40100000000001</v>
      </c>
      <c r="D280">
        <f>Initialisation!$C$12</f>
        <v>22.800333333333334</v>
      </c>
      <c r="E280">
        <v>0</v>
      </c>
      <c r="G280">
        <f>MeteoJ!C280</f>
        <v>0</v>
      </c>
      <c r="J280">
        <f>ETR!F280</f>
        <v>0</v>
      </c>
      <c r="K280">
        <f t="shared" si="29"/>
        <v>53.195447995280141</v>
      </c>
      <c r="L280">
        <f t="shared" si="30"/>
        <v>0</v>
      </c>
      <c r="M280">
        <f t="shared" si="31"/>
        <v>0</v>
      </c>
      <c r="O280">
        <f>ETR!K280</f>
        <v>0</v>
      </c>
      <c r="P280">
        <f t="shared" si="32"/>
        <v>58.17907690221746</v>
      </c>
      <c r="Q280">
        <f t="shared" si="33"/>
        <v>0</v>
      </c>
      <c r="R280">
        <f t="shared" si="34"/>
        <v>0</v>
      </c>
    </row>
    <row r="281" spans="1:18" x14ac:dyDescent="0.35">
      <c r="A281" s="8">
        <f>ETR!A281</f>
        <v>42144</v>
      </c>
      <c r="B281">
        <f t="shared" si="28"/>
        <v>5</v>
      </c>
      <c r="C281">
        <f>Initialisation!$C$11</f>
        <v>68.40100000000001</v>
      </c>
      <c r="D281">
        <f>Initialisation!$C$12</f>
        <v>22.800333333333334</v>
      </c>
      <c r="E281">
        <v>0</v>
      </c>
      <c r="G281">
        <f>MeteoJ!C281</f>
        <v>0</v>
      </c>
      <c r="J281">
        <f>ETR!F281</f>
        <v>0</v>
      </c>
      <c r="K281">
        <f t="shared" si="29"/>
        <v>53.195447995280141</v>
      </c>
      <c r="L281">
        <f t="shared" si="30"/>
        <v>0</v>
      </c>
      <c r="M281">
        <f t="shared" si="31"/>
        <v>0</v>
      </c>
      <c r="O281">
        <f>ETR!K281</f>
        <v>0</v>
      </c>
      <c r="P281">
        <f t="shared" si="32"/>
        <v>58.17907690221746</v>
      </c>
      <c r="Q281">
        <f t="shared" si="33"/>
        <v>0</v>
      </c>
      <c r="R281">
        <f t="shared" si="34"/>
        <v>0</v>
      </c>
    </row>
    <row r="282" spans="1:18" x14ac:dyDescent="0.35">
      <c r="A282" s="8">
        <f>ETR!A282</f>
        <v>42144</v>
      </c>
      <c r="B282">
        <f t="shared" si="28"/>
        <v>5</v>
      </c>
      <c r="C282">
        <f>Initialisation!$C$11</f>
        <v>68.40100000000001</v>
      </c>
      <c r="D282">
        <f>Initialisation!$C$12</f>
        <v>22.800333333333334</v>
      </c>
      <c r="E282">
        <v>0</v>
      </c>
      <c r="G282">
        <f>MeteoJ!C282</f>
        <v>0</v>
      </c>
      <c r="J282">
        <f>ETR!F282</f>
        <v>0</v>
      </c>
      <c r="K282">
        <f t="shared" si="29"/>
        <v>53.195447995280141</v>
      </c>
      <c r="L282">
        <f t="shared" si="30"/>
        <v>0</v>
      </c>
      <c r="M282">
        <f t="shared" si="31"/>
        <v>0</v>
      </c>
      <c r="O282">
        <f>ETR!K282</f>
        <v>0</v>
      </c>
      <c r="P282">
        <f t="shared" si="32"/>
        <v>58.17907690221746</v>
      </c>
      <c r="Q282">
        <f t="shared" si="33"/>
        <v>0</v>
      </c>
      <c r="R282">
        <f t="shared" si="34"/>
        <v>0</v>
      </c>
    </row>
    <row r="283" spans="1:18" x14ac:dyDescent="0.35">
      <c r="A283" s="8">
        <f>ETR!A283</f>
        <v>42144</v>
      </c>
      <c r="B283">
        <f t="shared" si="28"/>
        <v>5</v>
      </c>
      <c r="C283">
        <f>Initialisation!$C$11</f>
        <v>68.40100000000001</v>
      </c>
      <c r="D283">
        <f>Initialisation!$C$12</f>
        <v>22.800333333333334</v>
      </c>
      <c r="E283">
        <v>0</v>
      </c>
      <c r="G283">
        <f>MeteoJ!C283</f>
        <v>0</v>
      </c>
      <c r="J283">
        <f>ETR!F283</f>
        <v>0</v>
      </c>
      <c r="K283">
        <f t="shared" si="29"/>
        <v>53.195447995280141</v>
      </c>
      <c r="L283">
        <f t="shared" si="30"/>
        <v>0</v>
      </c>
      <c r="M283">
        <f t="shared" si="31"/>
        <v>0</v>
      </c>
      <c r="O283">
        <f>ETR!K283</f>
        <v>0</v>
      </c>
      <c r="P283">
        <f t="shared" si="32"/>
        <v>58.17907690221746</v>
      </c>
      <c r="Q283">
        <f t="shared" si="33"/>
        <v>0</v>
      </c>
      <c r="R283">
        <f t="shared" si="34"/>
        <v>0</v>
      </c>
    </row>
    <row r="284" spans="1:18" x14ac:dyDescent="0.35">
      <c r="A284" s="8">
        <f>ETR!A284</f>
        <v>42144</v>
      </c>
      <c r="B284">
        <f t="shared" si="28"/>
        <v>5</v>
      </c>
      <c r="C284">
        <f>Initialisation!$C$11</f>
        <v>68.40100000000001</v>
      </c>
      <c r="D284">
        <f>Initialisation!$C$12</f>
        <v>22.800333333333334</v>
      </c>
      <c r="E284">
        <v>0</v>
      </c>
      <c r="G284">
        <f>MeteoJ!C284</f>
        <v>0</v>
      </c>
      <c r="J284">
        <f>ETR!F284</f>
        <v>0</v>
      </c>
      <c r="K284">
        <f t="shared" si="29"/>
        <v>53.195447995280141</v>
      </c>
      <c r="L284">
        <f t="shared" si="30"/>
        <v>0</v>
      </c>
      <c r="M284">
        <f t="shared" si="31"/>
        <v>0</v>
      </c>
      <c r="O284">
        <f>ETR!K284</f>
        <v>0</v>
      </c>
      <c r="P284">
        <f t="shared" si="32"/>
        <v>58.17907690221746</v>
      </c>
      <c r="Q284">
        <f t="shared" si="33"/>
        <v>0</v>
      </c>
      <c r="R284">
        <f t="shared" si="34"/>
        <v>0</v>
      </c>
    </row>
    <row r="285" spans="1:18" x14ac:dyDescent="0.35">
      <c r="A285" s="8">
        <f>ETR!A285</f>
        <v>42144</v>
      </c>
      <c r="B285">
        <f t="shared" si="28"/>
        <v>5</v>
      </c>
      <c r="C285">
        <f>Initialisation!$C$11</f>
        <v>68.40100000000001</v>
      </c>
      <c r="D285">
        <f>Initialisation!$C$12</f>
        <v>22.800333333333334</v>
      </c>
      <c r="E285">
        <v>0</v>
      </c>
      <c r="G285">
        <f>MeteoJ!C285</f>
        <v>0</v>
      </c>
      <c r="J285">
        <f>ETR!F285</f>
        <v>0</v>
      </c>
      <c r="K285">
        <f t="shared" si="29"/>
        <v>53.195447995280141</v>
      </c>
      <c r="L285">
        <f t="shared" si="30"/>
        <v>0</v>
      </c>
      <c r="M285">
        <f t="shared" si="31"/>
        <v>0</v>
      </c>
      <c r="O285">
        <f>ETR!K285</f>
        <v>0</v>
      </c>
      <c r="P285">
        <f t="shared" si="32"/>
        <v>58.17907690221746</v>
      </c>
      <c r="Q285">
        <f t="shared" si="33"/>
        <v>0</v>
      </c>
      <c r="R285">
        <f t="shared" si="34"/>
        <v>0</v>
      </c>
    </row>
    <row r="286" spans="1:18" x14ac:dyDescent="0.35">
      <c r="A286" s="8">
        <f>ETR!A286</f>
        <v>42144</v>
      </c>
      <c r="B286">
        <f t="shared" si="28"/>
        <v>5</v>
      </c>
      <c r="C286">
        <f>Initialisation!$C$11</f>
        <v>68.40100000000001</v>
      </c>
      <c r="D286">
        <f>Initialisation!$C$12</f>
        <v>22.800333333333334</v>
      </c>
      <c r="E286">
        <v>0</v>
      </c>
      <c r="G286">
        <f>MeteoJ!C286</f>
        <v>0</v>
      </c>
      <c r="J286">
        <f>ETR!F286</f>
        <v>0</v>
      </c>
      <c r="K286">
        <f t="shared" si="29"/>
        <v>53.195447995280141</v>
      </c>
      <c r="L286">
        <f t="shared" si="30"/>
        <v>0</v>
      </c>
      <c r="M286">
        <f t="shared" si="31"/>
        <v>0</v>
      </c>
      <c r="O286">
        <f>ETR!K286</f>
        <v>0</v>
      </c>
      <c r="P286">
        <f t="shared" si="32"/>
        <v>58.17907690221746</v>
      </c>
      <c r="Q286">
        <f t="shared" si="33"/>
        <v>0</v>
      </c>
      <c r="R286">
        <f t="shared" si="34"/>
        <v>0</v>
      </c>
    </row>
    <row r="287" spans="1:18" x14ac:dyDescent="0.35">
      <c r="A287" s="8">
        <f>ETR!A287</f>
        <v>42144</v>
      </c>
      <c r="B287">
        <f t="shared" si="28"/>
        <v>5</v>
      </c>
      <c r="C287">
        <f>Initialisation!$C$11</f>
        <v>68.40100000000001</v>
      </c>
      <c r="D287">
        <f>Initialisation!$C$12</f>
        <v>22.800333333333334</v>
      </c>
      <c r="E287">
        <v>0</v>
      </c>
      <c r="G287">
        <f>MeteoJ!C287</f>
        <v>0</v>
      </c>
      <c r="J287">
        <f>ETR!F287</f>
        <v>0</v>
      </c>
      <c r="K287">
        <f t="shared" si="29"/>
        <v>53.195447995280141</v>
      </c>
      <c r="L287">
        <f t="shared" si="30"/>
        <v>0</v>
      </c>
      <c r="M287">
        <f t="shared" si="31"/>
        <v>0</v>
      </c>
      <c r="O287">
        <f>ETR!K287</f>
        <v>0</v>
      </c>
      <c r="P287">
        <f t="shared" si="32"/>
        <v>58.17907690221746</v>
      </c>
      <c r="Q287">
        <f t="shared" si="33"/>
        <v>0</v>
      </c>
      <c r="R287">
        <f t="shared" si="34"/>
        <v>0</v>
      </c>
    </row>
    <row r="288" spans="1:18" x14ac:dyDescent="0.35">
      <c r="A288" s="8">
        <f>ETR!A288</f>
        <v>42144</v>
      </c>
      <c r="B288">
        <f t="shared" si="28"/>
        <v>5</v>
      </c>
      <c r="C288">
        <f>Initialisation!$C$11</f>
        <v>68.40100000000001</v>
      </c>
      <c r="D288">
        <f>Initialisation!$C$12</f>
        <v>22.800333333333334</v>
      </c>
      <c r="E288">
        <v>0</v>
      </c>
      <c r="G288">
        <f>MeteoJ!C288</f>
        <v>0</v>
      </c>
      <c r="J288">
        <f>ETR!F288</f>
        <v>0</v>
      </c>
      <c r="K288">
        <f t="shared" si="29"/>
        <v>53.195447995280141</v>
      </c>
      <c r="L288">
        <f t="shared" si="30"/>
        <v>0</v>
      </c>
      <c r="M288">
        <f t="shared" si="31"/>
        <v>0</v>
      </c>
      <c r="O288">
        <f>ETR!K288</f>
        <v>0</v>
      </c>
      <c r="P288">
        <f t="shared" si="32"/>
        <v>58.17907690221746</v>
      </c>
      <c r="Q288">
        <f t="shared" si="33"/>
        <v>0</v>
      </c>
      <c r="R288">
        <f t="shared" si="34"/>
        <v>0</v>
      </c>
    </row>
    <row r="289" spans="1:18" x14ac:dyDescent="0.35">
      <c r="A289" s="8">
        <f>ETR!A289</f>
        <v>42144</v>
      </c>
      <c r="B289">
        <f t="shared" si="28"/>
        <v>5</v>
      </c>
      <c r="C289">
        <f>Initialisation!$C$11</f>
        <v>68.40100000000001</v>
      </c>
      <c r="D289">
        <f>Initialisation!$C$12</f>
        <v>22.800333333333334</v>
      </c>
      <c r="E289">
        <v>0</v>
      </c>
      <c r="G289">
        <f>MeteoJ!C289</f>
        <v>0</v>
      </c>
      <c r="J289">
        <f>ETR!F289</f>
        <v>0</v>
      </c>
      <c r="K289">
        <f t="shared" si="29"/>
        <v>53.195447995280141</v>
      </c>
      <c r="L289">
        <f t="shared" si="30"/>
        <v>0</v>
      </c>
      <c r="M289">
        <f t="shared" si="31"/>
        <v>0</v>
      </c>
      <c r="O289">
        <f>ETR!K289</f>
        <v>0</v>
      </c>
      <c r="P289">
        <f t="shared" si="32"/>
        <v>58.17907690221746</v>
      </c>
      <c r="Q289">
        <f t="shared" si="33"/>
        <v>0</v>
      </c>
      <c r="R289">
        <f t="shared" si="34"/>
        <v>0</v>
      </c>
    </row>
    <row r="290" spans="1:18" x14ac:dyDescent="0.35">
      <c r="A290" s="8">
        <f>ETR!A290</f>
        <v>42144</v>
      </c>
      <c r="B290">
        <f t="shared" si="28"/>
        <v>5</v>
      </c>
      <c r="C290">
        <f>Initialisation!$C$11</f>
        <v>68.40100000000001</v>
      </c>
      <c r="D290">
        <f>Initialisation!$C$12</f>
        <v>22.800333333333334</v>
      </c>
      <c r="E290">
        <v>0</v>
      </c>
      <c r="G290">
        <f>MeteoJ!C290</f>
        <v>0</v>
      </c>
      <c r="J290">
        <f>ETR!F290</f>
        <v>0</v>
      </c>
      <c r="K290">
        <f t="shared" si="29"/>
        <v>53.195447995280141</v>
      </c>
      <c r="L290">
        <f t="shared" si="30"/>
        <v>0</v>
      </c>
      <c r="M290">
        <f t="shared" si="31"/>
        <v>0</v>
      </c>
      <c r="O290">
        <f>ETR!K290</f>
        <v>0</v>
      </c>
      <c r="P290">
        <f t="shared" si="32"/>
        <v>58.17907690221746</v>
      </c>
      <c r="Q290">
        <f t="shared" si="33"/>
        <v>0</v>
      </c>
      <c r="R290">
        <f t="shared" si="34"/>
        <v>0</v>
      </c>
    </row>
    <row r="291" spans="1:18" x14ac:dyDescent="0.35">
      <c r="A291" s="8">
        <f>ETR!A291</f>
        <v>42144</v>
      </c>
      <c r="B291">
        <f t="shared" si="28"/>
        <v>5</v>
      </c>
      <c r="C291">
        <f>Initialisation!$C$11</f>
        <v>68.40100000000001</v>
      </c>
      <c r="D291">
        <f>Initialisation!$C$12</f>
        <v>22.800333333333334</v>
      </c>
      <c r="E291">
        <v>0</v>
      </c>
      <c r="G291">
        <f>MeteoJ!C291</f>
        <v>0</v>
      </c>
      <c r="J291">
        <f>ETR!F291</f>
        <v>0</v>
      </c>
      <c r="K291">
        <f t="shared" si="29"/>
        <v>53.195447995280141</v>
      </c>
      <c r="L291">
        <f t="shared" si="30"/>
        <v>0</v>
      </c>
      <c r="M291">
        <f t="shared" si="31"/>
        <v>0</v>
      </c>
      <c r="O291">
        <f>ETR!K291</f>
        <v>0</v>
      </c>
      <c r="P291">
        <f t="shared" si="32"/>
        <v>58.17907690221746</v>
      </c>
      <c r="Q291">
        <f t="shared" si="33"/>
        <v>0</v>
      </c>
      <c r="R291">
        <f t="shared" si="34"/>
        <v>0</v>
      </c>
    </row>
    <row r="292" spans="1:18" x14ac:dyDescent="0.35">
      <c r="A292" s="8">
        <f>ETR!A292</f>
        <v>42144</v>
      </c>
      <c r="B292">
        <f t="shared" si="28"/>
        <v>5</v>
      </c>
      <c r="C292">
        <f>Initialisation!$C$11</f>
        <v>68.40100000000001</v>
      </c>
      <c r="D292">
        <f>Initialisation!$C$12</f>
        <v>22.800333333333334</v>
      </c>
      <c r="E292">
        <v>0</v>
      </c>
      <c r="G292">
        <f>MeteoJ!C292</f>
        <v>0</v>
      </c>
      <c r="J292">
        <f>ETR!F292</f>
        <v>0</v>
      </c>
      <c r="K292">
        <f t="shared" si="29"/>
        <v>53.195447995280141</v>
      </c>
      <c r="L292">
        <f t="shared" si="30"/>
        <v>0</v>
      </c>
      <c r="M292">
        <f t="shared" si="31"/>
        <v>0</v>
      </c>
      <c r="O292">
        <f>ETR!K292</f>
        <v>0</v>
      </c>
      <c r="P292">
        <f t="shared" si="32"/>
        <v>58.17907690221746</v>
      </c>
      <c r="Q292">
        <f t="shared" si="33"/>
        <v>0</v>
      </c>
      <c r="R292">
        <f t="shared" si="34"/>
        <v>0</v>
      </c>
    </row>
    <row r="293" spans="1:18" x14ac:dyDescent="0.35">
      <c r="A293" s="8">
        <f>ETR!A293</f>
        <v>42144</v>
      </c>
      <c r="B293">
        <f t="shared" si="28"/>
        <v>5</v>
      </c>
      <c r="C293">
        <f>Initialisation!$C$11</f>
        <v>68.40100000000001</v>
      </c>
      <c r="D293">
        <f>Initialisation!$C$12</f>
        <v>22.800333333333334</v>
      </c>
      <c r="E293">
        <v>0</v>
      </c>
      <c r="G293">
        <f>MeteoJ!C293</f>
        <v>0</v>
      </c>
      <c r="J293">
        <f>ETR!F293</f>
        <v>0</v>
      </c>
      <c r="K293">
        <f t="shared" si="29"/>
        <v>53.195447995280141</v>
      </c>
      <c r="L293">
        <f t="shared" si="30"/>
        <v>0</v>
      </c>
      <c r="M293">
        <f t="shared" si="31"/>
        <v>0</v>
      </c>
      <c r="O293">
        <f>ETR!K293</f>
        <v>0</v>
      </c>
      <c r="P293">
        <f t="shared" si="32"/>
        <v>58.17907690221746</v>
      </c>
      <c r="Q293">
        <f t="shared" si="33"/>
        <v>0</v>
      </c>
      <c r="R293">
        <f t="shared" si="34"/>
        <v>0</v>
      </c>
    </row>
    <row r="294" spans="1:18" x14ac:dyDescent="0.35">
      <c r="A294" s="8">
        <f>ETR!A294</f>
        <v>42144</v>
      </c>
      <c r="B294">
        <f t="shared" si="28"/>
        <v>5</v>
      </c>
      <c r="C294">
        <f>Initialisation!$C$11</f>
        <v>68.40100000000001</v>
      </c>
      <c r="D294">
        <f>Initialisation!$C$12</f>
        <v>22.800333333333334</v>
      </c>
      <c r="E294">
        <v>0</v>
      </c>
      <c r="G294">
        <f>MeteoJ!C294</f>
        <v>0</v>
      </c>
      <c r="J294">
        <f>ETR!F294</f>
        <v>0</v>
      </c>
      <c r="K294">
        <f t="shared" si="29"/>
        <v>53.195447995280141</v>
      </c>
      <c r="L294">
        <f t="shared" si="30"/>
        <v>0</v>
      </c>
      <c r="M294">
        <f t="shared" si="31"/>
        <v>0</v>
      </c>
      <c r="O294">
        <f>ETR!K294</f>
        <v>0</v>
      </c>
      <c r="P294">
        <f t="shared" si="32"/>
        <v>58.17907690221746</v>
      </c>
      <c r="Q294">
        <f t="shared" si="33"/>
        <v>0</v>
      </c>
      <c r="R294">
        <f t="shared" si="34"/>
        <v>0</v>
      </c>
    </row>
    <row r="295" spans="1:18" x14ac:dyDescent="0.35">
      <c r="A295" s="8">
        <f>ETR!A295</f>
        <v>42144</v>
      </c>
      <c r="B295">
        <f t="shared" si="28"/>
        <v>5</v>
      </c>
      <c r="C295">
        <f>Initialisation!$C$11</f>
        <v>68.40100000000001</v>
      </c>
      <c r="D295">
        <f>Initialisation!$C$12</f>
        <v>22.800333333333334</v>
      </c>
      <c r="E295">
        <v>0</v>
      </c>
      <c r="G295">
        <f>MeteoJ!C295</f>
        <v>0</v>
      </c>
      <c r="J295">
        <f>ETR!F295</f>
        <v>0</v>
      </c>
      <c r="K295">
        <f t="shared" si="29"/>
        <v>53.195447995280141</v>
      </c>
      <c r="L295">
        <f t="shared" si="30"/>
        <v>0</v>
      </c>
      <c r="M295">
        <f t="shared" si="31"/>
        <v>0</v>
      </c>
      <c r="O295">
        <f>ETR!K295</f>
        <v>0</v>
      </c>
      <c r="P295">
        <f t="shared" si="32"/>
        <v>58.17907690221746</v>
      </c>
      <c r="Q295">
        <f t="shared" si="33"/>
        <v>0</v>
      </c>
      <c r="R295">
        <f t="shared" si="34"/>
        <v>0</v>
      </c>
    </row>
    <row r="296" spans="1:18" x14ac:dyDescent="0.35">
      <c r="A296" s="8">
        <f>ETR!A296</f>
        <v>42144</v>
      </c>
      <c r="B296">
        <f t="shared" si="28"/>
        <v>5</v>
      </c>
      <c r="C296">
        <f>Initialisation!$C$11</f>
        <v>68.40100000000001</v>
      </c>
      <c r="D296">
        <f>Initialisation!$C$12</f>
        <v>22.800333333333334</v>
      </c>
      <c r="E296">
        <v>0</v>
      </c>
      <c r="G296">
        <f>MeteoJ!C296</f>
        <v>0</v>
      </c>
      <c r="J296">
        <f>ETR!F296</f>
        <v>0</v>
      </c>
      <c r="K296">
        <f t="shared" si="29"/>
        <v>53.195447995280141</v>
      </c>
      <c r="L296">
        <f t="shared" si="30"/>
        <v>0</v>
      </c>
      <c r="M296">
        <f t="shared" si="31"/>
        <v>0</v>
      </c>
      <c r="O296">
        <f>ETR!K296</f>
        <v>0</v>
      </c>
      <c r="P296">
        <f t="shared" si="32"/>
        <v>58.17907690221746</v>
      </c>
      <c r="Q296">
        <f t="shared" si="33"/>
        <v>0</v>
      </c>
      <c r="R296">
        <f t="shared" si="34"/>
        <v>0</v>
      </c>
    </row>
    <row r="297" spans="1:18" x14ac:dyDescent="0.35">
      <c r="A297" s="8">
        <f>ETR!A297</f>
        <v>42144</v>
      </c>
      <c r="B297">
        <f t="shared" si="28"/>
        <v>5</v>
      </c>
      <c r="C297">
        <f>Initialisation!$C$11</f>
        <v>68.40100000000001</v>
      </c>
      <c r="D297">
        <f>Initialisation!$C$12</f>
        <v>22.800333333333334</v>
      </c>
      <c r="E297">
        <v>0</v>
      </c>
      <c r="G297">
        <f>MeteoJ!C297</f>
        <v>0</v>
      </c>
      <c r="J297">
        <f>ETR!F297</f>
        <v>0</v>
      </c>
      <c r="K297">
        <f t="shared" si="29"/>
        <v>53.195447995280141</v>
      </c>
      <c r="L297">
        <f t="shared" si="30"/>
        <v>0</v>
      </c>
      <c r="M297">
        <f t="shared" si="31"/>
        <v>0</v>
      </c>
      <c r="O297">
        <f>ETR!K297</f>
        <v>0</v>
      </c>
      <c r="P297">
        <f t="shared" si="32"/>
        <v>58.17907690221746</v>
      </c>
      <c r="Q297">
        <f t="shared" si="33"/>
        <v>0</v>
      </c>
      <c r="R297">
        <f t="shared" si="34"/>
        <v>0</v>
      </c>
    </row>
    <row r="298" spans="1:18" x14ac:dyDescent="0.35">
      <c r="A298" s="8">
        <f>ETR!A298</f>
        <v>42144</v>
      </c>
      <c r="B298">
        <f t="shared" si="28"/>
        <v>5</v>
      </c>
      <c r="C298">
        <f>Initialisation!$C$11</f>
        <v>68.40100000000001</v>
      </c>
      <c r="D298">
        <f>Initialisation!$C$12</f>
        <v>22.800333333333334</v>
      </c>
      <c r="E298">
        <v>0</v>
      </c>
      <c r="G298">
        <f>MeteoJ!C298</f>
        <v>0</v>
      </c>
      <c r="J298">
        <f>ETR!F298</f>
        <v>0</v>
      </c>
      <c r="K298">
        <f t="shared" si="29"/>
        <v>53.195447995280141</v>
      </c>
      <c r="L298">
        <f t="shared" si="30"/>
        <v>0</v>
      </c>
      <c r="M298">
        <f t="shared" si="31"/>
        <v>0</v>
      </c>
      <c r="O298">
        <f>ETR!K298</f>
        <v>0</v>
      </c>
      <c r="P298">
        <f t="shared" si="32"/>
        <v>58.17907690221746</v>
      </c>
      <c r="Q298">
        <f t="shared" si="33"/>
        <v>0</v>
      </c>
      <c r="R298">
        <f t="shared" si="34"/>
        <v>0</v>
      </c>
    </row>
    <row r="299" spans="1:18" x14ac:dyDescent="0.35">
      <c r="A299" s="8">
        <f>ETR!A299</f>
        <v>42144</v>
      </c>
      <c r="B299">
        <f t="shared" si="28"/>
        <v>5</v>
      </c>
      <c r="C299">
        <f>Initialisation!$C$11</f>
        <v>68.40100000000001</v>
      </c>
      <c r="D299">
        <f>Initialisation!$C$12</f>
        <v>22.800333333333334</v>
      </c>
      <c r="E299">
        <v>0</v>
      </c>
      <c r="G299">
        <f>MeteoJ!C299</f>
        <v>0</v>
      </c>
      <c r="J299">
        <f>ETR!F299</f>
        <v>0</v>
      </c>
      <c r="K299">
        <f t="shared" si="29"/>
        <v>53.195447995280141</v>
      </c>
      <c r="L299">
        <f t="shared" si="30"/>
        <v>0</v>
      </c>
      <c r="M299">
        <f t="shared" si="31"/>
        <v>0</v>
      </c>
      <c r="O299">
        <f>ETR!K299</f>
        <v>0</v>
      </c>
      <c r="P299">
        <f t="shared" si="32"/>
        <v>58.17907690221746</v>
      </c>
      <c r="Q299">
        <f t="shared" si="33"/>
        <v>0</v>
      </c>
      <c r="R299">
        <f t="shared" si="34"/>
        <v>0</v>
      </c>
    </row>
    <row r="300" spans="1:18" x14ac:dyDescent="0.35">
      <c r="A300" s="8">
        <f>ETR!A300</f>
        <v>42144</v>
      </c>
      <c r="B300">
        <f t="shared" si="28"/>
        <v>5</v>
      </c>
      <c r="C300">
        <f>Initialisation!$C$11</f>
        <v>68.40100000000001</v>
      </c>
      <c r="D300">
        <f>Initialisation!$C$12</f>
        <v>22.800333333333334</v>
      </c>
      <c r="E300">
        <v>0</v>
      </c>
      <c r="G300">
        <f>MeteoJ!C300</f>
        <v>0</v>
      </c>
      <c r="J300">
        <f>ETR!F300</f>
        <v>0</v>
      </c>
      <c r="K300">
        <f t="shared" si="29"/>
        <v>53.195447995280141</v>
      </c>
      <c r="L300">
        <f t="shared" si="30"/>
        <v>0</v>
      </c>
      <c r="M300">
        <f t="shared" si="31"/>
        <v>0</v>
      </c>
      <c r="O300">
        <f>ETR!K300</f>
        <v>0</v>
      </c>
      <c r="P300">
        <f t="shared" si="32"/>
        <v>58.17907690221746</v>
      </c>
      <c r="Q300">
        <f t="shared" si="33"/>
        <v>0</v>
      </c>
      <c r="R300">
        <f t="shared" si="34"/>
        <v>0</v>
      </c>
    </row>
    <row r="301" spans="1:18" x14ac:dyDescent="0.35">
      <c r="A301" s="8">
        <f>ETR!A301</f>
        <v>42144</v>
      </c>
      <c r="B301">
        <f t="shared" si="28"/>
        <v>5</v>
      </c>
      <c r="C301">
        <f>Initialisation!$C$11</f>
        <v>68.40100000000001</v>
      </c>
      <c r="D301">
        <f>Initialisation!$C$12</f>
        <v>22.800333333333334</v>
      </c>
      <c r="E301">
        <v>0</v>
      </c>
      <c r="G301">
        <f>MeteoJ!C301</f>
        <v>0</v>
      </c>
      <c r="J301">
        <f>ETR!F301</f>
        <v>0</v>
      </c>
      <c r="K301">
        <f t="shared" si="29"/>
        <v>53.195447995280141</v>
      </c>
      <c r="L301">
        <f t="shared" si="30"/>
        <v>0</v>
      </c>
      <c r="M301">
        <f t="shared" si="31"/>
        <v>0</v>
      </c>
      <c r="O301">
        <f>ETR!K301</f>
        <v>0</v>
      </c>
      <c r="P301">
        <f t="shared" si="32"/>
        <v>58.17907690221746</v>
      </c>
      <c r="Q301">
        <f t="shared" si="33"/>
        <v>0</v>
      </c>
      <c r="R301">
        <f t="shared" si="34"/>
        <v>0</v>
      </c>
    </row>
    <row r="302" spans="1:18" x14ac:dyDescent="0.35">
      <c r="A302" s="8">
        <f>ETR!A302</f>
        <v>42144</v>
      </c>
      <c r="B302">
        <f t="shared" si="28"/>
        <v>5</v>
      </c>
      <c r="C302">
        <f>Initialisation!$C$11</f>
        <v>68.40100000000001</v>
      </c>
      <c r="D302">
        <f>Initialisation!$C$12</f>
        <v>22.800333333333334</v>
      </c>
      <c r="E302">
        <v>0</v>
      </c>
      <c r="G302">
        <f>MeteoJ!C302</f>
        <v>0</v>
      </c>
      <c r="J302">
        <f>ETR!F302</f>
        <v>0</v>
      </c>
      <c r="K302">
        <f t="shared" si="29"/>
        <v>53.195447995280141</v>
      </c>
      <c r="L302">
        <f t="shared" si="30"/>
        <v>0</v>
      </c>
      <c r="M302">
        <f t="shared" si="31"/>
        <v>0</v>
      </c>
      <c r="O302">
        <f>ETR!K302</f>
        <v>0</v>
      </c>
      <c r="P302">
        <f t="shared" si="32"/>
        <v>58.17907690221746</v>
      </c>
      <c r="Q302">
        <f t="shared" si="33"/>
        <v>0</v>
      </c>
      <c r="R302">
        <f t="shared" si="34"/>
        <v>0</v>
      </c>
    </row>
    <row r="303" spans="1:18" x14ac:dyDescent="0.35">
      <c r="A303" s="8">
        <f>ETR!A303</f>
        <v>42144</v>
      </c>
      <c r="B303">
        <f t="shared" si="28"/>
        <v>5</v>
      </c>
      <c r="C303">
        <f>Initialisation!$C$11</f>
        <v>68.40100000000001</v>
      </c>
      <c r="D303">
        <f>Initialisation!$C$12</f>
        <v>22.800333333333334</v>
      </c>
      <c r="E303">
        <v>0</v>
      </c>
      <c r="G303">
        <f>MeteoJ!C303</f>
        <v>0</v>
      </c>
      <c r="J303">
        <f>ETR!F303</f>
        <v>0</v>
      </c>
      <c r="K303">
        <f t="shared" si="29"/>
        <v>53.195447995280141</v>
      </c>
      <c r="L303">
        <f t="shared" si="30"/>
        <v>0</v>
      </c>
      <c r="M303">
        <f t="shared" si="31"/>
        <v>0</v>
      </c>
      <c r="O303">
        <f>ETR!K303</f>
        <v>0</v>
      </c>
      <c r="P303">
        <f t="shared" si="32"/>
        <v>58.17907690221746</v>
      </c>
      <c r="Q303">
        <f t="shared" si="33"/>
        <v>0</v>
      </c>
      <c r="R303">
        <f t="shared" si="34"/>
        <v>0</v>
      </c>
    </row>
    <row r="304" spans="1:18" x14ac:dyDescent="0.35">
      <c r="A304" s="8">
        <f>ETR!A304</f>
        <v>42144</v>
      </c>
      <c r="B304">
        <f t="shared" si="28"/>
        <v>5</v>
      </c>
      <c r="C304">
        <f>Initialisation!$C$11</f>
        <v>68.40100000000001</v>
      </c>
      <c r="D304">
        <f>Initialisation!$C$12</f>
        <v>22.800333333333334</v>
      </c>
      <c r="E304">
        <v>0</v>
      </c>
      <c r="G304">
        <f>MeteoJ!C304</f>
        <v>0</v>
      </c>
      <c r="J304">
        <f>ETR!F304</f>
        <v>0</v>
      </c>
      <c r="K304">
        <f t="shared" si="29"/>
        <v>53.195447995280141</v>
      </c>
      <c r="L304">
        <f t="shared" si="30"/>
        <v>0</v>
      </c>
      <c r="M304">
        <f t="shared" si="31"/>
        <v>0</v>
      </c>
      <c r="O304">
        <f>ETR!K304</f>
        <v>0</v>
      </c>
      <c r="P304">
        <f t="shared" si="32"/>
        <v>58.17907690221746</v>
      </c>
      <c r="Q304">
        <f t="shared" si="33"/>
        <v>0</v>
      </c>
      <c r="R304">
        <f t="shared" si="34"/>
        <v>0</v>
      </c>
    </row>
    <row r="305" spans="1:18" x14ac:dyDescent="0.35">
      <c r="A305" s="8">
        <f>ETR!A305</f>
        <v>42144</v>
      </c>
      <c r="B305">
        <f t="shared" si="28"/>
        <v>5</v>
      </c>
      <c r="C305">
        <f>Initialisation!$C$11</f>
        <v>68.40100000000001</v>
      </c>
      <c r="D305">
        <f>Initialisation!$C$12</f>
        <v>22.800333333333334</v>
      </c>
      <c r="E305">
        <v>0</v>
      </c>
      <c r="G305">
        <f>MeteoJ!C305</f>
        <v>0</v>
      </c>
      <c r="J305">
        <f>ETR!F305</f>
        <v>0</v>
      </c>
      <c r="K305">
        <f t="shared" si="29"/>
        <v>53.195447995280141</v>
      </c>
      <c r="L305">
        <f t="shared" si="30"/>
        <v>0</v>
      </c>
      <c r="M305">
        <f t="shared" si="31"/>
        <v>0</v>
      </c>
      <c r="O305">
        <f>ETR!K305</f>
        <v>0</v>
      </c>
      <c r="P305">
        <f t="shared" si="32"/>
        <v>58.17907690221746</v>
      </c>
      <c r="Q305">
        <f t="shared" si="33"/>
        <v>0</v>
      </c>
      <c r="R305">
        <f t="shared" si="34"/>
        <v>0</v>
      </c>
    </row>
    <row r="306" spans="1:18" x14ac:dyDescent="0.35">
      <c r="A306" s="8">
        <f>ETR!A306</f>
        <v>42144</v>
      </c>
      <c r="B306">
        <f t="shared" si="28"/>
        <v>5</v>
      </c>
      <c r="C306">
        <f>Initialisation!$C$11</f>
        <v>68.40100000000001</v>
      </c>
      <c r="D306">
        <f>Initialisation!$C$12</f>
        <v>22.800333333333334</v>
      </c>
      <c r="E306">
        <v>0</v>
      </c>
      <c r="G306">
        <f>MeteoJ!C306</f>
        <v>0</v>
      </c>
      <c r="J306">
        <f>ETR!F306</f>
        <v>0</v>
      </c>
      <c r="K306">
        <f t="shared" si="29"/>
        <v>53.195447995280141</v>
      </c>
      <c r="L306">
        <f t="shared" si="30"/>
        <v>0</v>
      </c>
      <c r="M306">
        <f t="shared" si="31"/>
        <v>0</v>
      </c>
      <c r="O306">
        <f>ETR!K306</f>
        <v>0</v>
      </c>
      <c r="P306">
        <f t="shared" si="32"/>
        <v>58.17907690221746</v>
      </c>
      <c r="Q306">
        <f t="shared" si="33"/>
        <v>0</v>
      </c>
      <c r="R306">
        <f t="shared" si="34"/>
        <v>0</v>
      </c>
    </row>
    <row r="307" spans="1:18" x14ac:dyDescent="0.35">
      <c r="A307" s="8">
        <f>ETR!A307</f>
        <v>42144</v>
      </c>
      <c r="B307">
        <f t="shared" si="28"/>
        <v>5</v>
      </c>
      <c r="C307">
        <f>Initialisation!$C$11</f>
        <v>68.40100000000001</v>
      </c>
      <c r="D307">
        <f>Initialisation!$C$12</f>
        <v>22.800333333333334</v>
      </c>
      <c r="E307">
        <v>0</v>
      </c>
      <c r="G307">
        <f>MeteoJ!C307</f>
        <v>0</v>
      </c>
      <c r="J307">
        <f>ETR!F307</f>
        <v>0</v>
      </c>
      <c r="K307">
        <f t="shared" si="29"/>
        <v>53.195447995280141</v>
      </c>
      <c r="L307">
        <f t="shared" si="30"/>
        <v>0</v>
      </c>
      <c r="M307">
        <f t="shared" si="31"/>
        <v>0</v>
      </c>
      <c r="O307">
        <f>ETR!K307</f>
        <v>0</v>
      </c>
      <c r="P307">
        <f t="shared" si="32"/>
        <v>58.17907690221746</v>
      </c>
      <c r="Q307">
        <f t="shared" si="33"/>
        <v>0</v>
      </c>
      <c r="R307">
        <f t="shared" si="34"/>
        <v>0</v>
      </c>
    </row>
    <row r="308" spans="1:18" x14ac:dyDescent="0.35">
      <c r="A308" s="8">
        <f>ETR!A308</f>
        <v>42144</v>
      </c>
      <c r="B308">
        <f t="shared" si="28"/>
        <v>5</v>
      </c>
      <c r="C308">
        <f>Initialisation!$C$11</f>
        <v>68.40100000000001</v>
      </c>
      <c r="D308">
        <f>Initialisation!$C$12</f>
        <v>22.800333333333334</v>
      </c>
      <c r="E308">
        <v>0</v>
      </c>
      <c r="G308">
        <f>MeteoJ!C308</f>
        <v>0</v>
      </c>
      <c r="J308">
        <f>ETR!F308</f>
        <v>0</v>
      </c>
      <c r="K308">
        <f t="shared" si="29"/>
        <v>53.195447995280141</v>
      </c>
      <c r="L308">
        <f t="shared" si="30"/>
        <v>0</v>
      </c>
      <c r="M308">
        <f t="shared" si="31"/>
        <v>0</v>
      </c>
      <c r="O308">
        <f>ETR!K308</f>
        <v>0</v>
      </c>
      <c r="P308">
        <f t="shared" si="32"/>
        <v>58.17907690221746</v>
      </c>
      <c r="Q308">
        <f t="shared" si="33"/>
        <v>0</v>
      </c>
      <c r="R308">
        <f t="shared" si="34"/>
        <v>0</v>
      </c>
    </row>
    <row r="309" spans="1:18" x14ac:dyDescent="0.35">
      <c r="A309" s="8">
        <f>ETR!A309</f>
        <v>42144</v>
      </c>
      <c r="B309">
        <f t="shared" si="28"/>
        <v>5</v>
      </c>
      <c r="C309">
        <f>Initialisation!$C$11</f>
        <v>68.40100000000001</v>
      </c>
      <c r="D309">
        <f>Initialisation!$C$12</f>
        <v>22.800333333333334</v>
      </c>
      <c r="E309">
        <v>0</v>
      </c>
      <c r="G309">
        <f>MeteoJ!C309</f>
        <v>0</v>
      </c>
      <c r="J309">
        <f>ETR!F309</f>
        <v>0</v>
      </c>
      <c r="K309">
        <f t="shared" si="29"/>
        <v>53.195447995280141</v>
      </c>
      <c r="L309">
        <f t="shared" si="30"/>
        <v>0</v>
      </c>
      <c r="M309">
        <f t="shared" si="31"/>
        <v>0</v>
      </c>
      <c r="O309">
        <f>ETR!K309</f>
        <v>0</v>
      </c>
      <c r="P309">
        <f t="shared" si="32"/>
        <v>58.17907690221746</v>
      </c>
      <c r="Q309">
        <f t="shared" si="33"/>
        <v>0</v>
      </c>
      <c r="R309">
        <f t="shared" si="34"/>
        <v>0</v>
      </c>
    </row>
    <row r="310" spans="1:18" x14ac:dyDescent="0.35">
      <c r="A310" s="8">
        <f>ETR!A310</f>
        <v>42144</v>
      </c>
      <c r="B310">
        <f t="shared" si="28"/>
        <v>5</v>
      </c>
      <c r="C310">
        <f>Initialisation!$C$11</f>
        <v>68.40100000000001</v>
      </c>
      <c r="D310">
        <f>Initialisation!$C$12</f>
        <v>22.800333333333334</v>
      </c>
      <c r="E310">
        <v>0</v>
      </c>
      <c r="G310">
        <f>MeteoJ!C310</f>
        <v>0</v>
      </c>
      <c r="J310">
        <f>ETR!F310</f>
        <v>0</v>
      </c>
      <c r="K310">
        <f t="shared" si="29"/>
        <v>53.195447995280141</v>
      </c>
      <c r="L310">
        <f t="shared" si="30"/>
        <v>0</v>
      </c>
      <c r="M310">
        <f t="shared" si="31"/>
        <v>0</v>
      </c>
      <c r="O310">
        <f>ETR!K310</f>
        <v>0</v>
      </c>
      <c r="P310">
        <f t="shared" si="32"/>
        <v>58.17907690221746</v>
      </c>
      <c r="Q310">
        <f t="shared" si="33"/>
        <v>0</v>
      </c>
      <c r="R310">
        <f t="shared" si="34"/>
        <v>0</v>
      </c>
    </row>
    <row r="311" spans="1:18" x14ac:dyDescent="0.35">
      <c r="A311" s="8">
        <f>ETR!A311</f>
        <v>42144</v>
      </c>
      <c r="B311">
        <f t="shared" si="28"/>
        <v>5</v>
      </c>
      <c r="C311">
        <f>Initialisation!$C$11</f>
        <v>68.40100000000001</v>
      </c>
      <c r="D311">
        <f>Initialisation!$C$12</f>
        <v>22.800333333333334</v>
      </c>
      <c r="E311">
        <v>0</v>
      </c>
      <c r="G311">
        <f>MeteoJ!C311</f>
        <v>0</v>
      </c>
      <c r="J311">
        <f>ETR!F311</f>
        <v>0</v>
      </c>
      <c r="K311">
        <f t="shared" si="29"/>
        <v>53.195447995280141</v>
      </c>
      <c r="L311">
        <f t="shared" si="30"/>
        <v>0</v>
      </c>
      <c r="M311">
        <f t="shared" si="31"/>
        <v>0</v>
      </c>
      <c r="O311">
        <f>ETR!K311</f>
        <v>0</v>
      </c>
      <c r="P311">
        <f t="shared" si="32"/>
        <v>58.17907690221746</v>
      </c>
      <c r="Q311">
        <f t="shared" si="33"/>
        <v>0</v>
      </c>
      <c r="R311">
        <f t="shared" si="34"/>
        <v>0</v>
      </c>
    </row>
    <row r="312" spans="1:18" x14ac:dyDescent="0.35">
      <c r="A312" s="8">
        <f>ETR!A312</f>
        <v>42144</v>
      </c>
      <c r="B312">
        <f t="shared" si="28"/>
        <v>5</v>
      </c>
      <c r="C312">
        <f>Initialisation!$C$11</f>
        <v>68.40100000000001</v>
      </c>
      <c r="D312">
        <f>Initialisation!$C$12</f>
        <v>22.800333333333334</v>
      </c>
      <c r="E312">
        <v>0</v>
      </c>
      <c r="G312">
        <f>MeteoJ!C312</f>
        <v>0</v>
      </c>
      <c r="J312">
        <f>ETR!F312</f>
        <v>0</v>
      </c>
      <c r="K312">
        <f t="shared" si="29"/>
        <v>53.195447995280141</v>
      </c>
      <c r="L312">
        <f t="shared" si="30"/>
        <v>0</v>
      </c>
      <c r="M312">
        <f t="shared" si="31"/>
        <v>0</v>
      </c>
      <c r="O312">
        <f>ETR!K312</f>
        <v>0</v>
      </c>
      <c r="P312">
        <f t="shared" si="32"/>
        <v>58.17907690221746</v>
      </c>
      <c r="Q312">
        <f t="shared" si="33"/>
        <v>0</v>
      </c>
      <c r="R312">
        <f t="shared" si="34"/>
        <v>0</v>
      </c>
    </row>
    <row r="313" spans="1:18" x14ac:dyDescent="0.35">
      <c r="A313" s="8">
        <f>ETR!A313</f>
        <v>42144</v>
      </c>
      <c r="B313">
        <f t="shared" si="28"/>
        <v>5</v>
      </c>
      <c r="C313">
        <f>Initialisation!$C$11</f>
        <v>68.40100000000001</v>
      </c>
      <c r="D313">
        <f>Initialisation!$C$12</f>
        <v>22.800333333333334</v>
      </c>
      <c r="E313">
        <v>0</v>
      </c>
      <c r="G313">
        <f>MeteoJ!C313</f>
        <v>0</v>
      </c>
      <c r="J313">
        <f>ETR!F313</f>
        <v>0</v>
      </c>
      <c r="K313">
        <f t="shared" si="29"/>
        <v>53.195447995280141</v>
      </c>
      <c r="L313">
        <f t="shared" si="30"/>
        <v>0</v>
      </c>
      <c r="M313">
        <f t="shared" si="31"/>
        <v>0</v>
      </c>
      <c r="O313">
        <f>ETR!K313</f>
        <v>0</v>
      </c>
      <c r="P313">
        <f t="shared" si="32"/>
        <v>58.17907690221746</v>
      </c>
      <c r="Q313">
        <f t="shared" si="33"/>
        <v>0</v>
      </c>
      <c r="R313">
        <f t="shared" si="34"/>
        <v>0</v>
      </c>
    </row>
    <row r="314" spans="1:18" x14ac:dyDescent="0.35">
      <c r="A314" s="8">
        <f>ETR!A314</f>
        <v>42144</v>
      </c>
      <c r="B314">
        <f t="shared" si="28"/>
        <v>5</v>
      </c>
      <c r="C314">
        <f>Initialisation!$C$11</f>
        <v>68.40100000000001</v>
      </c>
      <c r="D314">
        <f>Initialisation!$C$12</f>
        <v>22.800333333333334</v>
      </c>
      <c r="E314">
        <v>0</v>
      </c>
      <c r="G314">
        <f>MeteoJ!C314</f>
        <v>0</v>
      </c>
      <c r="J314">
        <f>ETR!F314</f>
        <v>0</v>
      </c>
      <c r="K314">
        <f t="shared" si="29"/>
        <v>53.195447995280141</v>
      </c>
      <c r="L314">
        <f t="shared" si="30"/>
        <v>0</v>
      </c>
      <c r="M314">
        <f t="shared" si="31"/>
        <v>0</v>
      </c>
      <c r="O314">
        <f>ETR!K314</f>
        <v>0</v>
      </c>
      <c r="P314">
        <f t="shared" si="32"/>
        <v>58.17907690221746</v>
      </c>
      <c r="Q314">
        <f t="shared" si="33"/>
        <v>0</v>
      </c>
      <c r="R314">
        <f t="shared" si="34"/>
        <v>0</v>
      </c>
    </row>
    <row r="315" spans="1:18" x14ac:dyDescent="0.35">
      <c r="A315" s="8">
        <f>ETR!A315</f>
        <v>42144</v>
      </c>
      <c r="B315">
        <f t="shared" si="28"/>
        <v>5</v>
      </c>
      <c r="C315">
        <f>Initialisation!$C$11</f>
        <v>68.40100000000001</v>
      </c>
      <c r="D315">
        <f>Initialisation!$C$12</f>
        <v>22.800333333333334</v>
      </c>
      <c r="E315">
        <v>0</v>
      </c>
      <c r="G315">
        <f>MeteoJ!C315</f>
        <v>0</v>
      </c>
      <c r="J315">
        <f>ETR!F315</f>
        <v>0</v>
      </c>
      <c r="K315">
        <f t="shared" si="29"/>
        <v>53.195447995280141</v>
      </c>
      <c r="L315">
        <f t="shared" si="30"/>
        <v>0</v>
      </c>
      <c r="M315">
        <f t="shared" si="31"/>
        <v>0</v>
      </c>
      <c r="O315">
        <f>ETR!K315</f>
        <v>0</v>
      </c>
      <c r="P315">
        <f t="shared" si="32"/>
        <v>58.17907690221746</v>
      </c>
      <c r="Q315">
        <f t="shared" si="33"/>
        <v>0</v>
      </c>
      <c r="R315">
        <f t="shared" si="34"/>
        <v>0</v>
      </c>
    </row>
    <row r="316" spans="1:18" x14ac:dyDescent="0.35">
      <c r="A316" s="8">
        <f>ETR!A316</f>
        <v>42144</v>
      </c>
      <c r="B316">
        <f t="shared" si="28"/>
        <v>5</v>
      </c>
      <c r="C316">
        <f>Initialisation!$C$11</f>
        <v>68.40100000000001</v>
      </c>
      <c r="D316">
        <f>Initialisation!$C$12</f>
        <v>22.800333333333334</v>
      </c>
      <c r="E316">
        <v>0</v>
      </c>
      <c r="G316">
        <f>MeteoJ!C316</f>
        <v>0</v>
      </c>
      <c r="J316">
        <f>ETR!F316</f>
        <v>0</v>
      </c>
      <c r="K316">
        <f t="shared" si="29"/>
        <v>53.195447995280141</v>
      </c>
      <c r="L316">
        <f t="shared" si="30"/>
        <v>0</v>
      </c>
      <c r="M316">
        <f t="shared" si="31"/>
        <v>0</v>
      </c>
      <c r="O316">
        <f>ETR!K316</f>
        <v>0</v>
      </c>
      <c r="P316">
        <f t="shared" si="32"/>
        <v>58.17907690221746</v>
      </c>
      <c r="Q316">
        <f t="shared" si="33"/>
        <v>0</v>
      </c>
      <c r="R316">
        <f t="shared" si="34"/>
        <v>0</v>
      </c>
    </row>
    <row r="317" spans="1:18" x14ac:dyDescent="0.35">
      <c r="A317" s="8">
        <f>ETR!A317</f>
        <v>42144</v>
      </c>
      <c r="B317">
        <f t="shared" si="28"/>
        <v>5</v>
      </c>
      <c r="C317">
        <f>Initialisation!$C$11</f>
        <v>68.40100000000001</v>
      </c>
      <c r="D317">
        <f>Initialisation!$C$12</f>
        <v>22.800333333333334</v>
      </c>
      <c r="E317">
        <v>0</v>
      </c>
      <c r="G317">
        <f>MeteoJ!C317</f>
        <v>0</v>
      </c>
      <c r="J317">
        <f>ETR!F317</f>
        <v>0</v>
      </c>
      <c r="K317">
        <f t="shared" si="29"/>
        <v>53.195447995280141</v>
      </c>
      <c r="L317">
        <f t="shared" si="30"/>
        <v>0</v>
      </c>
      <c r="M317">
        <f t="shared" si="31"/>
        <v>0</v>
      </c>
      <c r="O317">
        <f>ETR!K317</f>
        <v>0</v>
      </c>
      <c r="P317">
        <f t="shared" si="32"/>
        <v>58.17907690221746</v>
      </c>
      <c r="Q317">
        <f t="shared" si="33"/>
        <v>0</v>
      </c>
      <c r="R317">
        <f t="shared" si="34"/>
        <v>0</v>
      </c>
    </row>
    <row r="318" spans="1:18" x14ac:dyDescent="0.35">
      <c r="A318" s="8">
        <f>ETR!A318</f>
        <v>42144</v>
      </c>
      <c r="B318">
        <f t="shared" si="28"/>
        <v>5</v>
      </c>
      <c r="C318">
        <f>Initialisation!$C$11</f>
        <v>68.40100000000001</v>
      </c>
      <c r="D318">
        <f>Initialisation!$C$12</f>
        <v>22.800333333333334</v>
      </c>
      <c r="E318">
        <v>0</v>
      </c>
      <c r="G318">
        <f>MeteoJ!C318</f>
        <v>0</v>
      </c>
      <c r="J318">
        <f>ETR!F318</f>
        <v>0</v>
      </c>
      <c r="K318">
        <f t="shared" si="29"/>
        <v>53.195447995280141</v>
      </c>
      <c r="L318">
        <f t="shared" si="30"/>
        <v>0</v>
      </c>
      <c r="M318">
        <f t="shared" si="31"/>
        <v>0</v>
      </c>
      <c r="O318">
        <f>ETR!K318</f>
        <v>0</v>
      </c>
      <c r="P318">
        <f t="shared" si="32"/>
        <v>58.17907690221746</v>
      </c>
      <c r="Q318">
        <f t="shared" si="33"/>
        <v>0</v>
      </c>
      <c r="R318">
        <f t="shared" si="34"/>
        <v>0</v>
      </c>
    </row>
    <row r="319" spans="1:18" x14ac:dyDescent="0.35">
      <c r="A319" s="8">
        <f>ETR!A319</f>
        <v>42144</v>
      </c>
      <c r="B319">
        <f t="shared" si="28"/>
        <v>5</v>
      </c>
      <c r="C319">
        <f>Initialisation!$C$11</f>
        <v>68.40100000000001</v>
      </c>
      <c r="D319">
        <f>Initialisation!$C$12</f>
        <v>22.800333333333334</v>
      </c>
      <c r="E319">
        <v>0</v>
      </c>
      <c r="G319">
        <f>MeteoJ!C319</f>
        <v>0</v>
      </c>
      <c r="J319">
        <f>ETR!F319</f>
        <v>0</v>
      </c>
      <c r="K319">
        <f t="shared" si="29"/>
        <v>53.195447995280141</v>
      </c>
      <c r="L319">
        <f t="shared" si="30"/>
        <v>0</v>
      </c>
      <c r="M319">
        <f t="shared" si="31"/>
        <v>0</v>
      </c>
      <c r="O319">
        <f>ETR!K319</f>
        <v>0</v>
      </c>
      <c r="P319">
        <f t="shared" si="32"/>
        <v>58.17907690221746</v>
      </c>
      <c r="Q319">
        <f t="shared" si="33"/>
        <v>0</v>
      </c>
      <c r="R319">
        <f t="shared" si="34"/>
        <v>0</v>
      </c>
    </row>
    <row r="320" spans="1:18" x14ac:dyDescent="0.35">
      <c r="A320" s="8">
        <f>ETR!A320</f>
        <v>42144</v>
      </c>
      <c r="B320">
        <f t="shared" si="28"/>
        <v>5</v>
      </c>
      <c r="C320">
        <f>Initialisation!$C$11</f>
        <v>68.40100000000001</v>
      </c>
      <c r="D320">
        <f>Initialisation!$C$12</f>
        <v>22.800333333333334</v>
      </c>
      <c r="E320">
        <v>0</v>
      </c>
      <c r="G320">
        <f>MeteoJ!C320</f>
        <v>0</v>
      </c>
      <c r="J320">
        <f>ETR!F320</f>
        <v>0</v>
      </c>
      <c r="K320">
        <f t="shared" si="29"/>
        <v>53.195447995280141</v>
      </c>
      <c r="L320">
        <f t="shared" si="30"/>
        <v>0</v>
      </c>
      <c r="M320">
        <f t="shared" si="31"/>
        <v>0</v>
      </c>
      <c r="O320">
        <f>ETR!K320</f>
        <v>0</v>
      </c>
      <c r="P320">
        <f t="shared" si="32"/>
        <v>58.17907690221746</v>
      </c>
      <c r="Q320">
        <f t="shared" si="33"/>
        <v>0</v>
      </c>
      <c r="R320">
        <f t="shared" si="34"/>
        <v>0</v>
      </c>
    </row>
    <row r="321" spans="1:18" x14ac:dyDescent="0.35">
      <c r="A321" s="8">
        <f>ETR!A321</f>
        <v>42144</v>
      </c>
      <c r="B321">
        <f t="shared" si="28"/>
        <v>5</v>
      </c>
      <c r="C321">
        <f>Initialisation!$C$11</f>
        <v>68.40100000000001</v>
      </c>
      <c r="D321">
        <f>Initialisation!$C$12</f>
        <v>22.800333333333334</v>
      </c>
      <c r="E321">
        <v>0</v>
      </c>
      <c r="G321">
        <f>MeteoJ!C321</f>
        <v>0</v>
      </c>
      <c r="J321">
        <f>ETR!F321</f>
        <v>0</v>
      </c>
      <c r="K321">
        <f t="shared" si="29"/>
        <v>53.195447995280141</v>
      </c>
      <c r="L321">
        <f t="shared" si="30"/>
        <v>0</v>
      </c>
      <c r="M321">
        <f t="shared" si="31"/>
        <v>0</v>
      </c>
      <c r="O321">
        <f>ETR!K321</f>
        <v>0</v>
      </c>
      <c r="P321">
        <f t="shared" si="32"/>
        <v>58.17907690221746</v>
      </c>
      <c r="Q321">
        <f t="shared" si="33"/>
        <v>0</v>
      </c>
      <c r="R321">
        <f t="shared" si="34"/>
        <v>0</v>
      </c>
    </row>
    <row r="322" spans="1:18" x14ac:dyDescent="0.35">
      <c r="A322" s="8">
        <f>ETR!A322</f>
        <v>42144</v>
      </c>
      <c r="B322">
        <f t="shared" si="28"/>
        <v>5</v>
      </c>
      <c r="C322">
        <f>Initialisation!$C$11</f>
        <v>68.40100000000001</v>
      </c>
      <c r="D322">
        <f>Initialisation!$C$12</f>
        <v>22.800333333333334</v>
      </c>
      <c r="E322">
        <v>0</v>
      </c>
      <c r="G322">
        <f>MeteoJ!C322</f>
        <v>0</v>
      </c>
      <c r="J322">
        <f>ETR!F322</f>
        <v>0</v>
      </c>
      <c r="K322">
        <f t="shared" si="29"/>
        <v>53.195447995280141</v>
      </c>
      <c r="L322">
        <f t="shared" si="30"/>
        <v>0</v>
      </c>
      <c r="M322">
        <f t="shared" si="31"/>
        <v>0</v>
      </c>
      <c r="O322">
        <f>ETR!K322</f>
        <v>0</v>
      </c>
      <c r="P322">
        <f t="shared" si="32"/>
        <v>58.17907690221746</v>
      </c>
      <c r="Q322">
        <f t="shared" si="33"/>
        <v>0</v>
      </c>
      <c r="R322">
        <f t="shared" si="34"/>
        <v>0</v>
      </c>
    </row>
    <row r="323" spans="1:18" x14ac:dyDescent="0.35">
      <c r="A323" s="8">
        <f>ETR!A323</f>
        <v>42144</v>
      </c>
      <c r="B323">
        <f t="shared" ref="B323:B366" si="35">MONTH(A323)</f>
        <v>5</v>
      </c>
      <c r="C323">
        <f>Initialisation!$C$11</f>
        <v>68.40100000000001</v>
      </c>
      <c r="D323">
        <f>Initialisation!$C$12</f>
        <v>22.800333333333334</v>
      </c>
      <c r="E323">
        <v>0</v>
      </c>
      <c r="G323">
        <f>MeteoJ!C323</f>
        <v>0</v>
      </c>
      <c r="J323">
        <f>ETR!F323</f>
        <v>0</v>
      </c>
      <c r="K323">
        <f t="shared" si="29"/>
        <v>53.195447995280141</v>
      </c>
      <c r="L323">
        <f t="shared" si="30"/>
        <v>0</v>
      </c>
      <c r="M323">
        <f t="shared" si="31"/>
        <v>0</v>
      </c>
      <c r="O323">
        <f>ETR!K323</f>
        <v>0</v>
      </c>
      <c r="P323">
        <f t="shared" si="32"/>
        <v>58.17907690221746</v>
      </c>
      <c r="Q323">
        <f t="shared" si="33"/>
        <v>0</v>
      </c>
      <c r="R323">
        <f t="shared" si="34"/>
        <v>0</v>
      </c>
    </row>
    <row r="324" spans="1:18" x14ac:dyDescent="0.35">
      <c r="A324" s="8">
        <f>ETR!A324</f>
        <v>42144</v>
      </c>
      <c r="B324">
        <f t="shared" si="35"/>
        <v>5</v>
      </c>
      <c r="C324">
        <f>Initialisation!$C$11</f>
        <v>68.40100000000001</v>
      </c>
      <c r="D324">
        <f>Initialisation!$C$12</f>
        <v>22.800333333333334</v>
      </c>
      <c r="E324">
        <v>0</v>
      </c>
      <c r="G324">
        <f>MeteoJ!C324</f>
        <v>0</v>
      </c>
      <c r="J324">
        <f>ETR!F324</f>
        <v>0</v>
      </c>
      <c r="K324">
        <f t="shared" ref="K324:K366" si="36">IF($K323+$G323+$L323-$J323&gt;=$C$2,$C$2,IF($K323+$G323+$L323-$J323&gt;$D$2,$K323+$G323+$L323-$J323,IF($K323+$G323+$L323-$J323&gt;0,$K323+$G323+$L323-$J323*($K323/$D$2),$K323+$G323+$L323-$J323*($K323/$D$2))))</f>
        <v>53.195447995280141</v>
      </c>
      <c r="L324">
        <f t="shared" ref="L324:L366" si="37">IF($K324+$G324-$J324&lt;2/3*$D324,2/3*$D324,0)</f>
        <v>0</v>
      </c>
      <c r="M324">
        <f t="shared" ref="M324:M366" si="38">M323+L323</f>
        <v>0</v>
      </c>
      <c r="O324">
        <f>ETR!K324</f>
        <v>0</v>
      </c>
      <c r="P324">
        <f t="shared" ref="P324:P366" si="39">IF($P323+$G323+$Q323-$O323&gt;=$C$2,$C$2,IF($P323+$G323+$Q323-$O323&gt;$D$2,$P323+$G323+$Q323-$O323,IF($P323+$G323+$Q323-$O323&gt;0,$P323+$G323+$Q323-$O323*($P323/$D$2),$P323+$G323+$Q323-$O323*($P323/$D$2))))</f>
        <v>58.17907690221746</v>
      </c>
      <c r="Q324">
        <f t="shared" ref="Q324:Q366" si="40">IF($P324+$G324-$O324&lt;2/3*$D324,2/3*$D324,0)</f>
        <v>0</v>
      </c>
      <c r="R324">
        <f t="shared" ref="R324:R366" si="41">R323+Q323</f>
        <v>0</v>
      </c>
    </row>
    <row r="325" spans="1:18" x14ac:dyDescent="0.35">
      <c r="A325" s="8">
        <f>ETR!A325</f>
        <v>42144</v>
      </c>
      <c r="B325">
        <f t="shared" si="35"/>
        <v>5</v>
      </c>
      <c r="C325">
        <f>Initialisation!$C$11</f>
        <v>68.40100000000001</v>
      </c>
      <c r="D325">
        <f>Initialisation!$C$12</f>
        <v>22.800333333333334</v>
      </c>
      <c r="E325">
        <v>0</v>
      </c>
      <c r="G325">
        <f>MeteoJ!C325</f>
        <v>0</v>
      </c>
      <c r="J325">
        <f>ETR!F325</f>
        <v>0</v>
      </c>
      <c r="K325">
        <f t="shared" si="36"/>
        <v>53.195447995280141</v>
      </c>
      <c r="L325">
        <f t="shared" si="37"/>
        <v>0</v>
      </c>
      <c r="M325">
        <f t="shared" si="38"/>
        <v>0</v>
      </c>
      <c r="O325">
        <f>ETR!K325</f>
        <v>0</v>
      </c>
      <c r="P325">
        <f t="shared" si="39"/>
        <v>58.17907690221746</v>
      </c>
      <c r="Q325">
        <f t="shared" si="40"/>
        <v>0</v>
      </c>
      <c r="R325">
        <f t="shared" si="41"/>
        <v>0</v>
      </c>
    </row>
    <row r="326" spans="1:18" x14ac:dyDescent="0.35">
      <c r="A326" s="8">
        <f>ETR!A326</f>
        <v>42144</v>
      </c>
      <c r="B326">
        <f t="shared" si="35"/>
        <v>5</v>
      </c>
      <c r="C326">
        <f>Initialisation!$C$11</f>
        <v>68.40100000000001</v>
      </c>
      <c r="D326">
        <f>Initialisation!$C$12</f>
        <v>22.800333333333334</v>
      </c>
      <c r="E326">
        <v>0</v>
      </c>
      <c r="G326">
        <f>MeteoJ!C326</f>
        <v>0</v>
      </c>
      <c r="J326">
        <f>ETR!F326</f>
        <v>0</v>
      </c>
      <c r="K326">
        <f t="shared" si="36"/>
        <v>53.195447995280141</v>
      </c>
      <c r="L326">
        <f t="shared" si="37"/>
        <v>0</v>
      </c>
      <c r="M326">
        <f t="shared" si="38"/>
        <v>0</v>
      </c>
      <c r="O326">
        <f>ETR!K326</f>
        <v>0</v>
      </c>
      <c r="P326">
        <f t="shared" si="39"/>
        <v>58.17907690221746</v>
      </c>
      <c r="Q326">
        <f t="shared" si="40"/>
        <v>0</v>
      </c>
      <c r="R326">
        <f t="shared" si="41"/>
        <v>0</v>
      </c>
    </row>
    <row r="327" spans="1:18" x14ac:dyDescent="0.35">
      <c r="A327" s="8">
        <f>ETR!A327</f>
        <v>42144</v>
      </c>
      <c r="B327">
        <f t="shared" si="35"/>
        <v>5</v>
      </c>
      <c r="C327">
        <f>Initialisation!$C$11</f>
        <v>68.40100000000001</v>
      </c>
      <c r="D327">
        <f>Initialisation!$C$12</f>
        <v>22.800333333333334</v>
      </c>
      <c r="E327">
        <v>0</v>
      </c>
      <c r="G327">
        <f>MeteoJ!C327</f>
        <v>0</v>
      </c>
      <c r="J327">
        <f>ETR!F327</f>
        <v>0</v>
      </c>
      <c r="K327">
        <f t="shared" si="36"/>
        <v>53.195447995280141</v>
      </c>
      <c r="L327">
        <f t="shared" si="37"/>
        <v>0</v>
      </c>
      <c r="M327">
        <f t="shared" si="38"/>
        <v>0</v>
      </c>
      <c r="O327">
        <f>ETR!K327</f>
        <v>0</v>
      </c>
      <c r="P327">
        <f t="shared" si="39"/>
        <v>58.17907690221746</v>
      </c>
      <c r="Q327">
        <f t="shared" si="40"/>
        <v>0</v>
      </c>
      <c r="R327">
        <f t="shared" si="41"/>
        <v>0</v>
      </c>
    </row>
    <row r="328" spans="1:18" x14ac:dyDescent="0.35">
      <c r="A328" s="8">
        <f>ETR!A328</f>
        <v>42144</v>
      </c>
      <c r="B328">
        <f t="shared" si="35"/>
        <v>5</v>
      </c>
      <c r="C328">
        <f>Initialisation!$C$11</f>
        <v>68.40100000000001</v>
      </c>
      <c r="D328">
        <f>Initialisation!$C$12</f>
        <v>22.800333333333334</v>
      </c>
      <c r="E328">
        <v>0</v>
      </c>
      <c r="G328">
        <f>MeteoJ!C328</f>
        <v>0</v>
      </c>
      <c r="J328">
        <f>ETR!F328</f>
        <v>0</v>
      </c>
      <c r="K328">
        <f t="shared" si="36"/>
        <v>53.195447995280141</v>
      </c>
      <c r="L328">
        <f t="shared" si="37"/>
        <v>0</v>
      </c>
      <c r="M328">
        <f t="shared" si="38"/>
        <v>0</v>
      </c>
      <c r="O328">
        <f>ETR!K328</f>
        <v>0</v>
      </c>
      <c r="P328">
        <f t="shared" si="39"/>
        <v>58.17907690221746</v>
      </c>
      <c r="Q328">
        <f t="shared" si="40"/>
        <v>0</v>
      </c>
      <c r="R328">
        <f t="shared" si="41"/>
        <v>0</v>
      </c>
    </row>
    <row r="329" spans="1:18" x14ac:dyDescent="0.35">
      <c r="A329" s="8">
        <f>ETR!A329</f>
        <v>42144</v>
      </c>
      <c r="B329">
        <f t="shared" si="35"/>
        <v>5</v>
      </c>
      <c r="C329">
        <f>Initialisation!$C$11</f>
        <v>68.40100000000001</v>
      </c>
      <c r="D329">
        <f>Initialisation!$C$12</f>
        <v>22.800333333333334</v>
      </c>
      <c r="E329">
        <v>0</v>
      </c>
      <c r="G329">
        <f>MeteoJ!C329</f>
        <v>0</v>
      </c>
      <c r="J329">
        <f>ETR!F329</f>
        <v>0</v>
      </c>
      <c r="K329">
        <f t="shared" si="36"/>
        <v>53.195447995280141</v>
      </c>
      <c r="L329">
        <f t="shared" si="37"/>
        <v>0</v>
      </c>
      <c r="M329">
        <f t="shared" si="38"/>
        <v>0</v>
      </c>
      <c r="O329">
        <f>ETR!K329</f>
        <v>0</v>
      </c>
      <c r="P329">
        <f t="shared" si="39"/>
        <v>58.17907690221746</v>
      </c>
      <c r="Q329">
        <f t="shared" si="40"/>
        <v>0</v>
      </c>
      <c r="R329">
        <f t="shared" si="41"/>
        <v>0</v>
      </c>
    </row>
    <row r="330" spans="1:18" x14ac:dyDescent="0.35">
      <c r="A330" s="8">
        <f>ETR!A330</f>
        <v>42144</v>
      </c>
      <c r="B330">
        <f t="shared" si="35"/>
        <v>5</v>
      </c>
      <c r="C330">
        <f>Initialisation!$C$11</f>
        <v>68.40100000000001</v>
      </c>
      <c r="D330">
        <f>Initialisation!$C$12</f>
        <v>22.800333333333334</v>
      </c>
      <c r="E330">
        <v>0</v>
      </c>
      <c r="G330">
        <f>MeteoJ!C330</f>
        <v>0</v>
      </c>
      <c r="J330">
        <f>ETR!F330</f>
        <v>0</v>
      </c>
      <c r="K330">
        <f t="shared" si="36"/>
        <v>53.195447995280141</v>
      </c>
      <c r="L330">
        <f t="shared" si="37"/>
        <v>0</v>
      </c>
      <c r="M330">
        <f t="shared" si="38"/>
        <v>0</v>
      </c>
      <c r="O330">
        <f>ETR!K330</f>
        <v>0</v>
      </c>
      <c r="P330">
        <f t="shared" si="39"/>
        <v>58.17907690221746</v>
      </c>
      <c r="Q330">
        <f t="shared" si="40"/>
        <v>0</v>
      </c>
      <c r="R330">
        <f t="shared" si="41"/>
        <v>0</v>
      </c>
    </row>
    <row r="331" spans="1:18" x14ac:dyDescent="0.35">
      <c r="A331" s="8">
        <f>ETR!A331</f>
        <v>42144</v>
      </c>
      <c r="B331">
        <f t="shared" si="35"/>
        <v>5</v>
      </c>
      <c r="C331">
        <f>Initialisation!$C$11</f>
        <v>68.40100000000001</v>
      </c>
      <c r="D331">
        <f>Initialisation!$C$12</f>
        <v>22.800333333333334</v>
      </c>
      <c r="E331">
        <v>0</v>
      </c>
      <c r="G331">
        <f>MeteoJ!C331</f>
        <v>0</v>
      </c>
      <c r="J331">
        <f>ETR!F331</f>
        <v>0</v>
      </c>
      <c r="K331">
        <f t="shared" si="36"/>
        <v>53.195447995280141</v>
      </c>
      <c r="L331">
        <f t="shared" si="37"/>
        <v>0</v>
      </c>
      <c r="M331">
        <f t="shared" si="38"/>
        <v>0</v>
      </c>
      <c r="O331">
        <f>ETR!K331</f>
        <v>0</v>
      </c>
      <c r="P331">
        <f t="shared" si="39"/>
        <v>58.17907690221746</v>
      </c>
      <c r="Q331">
        <f t="shared" si="40"/>
        <v>0</v>
      </c>
      <c r="R331">
        <f t="shared" si="41"/>
        <v>0</v>
      </c>
    </row>
    <row r="332" spans="1:18" x14ac:dyDescent="0.35">
      <c r="A332" s="8">
        <f>ETR!A332</f>
        <v>42144</v>
      </c>
      <c r="B332">
        <f t="shared" si="35"/>
        <v>5</v>
      </c>
      <c r="C332">
        <f>Initialisation!$C$11</f>
        <v>68.40100000000001</v>
      </c>
      <c r="D332">
        <f>Initialisation!$C$12</f>
        <v>22.800333333333334</v>
      </c>
      <c r="E332">
        <v>0</v>
      </c>
      <c r="G332">
        <f>MeteoJ!C332</f>
        <v>0</v>
      </c>
      <c r="J332">
        <f>ETR!F332</f>
        <v>0</v>
      </c>
      <c r="K332">
        <f t="shared" si="36"/>
        <v>53.195447995280141</v>
      </c>
      <c r="L332">
        <f t="shared" si="37"/>
        <v>0</v>
      </c>
      <c r="M332">
        <f t="shared" si="38"/>
        <v>0</v>
      </c>
      <c r="O332">
        <f>ETR!K332</f>
        <v>0</v>
      </c>
      <c r="P332">
        <f t="shared" si="39"/>
        <v>58.17907690221746</v>
      </c>
      <c r="Q332">
        <f t="shared" si="40"/>
        <v>0</v>
      </c>
      <c r="R332">
        <f t="shared" si="41"/>
        <v>0</v>
      </c>
    </row>
    <row r="333" spans="1:18" x14ac:dyDescent="0.35">
      <c r="A333" s="8">
        <f>ETR!A333</f>
        <v>42144</v>
      </c>
      <c r="B333">
        <f t="shared" si="35"/>
        <v>5</v>
      </c>
      <c r="C333">
        <f>Initialisation!$C$11</f>
        <v>68.40100000000001</v>
      </c>
      <c r="D333">
        <f>Initialisation!$C$12</f>
        <v>22.800333333333334</v>
      </c>
      <c r="E333">
        <v>0</v>
      </c>
      <c r="G333">
        <f>MeteoJ!C333</f>
        <v>0</v>
      </c>
      <c r="J333">
        <f>ETR!F333</f>
        <v>0</v>
      </c>
      <c r="K333">
        <f t="shared" si="36"/>
        <v>53.195447995280141</v>
      </c>
      <c r="L333">
        <f t="shared" si="37"/>
        <v>0</v>
      </c>
      <c r="M333">
        <f t="shared" si="38"/>
        <v>0</v>
      </c>
      <c r="O333">
        <f>ETR!K333</f>
        <v>0</v>
      </c>
      <c r="P333">
        <f t="shared" si="39"/>
        <v>58.17907690221746</v>
      </c>
      <c r="Q333">
        <f t="shared" si="40"/>
        <v>0</v>
      </c>
      <c r="R333">
        <f t="shared" si="41"/>
        <v>0</v>
      </c>
    </row>
    <row r="334" spans="1:18" x14ac:dyDescent="0.35">
      <c r="A334" s="8">
        <f>ETR!A334</f>
        <v>42144</v>
      </c>
      <c r="B334">
        <f t="shared" si="35"/>
        <v>5</v>
      </c>
      <c r="C334">
        <f>Initialisation!$C$11</f>
        <v>68.40100000000001</v>
      </c>
      <c r="D334">
        <f>Initialisation!$C$12</f>
        <v>22.800333333333334</v>
      </c>
      <c r="E334">
        <v>0</v>
      </c>
      <c r="G334">
        <f>MeteoJ!C334</f>
        <v>0</v>
      </c>
      <c r="J334">
        <f>ETR!F334</f>
        <v>0</v>
      </c>
      <c r="K334">
        <f t="shared" si="36"/>
        <v>53.195447995280141</v>
      </c>
      <c r="L334">
        <f t="shared" si="37"/>
        <v>0</v>
      </c>
      <c r="M334">
        <f t="shared" si="38"/>
        <v>0</v>
      </c>
      <c r="O334">
        <f>ETR!K334</f>
        <v>0</v>
      </c>
      <c r="P334">
        <f t="shared" si="39"/>
        <v>58.17907690221746</v>
      </c>
      <c r="Q334">
        <f t="shared" si="40"/>
        <v>0</v>
      </c>
      <c r="R334">
        <f t="shared" si="41"/>
        <v>0</v>
      </c>
    </row>
    <row r="335" spans="1:18" x14ac:dyDescent="0.35">
      <c r="A335" s="8">
        <f>ETR!A335</f>
        <v>42144</v>
      </c>
      <c r="B335">
        <f t="shared" si="35"/>
        <v>5</v>
      </c>
      <c r="C335">
        <f>Initialisation!$C$11</f>
        <v>68.40100000000001</v>
      </c>
      <c r="D335">
        <f>Initialisation!$C$12</f>
        <v>22.800333333333334</v>
      </c>
      <c r="E335">
        <v>0</v>
      </c>
      <c r="G335">
        <f>MeteoJ!C335</f>
        <v>0</v>
      </c>
      <c r="J335">
        <f>ETR!F335</f>
        <v>0</v>
      </c>
      <c r="K335">
        <f t="shared" si="36"/>
        <v>53.195447995280141</v>
      </c>
      <c r="L335">
        <f t="shared" si="37"/>
        <v>0</v>
      </c>
      <c r="M335">
        <f t="shared" si="38"/>
        <v>0</v>
      </c>
      <c r="O335">
        <f>ETR!K335</f>
        <v>0</v>
      </c>
      <c r="P335">
        <f t="shared" si="39"/>
        <v>58.17907690221746</v>
      </c>
      <c r="Q335">
        <f t="shared" si="40"/>
        <v>0</v>
      </c>
      <c r="R335">
        <f t="shared" si="41"/>
        <v>0</v>
      </c>
    </row>
    <row r="336" spans="1:18" x14ac:dyDescent="0.35">
      <c r="A336" s="8">
        <f>ETR!A336</f>
        <v>42144</v>
      </c>
      <c r="B336">
        <f t="shared" si="35"/>
        <v>5</v>
      </c>
      <c r="C336">
        <f>Initialisation!$C$11</f>
        <v>68.40100000000001</v>
      </c>
      <c r="D336">
        <f>Initialisation!$C$12</f>
        <v>22.800333333333334</v>
      </c>
      <c r="E336">
        <v>0</v>
      </c>
      <c r="G336">
        <f>MeteoJ!C336</f>
        <v>0</v>
      </c>
      <c r="J336">
        <f>ETR!F336</f>
        <v>0</v>
      </c>
      <c r="K336">
        <f t="shared" si="36"/>
        <v>53.195447995280141</v>
      </c>
      <c r="L336">
        <f t="shared" si="37"/>
        <v>0</v>
      </c>
      <c r="M336">
        <f t="shared" si="38"/>
        <v>0</v>
      </c>
      <c r="O336">
        <f>ETR!K336</f>
        <v>0</v>
      </c>
      <c r="P336">
        <f t="shared" si="39"/>
        <v>58.17907690221746</v>
      </c>
      <c r="Q336">
        <f t="shared" si="40"/>
        <v>0</v>
      </c>
      <c r="R336">
        <f t="shared" si="41"/>
        <v>0</v>
      </c>
    </row>
    <row r="337" spans="1:18" x14ac:dyDescent="0.35">
      <c r="A337" s="8">
        <f>ETR!A337</f>
        <v>42144</v>
      </c>
      <c r="B337">
        <f t="shared" si="35"/>
        <v>5</v>
      </c>
      <c r="C337">
        <f>Initialisation!$C$11</f>
        <v>68.40100000000001</v>
      </c>
      <c r="D337">
        <f>Initialisation!$C$12</f>
        <v>22.800333333333334</v>
      </c>
      <c r="E337">
        <v>0</v>
      </c>
      <c r="G337">
        <f>MeteoJ!C337</f>
        <v>0</v>
      </c>
      <c r="J337">
        <f>ETR!F337</f>
        <v>0</v>
      </c>
      <c r="K337">
        <f t="shared" si="36"/>
        <v>53.195447995280141</v>
      </c>
      <c r="L337">
        <f t="shared" si="37"/>
        <v>0</v>
      </c>
      <c r="M337">
        <f t="shared" si="38"/>
        <v>0</v>
      </c>
      <c r="O337">
        <f>ETR!K337</f>
        <v>0</v>
      </c>
      <c r="P337">
        <f t="shared" si="39"/>
        <v>58.17907690221746</v>
      </c>
      <c r="Q337">
        <f t="shared" si="40"/>
        <v>0</v>
      </c>
      <c r="R337">
        <f t="shared" si="41"/>
        <v>0</v>
      </c>
    </row>
    <row r="338" spans="1:18" x14ac:dyDescent="0.35">
      <c r="A338" s="8">
        <f>ETR!A338</f>
        <v>42144</v>
      </c>
      <c r="B338">
        <f t="shared" si="35"/>
        <v>5</v>
      </c>
      <c r="C338">
        <f>Initialisation!$C$11</f>
        <v>68.40100000000001</v>
      </c>
      <c r="D338">
        <f>Initialisation!$C$12</f>
        <v>22.800333333333334</v>
      </c>
      <c r="E338">
        <v>0</v>
      </c>
      <c r="G338">
        <f>MeteoJ!C338</f>
        <v>0</v>
      </c>
      <c r="J338">
        <f>ETR!F338</f>
        <v>0</v>
      </c>
      <c r="K338">
        <f t="shared" si="36"/>
        <v>53.195447995280141</v>
      </c>
      <c r="L338">
        <f t="shared" si="37"/>
        <v>0</v>
      </c>
      <c r="M338">
        <f t="shared" si="38"/>
        <v>0</v>
      </c>
      <c r="O338">
        <f>ETR!K338</f>
        <v>0</v>
      </c>
      <c r="P338">
        <f t="shared" si="39"/>
        <v>58.17907690221746</v>
      </c>
      <c r="Q338">
        <f t="shared" si="40"/>
        <v>0</v>
      </c>
      <c r="R338">
        <f t="shared" si="41"/>
        <v>0</v>
      </c>
    </row>
    <row r="339" spans="1:18" x14ac:dyDescent="0.35">
      <c r="A339" s="8">
        <f>ETR!A339</f>
        <v>42144</v>
      </c>
      <c r="B339">
        <f t="shared" si="35"/>
        <v>5</v>
      </c>
      <c r="C339">
        <f>Initialisation!$C$11</f>
        <v>68.40100000000001</v>
      </c>
      <c r="D339">
        <f>Initialisation!$C$12</f>
        <v>22.800333333333334</v>
      </c>
      <c r="E339">
        <v>0</v>
      </c>
      <c r="G339">
        <f>MeteoJ!C339</f>
        <v>0</v>
      </c>
      <c r="J339">
        <f>ETR!F339</f>
        <v>0</v>
      </c>
      <c r="K339">
        <f t="shared" si="36"/>
        <v>53.195447995280141</v>
      </c>
      <c r="L339">
        <f t="shared" si="37"/>
        <v>0</v>
      </c>
      <c r="M339">
        <f t="shared" si="38"/>
        <v>0</v>
      </c>
      <c r="O339">
        <f>ETR!K339</f>
        <v>0</v>
      </c>
      <c r="P339">
        <f t="shared" si="39"/>
        <v>58.17907690221746</v>
      </c>
      <c r="Q339">
        <f t="shared" si="40"/>
        <v>0</v>
      </c>
      <c r="R339">
        <f t="shared" si="41"/>
        <v>0</v>
      </c>
    </row>
    <row r="340" spans="1:18" x14ac:dyDescent="0.35">
      <c r="A340" s="8">
        <f>ETR!A340</f>
        <v>42144</v>
      </c>
      <c r="B340">
        <f t="shared" si="35"/>
        <v>5</v>
      </c>
      <c r="C340">
        <f>Initialisation!$C$11</f>
        <v>68.40100000000001</v>
      </c>
      <c r="D340">
        <f>Initialisation!$C$12</f>
        <v>22.800333333333334</v>
      </c>
      <c r="E340">
        <v>0</v>
      </c>
      <c r="G340">
        <f>MeteoJ!C340</f>
        <v>0</v>
      </c>
      <c r="J340">
        <f>ETR!F340</f>
        <v>0</v>
      </c>
      <c r="K340">
        <f t="shared" si="36"/>
        <v>53.195447995280141</v>
      </c>
      <c r="L340">
        <f t="shared" si="37"/>
        <v>0</v>
      </c>
      <c r="M340">
        <f t="shared" si="38"/>
        <v>0</v>
      </c>
      <c r="O340">
        <f>ETR!K340</f>
        <v>0</v>
      </c>
      <c r="P340">
        <f t="shared" si="39"/>
        <v>58.17907690221746</v>
      </c>
      <c r="Q340">
        <f t="shared" si="40"/>
        <v>0</v>
      </c>
      <c r="R340">
        <f t="shared" si="41"/>
        <v>0</v>
      </c>
    </row>
    <row r="341" spans="1:18" x14ac:dyDescent="0.35">
      <c r="A341" s="8">
        <f>ETR!A341</f>
        <v>42144</v>
      </c>
      <c r="B341">
        <f t="shared" si="35"/>
        <v>5</v>
      </c>
      <c r="C341">
        <f>Initialisation!$C$11</f>
        <v>68.40100000000001</v>
      </c>
      <c r="D341">
        <f>Initialisation!$C$12</f>
        <v>22.800333333333334</v>
      </c>
      <c r="E341">
        <v>0</v>
      </c>
      <c r="G341">
        <f>MeteoJ!C341</f>
        <v>0</v>
      </c>
      <c r="J341">
        <f>ETR!F341</f>
        <v>0</v>
      </c>
      <c r="K341">
        <f t="shared" si="36"/>
        <v>53.195447995280141</v>
      </c>
      <c r="L341">
        <f t="shared" si="37"/>
        <v>0</v>
      </c>
      <c r="M341">
        <f t="shared" si="38"/>
        <v>0</v>
      </c>
      <c r="O341">
        <f>ETR!K341</f>
        <v>0</v>
      </c>
      <c r="P341">
        <f t="shared" si="39"/>
        <v>58.17907690221746</v>
      </c>
      <c r="Q341">
        <f t="shared" si="40"/>
        <v>0</v>
      </c>
      <c r="R341">
        <f t="shared" si="41"/>
        <v>0</v>
      </c>
    </row>
    <row r="342" spans="1:18" x14ac:dyDescent="0.35">
      <c r="A342" s="8">
        <f>ETR!A342</f>
        <v>42144</v>
      </c>
      <c r="B342">
        <f t="shared" si="35"/>
        <v>5</v>
      </c>
      <c r="C342">
        <f>Initialisation!$C$11</f>
        <v>68.40100000000001</v>
      </c>
      <c r="D342">
        <f>Initialisation!$C$12</f>
        <v>22.800333333333334</v>
      </c>
      <c r="E342">
        <v>0</v>
      </c>
      <c r="G342">
        <f>MeteoJ!C342</f>
        <v>0</v>
      </c>
      <c r="J342">
        <f>ETR!F342</f>
        <v>0</v>
      </c>
      <c r="K342">
        <f t="shared" si="36"/>
        <v>53.195447995280141</v>
      </c>
      <c r="L342">
        <f t="shared" si="37"/>
        <v>0</v>
      </c>
      <c r="M342">
        <f t="shared" si="38"/>
        <v>0</v>
      </c>
      <c r="O342">
        <f>ETR!K342</f>
        <v>0</v>
      </c>
      <c r="P342">
        <f t="shared" si="39"/>
        <v>58.17907690221746</v>
      </c>
      <c r="Q342">
        <f t="shared" si="40"/>
        <v>0</v>
      </c>
      <c r="R342">
        <f t="shared" si="41"/>
        <v>0</v>
      </c>
    </row>
    <row r="343" spans="1:18" x14ac:dyDescent="0.35">
      <c r="A343" s="8">
        <f>ETR!A343</f>
        <v>42144</v>
      </c>
      <c r="B343">
        <f t="shared" si="35"/>
        <v>5</v>
      </c>
      <c r="C343">
        <f>Initialisation!$C$11</f>
        <v>68.40100000000001</v>
      </c>
      <c r="D343">
        <f>Initialisation!$C$12</f>
        <v>22.800333333333334</v>
      </c>
      <c r="E343">
        <v>0</v>
      </c>
      <c r="G343">
        <f>MeteoJ!C343</f>
        <v>0</v>
      </c>
      <c r="J343">
        <f>ETR!F343</f>
        <v>0</v>
      </c>
      <c r="K343">
        <f t="shared" si="36"/>
        <v>53.195447995280141</v>
      </c>
      <c r="L343">
        <f t="shared" si="37"/>
        <v>0</v>
      </c>
      <c r="M343">
        <f t="shared" si="38"/>
        <v>0</v>
      </c>
      <c r="O343">
        <f>ETR!K343</f>
        <v>0</v>
      </c>
      <c r="P343">
        <f t="shared" si="39"/>
        <v>58.17907690221746</v>
      </c>
      <c r="Q343">
        <f t="shared" si="40"/>
        <v>0</v>
      </c>
      <c r="R343">
        <f t="shared" si="41"/>
        <v>0</v>
      </c>
    </row>
    <row r="344" spans="1:18" x14ac:dyDescent="0.35">
      <c r="A344" s="8">
        <f>ETR!A344</f>
        <v>42144</v>
      </c>
      <c r="B344">
        <f t="shared" si="35"/>
        <v>5</v>
      </c>
      <c r="C344">
        <f>Initialisation!$C$11</f>
        <v>68.40100000000001</v>
      </c>
      <c r="D344">
        <f>Initialisation!$C$12</f>
        <v>22.800333333333334</v>
      </c>
      <c r="E344">
        <v>0</v>
      </c>
      <c r="G344">
        <f>MeteoJ!C344</f>
        <v>0</v>
      </c>
      <c r="J344">
        <f>ETR!F344</f>
        <v>0</v>
      </c>
      <c r="K344">
        <f t="shared" si="36"/>
        <v>53.195447995280141</v>
      </c>
      <c r="L344">
        <f t="shared" si="37"/>
        <v>0</v>
      </c>
      <c r="M344">
        <f t="shared" si="38"/>
        <v>0</v>
      </c>
      <c r="O344">
        <f>ETR!K344</f>
        <v>0</v>
      </c>
      <c r="P344">
        <f t="shared" si="39"/>
        <v>58.17907690221746</v>
      </c>
      <c r="Q344">
        <f t="shared" si="40"/>
        <v>0</v>
      </c>
      <c r="R344">
        <f t="shared" si="41"/>
        <v>0</v>
      </c>
    </row>
    <row r="345" spans="1:18" x14ac:dyDescent="0.35">
      <c r="A345" s="8">
        <f>ETR!A345</f>
        <v>42144</v>
      </c>
      <c r="B345">
        <f t="shared" si="35"/>
        <v>5</v>
      </c>
      <c r="C345">
        <f>Initialisation!$C$11</f>
        <v>68.40100000000001</v>
      </c>
      <c r="D345">
        <f>Initialisation!$C$12</f>
        <v>22.800333333333334</v>
      </c>
      <c r="E345">
        <v>0</v>
      </c>
      <c r="G345">
        <f>MeteoJ!C345</f>
        <v>0</v>
      </c>
      <c r="J345">
        <f>ETR!F345</f>
        <v>0</v>
      </c>
      <c r="K345">
        <f t="shared" si="36"/>
        <v>53.195447995280141</v>
      </c>
      <c r="L345">
        <f t="shared" si="37"/>
        <v>0</v>
      </c>
      <c r="M345">
        <f t="shared" si="38"/>
        <v>0</v>
      </c>
      <c r="O345">
        <f>ETR!K345</f>
        <v>0</v>
      </c>
      <c r="P345">
        <f t="shared" si="39"/>
        <v>58.17907690221746</v>
      </c>
      <c r="Q345">
        <f t="shared" si="40"/>
        <v>0</v>
      </c>
      <c r="R345">
        <f t="shared" si="41"/>
        <v>0</v>
      </c>
    </row>
    <row r="346" spans="1:18" x14ac:dyDescent="0.35">
      <c r="A346" s="8">
        <f>ETR!A346</f>
        <v>42144</v>
      </c>
      <c r="B346">
        <f t="shared" si="35"/>
        <v>5</v>
      </c>
      <c r="C346">
        <f>Initialisation!$C$11</f>
        <v>68.40100000000001</v>
      </c>
      <c r="D346">
        <f>Initialisation!$C$12</f>
        <v>22.800333333333334</v>
      </c>
      <c r="E346">
        <v>0</v>
      </c>
      <c r="G346">
        <f>MeteoJ!C346</f>
        <v>0</v>
      </c>
      <c r="J346">
        <f>ETR!F346</f>
        <v>0</v>
      </c>
      <c r="K346">
        <f t="shared" si="36"/>
        <v>53.195447995280141</v>
      </c>
      <c r="L346">
        <f t="shared" si="37"/>
        <v>0</v>
      </c>
      <c r="M346">
        <f t="shared" si="38"/>
        <v>0</v>
      </c>
      <c r="O346">
        <f>ETR!K346</f>
        <v>0</v>
      </c>
      <c r="P346">
        <f t="shared" si="39"/>
        <v>58.17907690221746</v>
      </c>
      <c r="Q346">
        <f t="shared" si="40"/>
        <v>0</v>
      </c>
      <c r="R346">
        <f t="shared" si="41"/>
        <v>0</v>
      </c>
    </row>
    <row r="347" spans="1:18" x14ac:dyDescent="0.35">
      <c r="A347" s="8">
        <f>ETR!A347</f>
        <v>42144</v>
      </c>
      <c r="B347">
        <f t="shared" si="35"/>
        <v>5</v>
      </c>
      <c r="C347">
        <f>Initialisation!$C$11</f>
        <v>68.40100000000001</v>
      </c>
      <c r="D347">
        <f>Initialisation!$C$12</f>
        <v>22.800333333333334</v>
      </c>
      <c r="E347">
        <v>0</v>
      </c>
      <c r="G347">
        <f>MeteoJ!C347</f>
        <v>0</v>
      </c>
      <c r="J347">
        <f>ETR!F347</f>
        <v>0</v>
      </c>
      <c r="K347">
        <f t="shared" si="36"/>
        <v>53.195447995280141</v>
      </c>
      <c r="L347">
        <f t="shared" si="37"/>
        <v>0</v>
      </c>
      <c r="M347">
        <f t="shared" si="38"/>
        <v>0</v>
      </c>
      <c r="O347">
        <f>ETR!K347</f>
        <v>0</v>
      </c>
      <c r="P347">
        <f t="shared" si="39"/>
        <v>58.17907690221746</v>
      </c>
      <c r="Q347">
        <f t="shared" si="40"/>
        <v>0</v>
      </c>
      <c r="R347">
        <f t="shared" si="41"/>
        <v>0</v>
      </c>
    </row>
    <row r="348" spans="1:18" x14ac:dyDescent="0.35">
      <c r="A348" s="8">
        <f>ETR!A348</f>
        <v>42144</v>
      </c>
      <c r="B348">
        <f t="shared" si="35"/>
        <v>5</v>
      </c>
      <c r="C348">
        <f>Initialisation!$C$11</f>
        <v>68.40100000000001</v>
      </c>
      <c r="D348">
        <f>Initialisation!$C$12</f>
        <v>22.800333333333334</v>
      </c>
      <c r="E348">
        <v>0</v>
      </c>
      <c r="G348">
        <f>MeteoJ!C348</f>
        <v>0</v>
      </c>
      <c r="J348">
        <f>ETR!F348</f>
        <v>0</v>
      </c>
      <c r="K348">
        <f t="shared" si="36"/>
        <v>53.195447995280141</v>
      </c>
      <c r="L348">
        <f t="shared" si="37"/>
        <v>0</v>
      </c>
      <c r="M348">
        <f t="shared" si="38"/>
        <v>0</v>
      </c>
      <c r="O348">
        <f>ETR!K348</f>
        <v>0</v>
      </c>
      <c r="P348">
        <f t="shared" si="39"/>
        <v>58.17907690221746</v>
      </c>
      <c r="Q348">
        <f t="shared" si="40"/>
        <v>0</v>
      </c>
      <c r="R348">
        <f t="shared" si="41"/>
        <v>0</v>
      </c>
    </row>
    <row r="349" spans="1:18" x14ac:dyDescent="0.35">
      <c r="A349" s="8">
        <f>ETR!A349</f>
        <v>42144</v>
      </c>
      <c r="B349">
        <f t="shared" si="35"/>
        <v>5</v>
      </c>
      <c r="C349">
        <f>Initialisation!$C$11</f>
        <v>68.40100000000001</v>
      </c>
      <c r="D349">
        <f>Initialisation!$C$12</f>
        <v>22.800333333333334</v>
      </c>
      <c r="E349">
        <v>0</v>
      </c>
      <c r="G349">
        <f>MeteoJ!C349</f>
        <v>0</v>
      </c>
      <c r="J349">
        <f>ETR!F349</f>
        <v>0</v>
      </c>
      <c r="K349">
        <f t="shared" si="36"/>
        <v>53.195447995280141</v>
      </c>
      <c r="L349">
        <f t="shared" si="37"/>
        <v>0</v>
      </c>
      <c r="M349">
        <f t="shared" si="38"/>
        <v>0</v>
      </c>
      <c r="O349">
        <f>ETR!K349</f>
        <v>0</v>
      </c>
      <c r="P349">
        <f t="shared" si="39"/>
        <v>58.17907690221746</v>
      </c>
      <c r="Q349">
        <f t="shared" si="40"/>
        <v>0</v>
      </c>
      <c r="R349">
        <f t="shared" si="41"/>
        <v>0</v>
      </c>
    </row>
    <row r="350" spans="1:18" x14ac:dyDescent="0.35">
      <c r="A350" s="8">
        <f>ETR!A350</f>
        <v>42144</v>
      </c>
      <c r="B350">
        <f t="shared" si="35"/>
        <v>5</v>
      </c>
      <c r="C350">
        <f>Initialisation!$C$11</f>
        <v>68.40100000000001</v>
      </c>
      <c r="D350">
        <f>Initialisation!$C$12</f>
        <v>22.800333333333334</v>
      </c>
      <c r="E350">
        <v>0</v>
      </c>
      <c r="G350">
        <f>MeteoJ!C350</f>
        <v>0</v>
      </c>
      <c r="J350">
        <f>ETR!F350</f>
        <v>0</v>
      </c>
      <c r="K350">
        <f t="shared" si="36"/>
        <v>53.195447995280141</v>
      </c>
      <c r="L350">
        <f t="shared" si="37"/>
        <v>0</v>
      </c>
      <c r="M350">
        <f t="shared" si="38"/>
        <v>0</v>
      </c>
      <c r="O350">
        <f>ETR!K350</f>
        <v>0</v>
      </c>
      <c r="P350">
        <f t="shared" si="39"/>
        <v>58.17907690221746</v>
      </c>
      <c r="Q350">
        <f t="shared" si="40"/>
        <v>0</v>
      </c>
      <c r="R350">
        <f t="shared" si="41"/>
        <v>0</v>
      </c>
    </row>
    <row r="351" spans="1:18" x14ac:dyDescent="0.35">
      <c r="A351" s="8">
        <f>ETR!A351</f>
        <v>42144</v>
      </c>
      <c r="B351">
        <f t="shared" si="35"/>
        <v>5</v>
      </c>
      <c r="C351">
        <f>Initialisation!$C$11</f>
        <v>68.40100000000001</v>
      </c>
      <c r="D351">
        <f>Initialisation!$C$12</f>
        <v>22.800333333333334</v>
      </c>
      <c r="E351">
        <v>0</v>
      </c>
      <c r="G351">
        <f>MeteoJ!C351</f>
        <v>0</v>
      </c>
      <c r="J351">
        <f>ETR!F351</f>
        <v>0</v>
      </c>
      <c r="K351">
        <f t="shared" si="36"/>
        <v>53.195447995280141</v>
      </c>
      <c r="L351">
        <f t="shared" si="37"/>
        <v>0</v>
      </c>
      <c r="M351">
        <f t="shared" si="38"/>
        <v>0</v>
      </c>
      <c r="O351">
        <f>ETR!K351</f>
        <v>0</v>
      </c>
      <c r="P351">
        <f t="shared" si="39"/>
        <v>58.17907690221746</v>
      </c>
      <c r="Q351">
        <f t="shared" si="40"/>
        <v>0</v>
      </c>
      <c r="R351">
        <f t="shared" si="41"/>
        <v>0</v>
      </c>
    </row>
    <row r="352" spans="1:18" x14ac:dyDescent="0.35">
      <c r="A352" s="8">
        <f>ETR!A352</f>
        <v>42144</v>
      </c>
      <c r="B352">
        <f t="shared" si="35"/>
        <v>5</v>
      </c>
      <c r="C352">
        <f>Initialisation!$C$11</f>
        <v>68.40100000000001</v>
      </c>
      <c r="D352">
        <f>Initialisation!$C$12</f>
        <v>22.800333333333334</v>
      </c>
      <c r="E352">
        <v>0</v>
      </c>
      <c r="G352">
        <f>MeteoJ!C352</f>
        <v>0</v>
      </c>
      <c r="J352">
        <f>ETR!F352</f>
        <v>0</v>
      </c>
      <c r="K352">
        <f t="shared" si="36"/>
        <v>53.195447995280141</v>
      </c>
      <c r="L352">
        <f t="shared" si="37"/>
        <v>0</v>
      </c>
      <c r="M352">
        <f t="shared" si="38"/>
        <v>0</v>
      </c>
      <c r="O352">
        <f>ETR!K352</f>
        <v>0</v>
      </c>
      <c r="P352">
        <f t="shared" si="39"/>
        <v>58.17907690221746</v>
      </c>
      <c r="Q352">
        <f t="shared" si="40"/>
        <v>0</v>
      </c>
      <c r="R352">
        <f t="shared" si="41"/>
        <v>0</v>
      </c>
    </row>
    <row r="353" spans="1:18" x14ac:dyDescent="0.35">
      <c r="A353" s="8">
        <f>ETR!A353</f>
        <v>42144</v>
      </c>
      <c r="B353">
        <f t="shared" si="35"/>
        <v>5</v>
      </c>
      <c r="C353">
        <f>Initialisation!$C$11</f>
        <v>68.40100000000001</v>
      </c>
      <c r="D353">
        <f>Initialisation!$C$12</f>
        <v>22.800333333333334</v>
      </c>
      <c r="E353">
        <v>0</v>
      </c>
      <c r="G353">
        <f>MeteoJ!C353</f>
        <v>0</v>
      </c>
      <c r="J353">
        <f>ETR!F353</f>
        <v>0</v>
      </c>
      <c r="K353">
        <f t="shared" si="36"/>
        <v>53.195447995280141</v>
      </c>
      <c r="L353">
        <f t="shared" si="37"/>
        <v>0</v>
      </c>
      <c r="M353">
        <f t="shared" si="38"/>
        <v>0</v>
      </c>
      <c r="O353">
        <f>ETR!K353</f>
        <v>0</v>
      </c>
      <c r="P353">
        <f t="shared" si="39"/>
        <v>58.17907690221746</v>
      </c>
      <c r="Q353">
        <f t="shared" si="40"/>
        <v>0</v>
      </c>
      <c r="R353">
        <f t="shared" si="41"/>
        <v>0</v>
      </c>
    </row>
    <row r="354" spans="1:18" x14ac:dyDescent="0.35">
      <c r="A354" s="8">
        <f>ETR!A354</f>
        <v>42144</v>
      </c>
      <c r="B354">
        <f t="shared" si="35"/>
        <v>5</v>
      </c>
      <c r="C354">
        <f>Initialisation!$C$11</f>
        <v>68.40100000000001</v>
      </c>
      <c r="D354">
        <f>Initialisation!$C$12</f>
        <v>22.800333333333334</v>
      </c>
      <c r="E354">
        <v>0</v>
      </c>
      <c r="G354">
        <f>MeteoJ!C354</f>
        <v>0</v>
      </c>
      <c r="J354">
        <f>ETR!F354</f>
        <v>0</v>
      </c>
      <c r="K354">
        <f t="shared" si="36"/>
        <v>53.195447995280141</v>
      </c>
      <c r="L354">
        <f t="shared" si="37"/>
        <v>0</v>
      </c>
      <c r="M354">
        <f t="shared" si="38"/>
        <v>0</v>
      </c>
      <c r="O354">
        <f>ETR!K354</f>
        <v>0</v>
      </c>
      <c r="P354">
        <f t="shared" si="39"/>
        <v>58.17907690221746</v>
      </c>
      <c r="Q354">
        <f t="shared" si="40"/>
        <v>0</v>
      </c>
      <c r="R354">
        <f t="shared" si="41"/>
        <v>0</v>
      </c>
    </row>
    <row r="355" spans="1:18" x14ac:dyDescent="0.35">
      <c r="A355" s="8">
        <f>ETR!A355</f>
        <v>42144</v>
      </c>
      <c r="B355">
        <f t="shared" si="35"/>
        <v>5</v>
      </c>
      <c r="C355">
        <f>Initialisation!$C$11</f>
        <v>68.40100000000001</v>
      </c>
      <c r="D355">
        <f>Initialisation!$C$12</f>
        <v>22.800333333333334</v>
      </c>
      <c r="E355">
        <v>0</v>
      </c>
      <c r="G355">
        <f>MeteoJ!C355</f>
        <v>0</v>
      </c>
      <c r="J355">
        <f>ETR!F355</f>
        <v>0</v>
      </c>
      <c r="K355">
        <f t="shared" si="36"/>
        <v>53.195447995280141</v>
      </c>
      <c r="L355">
        <f t="shared" si="37"/>
        <v>0</v>
      </c>
      <c r="M355">
        <f t="shared" si="38"/>
        <v>0</v>
      </c>
      <c r="O355">
        <f>ETR!K355</f>
        <v>0</v>
      </c>
      <c r="P355">
        <f t="shared" si="39"/>
        <v>58.17907690221746</v>
      </c>
      <c r="Q355">
        <f t="shared" si="40"/>
        <v>0</v>
      </c>
      <c r="R355">
        <f t="shared" si="41"/>
        <v>0</v>
      </c>
    </row>
    <row r="356" spans="1:18" x14ac:dyDescent="0.35">
      <c r="A356" s="8">
        <f>ETR!A356</f>
        <v>42144</v>
      </c>
      <c r="B356">
        <f t="shared" si="35"/>
        <v>5</v>
      </c>
      <c r="C356">
        <f>Initialisation!$C$11</f>
        <v>68.40100000000001</v>
      </c>
      <c r="D356">
        <f>Initialisation!$C$12</f>
        <v>22.800333333333334</v>
      </c>
      <c r="E356">
        <v>0</v>
      </c>
      <c r="G356">
        <f>MeteoJ!C356</f>
        <v>0</v>
      </c>
      <c r="J356">
        <f>ETR!F356</f>
        <v>0</v>
      </c>
      <c r="K356">
        <f t="shared" si="36"/>
        <v>53.195447995280141</v>
      </c>
      <c r="L356">
        <f t="shared" si="37"/>
        <v>0</v>
      </c>
      <c r="M356">
        <f t="shared" si="38"/>
        <v>0</v>
      </c>
      <c r="O356">
        <f>ETR!K356</f>
        <v>0</v>
      </c>
      <c r="P356">
        <f t="shared" si="39"/>
        <v>58.17907690221746</v>
      </c>
      <c r="Q356">
        <f t="shared" si="40"/>
        <v>0</v>
      </c>
      <c r="R356">
        <f t="shared" si="41"/>
        <v>0</v>
      </c>
    </row>
    <row r="357" spans="1:18" x14ac:dyDescent="0.35">
      <c r="A357" s="8">
        <f>ETR!A357</f>
        <v>42144</v>
      </c>
      <c r="B357">
        <f t="shared" si="35"/>
        <v>5</v>
      </c>
      <c r="C357">
        <f>Initialisation!$C$11</f>
        <v>68.40100000000001</v>
      </c>
      <c r="D357">
        <f>Initialisation!$C$12</f>
        <v>22.800333333333334</v>
      </c>
      <c r="E357">
        <v>0</v>
      </c>
      <c r="G357">
        <f>MeteoJ!C357</f>
        <v>0</v>
      </c>
      <c r="J357">
        <f>ETR!F357</f>
        <v>0</v>
      </c>
      <c r="K357">
        <f t="shared" si="36"/>
        <v>53.195447995280141</v>
      </c>
      <c r="L357">
        <f t="shared" si="37"/>
        <v>0</v>
      </c>
      <c r="M357">
        <f t="shared" si="38"/>
        <v>0</v>
      </c>
      <c r="O357">
        <f>ETR!K357</f>
        <v>0</v>
      </c>
      <c r="P357">
        <f t="shared" si="39"/>
        <v>58.17907690221746</v>
      </c>
      <c r="Q357">
        <f t="shared" si="40"/>
        <v>0</v>
      </c>
      <c r="R357">
        <f t="shared" si="41"/>
        <v>0</v>
      </c>
    </row>
    <row r="358" spans="1:18" x14ac:dyDescent="0.35">
      <c r="A358" s="8">
        <f>ETR!A358</f>
        <v>42144</v>
      </c>
      <c r="B358">
        <f t="shared" si="35"/>
        <v>5</v>
      </c>
      <c r="C358">
        <f>Initialisation!$C$11</f>
        <v>68.40100000000001</v>
      </c>
      <c r="D358">
        <f>Initialisation!$C$12</f>
        <v>22.800333333333334</v>
      </c>
      <c r="E358">
        <v>0</v>
      </c>
      <c r="G358">
        <f>MeteoJ!C358</f>
        <v>0</v>
      </c>
      <c r="J358">
        <f>ETR!F358</f>
        <v>0</v>
      </c>
      <c r="K358">
        <f t="shared" si="36"/>
        <v>53.195447995280141</v>
      </c>
      <c r="L358">
        <f t="shared" si="37"/>
        <v>0</v>
      </c>
      <c r="M358">
        <f t="shared" si="38"/>
        <v>0</v>
      </c>
      <c r="O358">
        <f>ETR!K358</f>
        <v>0</v>
      </c>
      <c r="P358">
        <f t="shared" si="39"/>
        <v>58.17907690221746</v>
      </c>
      <c r="Q358">
        <f t="shared" si="40"/>
        <v>0</v>
      </c>
      <c r="R358">
        <f t="shared" si="41"/>
        <v>0</v>
      </c>
    </row>
    <row r="359" spans="1:18" x14ac:dyDescent="0.35">
      <c r="A359" s="8">
        <f>ETR!A359</f>
        <v>42144</v>
      </c>
      <c r="B359">
        <f t="shared" si="35"/>
        <v>5</v>
      </c>
      <c r="C359">
        <f>Initialisation!$C$11</f>
        <v>68.40100000000001</v>
      </c>
      <c r="D359">
        <f>Initialisation!$C$12</f>
        <v>22.800333333333334</v>
      </c>
      <c r="E359">
        <v>0</v>
      </c>
      <c r="G359">
        <f>MeteoJ!C359</f>
        <v>0</v>
      </c>
      <c r="J359">
        <f>ETR!F359</f>
        <v>0</v>
      </c>
      <c r="K359">
        <f t="shared" si="36"/>
        <v>53.195447995280141</v>
      </c>
      <c r="L359">
        <f t="shared" si="37"/>
        <v>0</v>
      </c>
      <c r="M359">
        <f t="shared" si="38"/>
        <v>0</v>
      </c>
      <c r="O359">
        <f>ETR!K359</f>
        <v>0</v>
      </c>
      <c r="P359">
        <f t="shared" si="39"/>
        <v>58.17907690221746</v>
      </c>
      <c r="Q359">
        <f t="shared" si="40"/>
        <v>0</v>
      </c>
      <c r="R359">
        <f t="shared" si="41"/>
        <v>0</v>
      </c>
    </row>
    <row r="360" spans="1:18" x14ac:dyDescent="0.35">
      <c r="A360" s="8">
        <f>ETR!A360</f>
        <v>42144</v>
      </c>
      <c r="B360">
        <f t="shared" si="35"/>
        <v>5</v>
      </c>
      <c r="C360">
        <f>Initialisation!$C$11</f>
        <v>68.40100000000001</v>
      </c>
      <c r="D360">
        <f>Initialisation!$C$12</f>
        <v>22.800333333333334</v>
      </c>
      <c r="E360">
        <v>0</v>
      </c>
      <c r="G360">
        <f>MeteoJ!C360</f>
        <v>0</v>
      </c>
      <c r="J360">
        <f>ETR!F360</f>
        <v>0</v>
      </c>
      <c r="K360">
        <f t="shared" si="36"/>
        <v>53.195447995280141</v>
      </c>
      <c r="L360">
        <f t="shared" si="37"/>
        <v>0</v>
      </c>
      <c r="M360">
        <f t="shared" si="38"/>
        <v>0</v>
      </c>
      <c r="O360">
        <f>ETR!K360</f>
        <v>0</v>
      </c>
      <c r="P360">
        <f t="shared" si="39"/>
        <v>58.17907690221746</v>
      </c>
      <c r="Q360">
        <f t="shared" si="40"/>
        <v>0</v>
      </c>
      <c r="R360">
        <f t="shared" si="41"/>
        <v>0</v>
      </c>
    </row>
    <row r="361" spans="1:18" x14ac:dyDescent="0.35">
      <c r="A361" s="8">
        <f>ETR!A361</f>
        <v>42144</v>
      </c>
      <c r="B361">
        <f t="shared" si="35"/>
        <v>5</v>
      </c>
      <c r="C361">
        <f>Initialisation!$C$11</f>
        <v>68.40100000000001</v>
      </c>
      <c r="D361">
        <f>Initialisation!$C$12</f>
        <v>22.800333333333334</v>
      </c>
      <c r="E361">
        <v>0</v>
      </c>
      <c r="G361">
        <f>MeteoJ!C361</f>
        <v>0</v>
      </c>
      <c r="J361">
        <f>ETR!F361</f>
        <v>0</v>
      </c>
      <c r="K361">
        <f t="shared" si="36"/>
        <v>53.195447995280141</v>
      </c>
      <c r="L361">
        <f t="shared" si="37"/>
        <v>0</v>
      </c>
      <c r="M361">
        <f t="shared" si="38"/>
        <v>0</v>
      </c>
      <c r="O361">
        <f>ETR!K361</f>
        <v>0</v>
      </c>
      <c r="P361">
        <f t="shared" si="39"/>
        <v>58.17907690221746</v>
      </c>
      <c r="Q361">
        <f t="shared" si="40"/>
        <v>0</v>
      </c>
      <c r="R361">
        <f t="shared" si="41"/>
        <v>0</v>
      </c>
    </row>
    <row r="362" spans="1:18" x14ac:dyDescent="0.35">
      <c r="A362" s="8">
        <f>ETR!A362</f>
        <v>42144</v>
      </c>
      <c r="B362">
        <f t="shared" si="35"/>
        <v>5</v>
      </c>
      <c r="C362">
        <f>Initialisation!$C$11</f>
        <v>68.40100000000001</v>
      </c>
      <c r="D362">
        <f>Initialisation!$C$12</f>
        <v>22.800333333333334</v>
      </c>
      <c r="E362">
        <v>0</v>
      </c>
      <c r="G362">
        <f>MeteoJ!C362</f>
        <v>0</v>
      </c>
      <c r="J362">
        <f>ETR!F362</f>
        <v>0</v>
      </c>
      <c r="K362">
        <f t="shared" si="36"/>
        <v>53.195447995280141</v>
      </c>
      <c r="L362">
        <f t="shared" si="37"/>
        <v>0</v>
      </c>
      <c r="M362">
        <f t="shared" si="38"/>
        <v>0</v>
      </c>
      <c r="O362">
        <f>ETR!K362</f>
        <v>0</v>
      </c>
      <c r="P362">
        <f t="shared" si="39"/>
        <v>58.17907690221746</v>
      </c>
      <c r="Q362">
        <f t="shared" si="40"/>
        <v>0</v>
      </c>
      <c r="R362">
        <f t="shared" si="41"/>
        <v>0</v>
      </c>
    </row>
    <row r="363" spans="1:18" x14ac:dyDescent="0.35">
      <c r="A363" s="8">
        <f>ETR!A363</f>
        <v>42144</v>
      </c>
      <c r="B363">
        <f t="shared" si="35"/>
        <v>5</v>
      </c>
      <c r="C363">
        <f>Initialisation!$C$11</f>
        <v>68.40100000000001</v>
      </c>
      <c r="D363">
        <f>Initialisation!$C$12</f>
        <v>22.800333333333334</v>
      </c>
      <c r="E363">
        <v>0</v>
      </c>
      <c r="G363">
        <f>MeteoJ!C363</f>
        <v>0</v>
      </c>
      <c r="J363">
        <f>ETR!F363</f>
        <v>0</v>
      </c>
      <c r="K363">
        <f t="shared" si="36"/>
        <v>53.195447995280141</v>
      </c>
      <c r="L363">
        <f t="shared" si="37"/>
        <v>0</v>
      </c>
      <c r="M363">
        <f t="shared" si="38"/>
        <v>0</v>
      </c>
      <c r="O363">
        <f>ETR!K363</f>
        <v>0</v>
      </c>
      <c r="P363">
        <f t="shared" si="39"/>
        <v>58.17907690221746</v>
      </c>
      <c r="Q363">
        <f t="shared" si="40"/>
        <v>0</v>
      </c>
      <c r="R363">
        <f t="shared" si="41"/>
        <v>0</v>
      </c>
    </row>
    <row r="364" spans="1:18" x14ac:dyDescent="0.35">
      <c r="A364" s="8">
        <f>ETR!A364</f>
        <v>42144</v>
      </c>
      <c r="B364">
        <f t="shared" si="35"/>
        <v>5</v>
      </c>
      <c r="C364">
        <f>Initialisation!$C$11</f>
        <v>68.40100000000001</v>
      </c>
      <c r="D364">
        <f>Initialisation!$C$12</f>
        <v>22.800333333333334</v>
      </c>
      <c r="E364">
        <v>0</v>
      </c>
      <c r="G364">
        <f>MeteoJ!C364</f>
        <v>0</v>
      </c>
      <c r="J364">
        <f>ETR!F364</f>
        <v>0</v>
      </c>
      <c r="K364">
        <f t="shared" si="36"/>
        <v>53.195447995280141</v>
      </c>
      <c r="L364">
        <f t="shared" si="37"/>
        <v>0</v>
      </c>
      <c r="M364">
        <f t="shared" si="38"/>
        <v>0</v>
      </c>
      <c r="O364">
        <f>ETR!K364</f>
        <v>0</v>
      </c>
      <c r="P364">
        <f t="shared" si="39"/>
        <v>58.17907690221746</v>
      </c>
      <c r="Q364">
        <f t="shared" si="40"/>
        <v>0</v>
      </c>
      <c r="R364">
        <f t="shared" si="41"/>
        <v>0</v>
      </c>
    </row>
    <row r="365" spans="1:18" x14ac:dyDescent="0.35">
      <c r="A365" s="8">
        <f>ETR!A365</f>
        <v>42144</v>
      </c>
      <c r="B365">
        <f t="shared" si="35"/>
        <v>5</v>
      </c>
      <c r="C365">
        <f>Initialisation!$C$11</f>
        <v>68.40100000000001</v>
      </c>
      <c r="D365">
        <f>Initialisation!$C$12</f>
        <v>22.800333333333334</v>
      </c>
      <c r="E365">
        <v>0</v>
      </c>
      <c r="G365">
        <f>MeteoJ!C365</f>
        <v>0</v>
      </c>
      <c r="J365">
        <f>ETR!F365</f>
        <v>0</v>
      </c>
      <c r="K365">
        <f t="shared" si="36"/>
        <v>53.195447995280141</v>
      </c>
      <c r="L365">
        <f t="shared" si="37"/>
        <v>0</v>
      </c>
      <c r="M365">
        <f t="shared" si="38"/>
        <v>0</v>
      </c>
      <c r="O365">
        <f>ETR!K365</f>
        <v>0</v>
      </c>
      <c r="P365">
        <f t="shared" si="39"/>
        <v>58.17907690221746</v>
      </c>
      <c r="Q365">
        <f t="shared" si="40"/>
        <v>0</v>
      </c>
      <c r="R365">
        <f t="shared" si="41"/>
        <v>0</v>
      </c>
    </row>
    <row r="366" spans="1:18" x14ac:dyDescent="0.35">
      <c r="A366" s="8">
        <f>ETR!A366</f>
        <v>42144</v>
      </c>
      <c r="B366">
        <f t="shared" si="35"/>
        <v>5</v>
      </c>
      <c r="C366">
        <f>Initialisation!$C$11</f>
        <v>68.40100000000001</v>
      </c>
      <c r="D366">
        <f>Initialisation!$C$12</f>
        <v>22.800333333333334</v>
      </c>
      <c r="E366">
        <v>0</v>
      </c>
      <c r="G366">
        <f>MeteoJ!C366</f>
        <v>0</v>
      </c>
      <c r="J366">
        <f>ETR!F366</f>
        <v>0</v>
      </c>
      <c r="K366">
        <f t="shared" si="36"/>
        <v>53.195447995280141</v>
      </c>
      <c r="L366">
        <f t="shared" si="37"/>
        <v>0</v>
      </c>
      <c r="M366">
        <f t="shared" si="38"/>
        <v>0</v>
      </c>
      <c r="O366">
        <f>ETR!K366</f>
        <v>0</v>
      </c>
      <c r="P366">
        <f t="shared" si="39"/>
        <v>58.17907690221746</v>
      </c>
      <c r="Q366">
        <f t="shared" si="40"/>
        <v>0</v>
      </c>
      <c r="R366">
        <f t="shared" si="41"/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0991E-3A00-4EC1-B2D2-D3B07229BD1F}">
  <sheetPr codeName="Feuil6">
    <tabColor theme="5"/>
  </sheetPr>
  <dimension ref="A1:G366"/>
  <sheetViews>
    <sheetView workbookViewId="0">
      <selection activeCell="J20" sqref="J20"/>
    </sheetView>
  </sheetViews>
  <sheetFormatPr baseColWidth="10" defaultColWidth="11.453125" defaultRowHeight="14.5" x14ac:dyDescent="0.35"/>
  <cols>
    <col min="1" max="1" width="20.1796875" bestFit="1" customWidth="1"/>
    <col min="2" max="2" width="18.54296875" customWidth="1"/>
  </cols>
  <sheetData>
    <row r="1" spans="1:7" x14ac:dyDescent="0.35">
      <c r="A1" t="s">
        <v>39</v>
      </c>
      <c r="B1" t="s">
        <v>86</v>
      </c>
      <c r="C1" t="s">
        <v>87</v>
      </c>
      <c r="D1" t="s">
        <v>90</v>
      </c>
      <c r="E1" t="s">
        <v>91</v>
      </c>
      <c r="F1" t="s">
        <v>93</v>
      </c>
      <c r="G1" t="s">
        <v>94</v>
      </c>
    </row>
    <row r="2" spans="1:7" x14ac:dyDescent="0.35">
      <c r="A2" s="8">
        <v>42215</v>
      </c>
      <c r="B2">
        <v>68.40100000000001</v>
      </c>
      <c r="C2">
        <v>22.800333333333334</v>
      </c>
      <c r="D2">
        <v>25.7504299125773</v>
      </c>
      <c r="E2">
        <v>0</v>
      </c>
      <c r="F2">
        <v>23.657902728123439</v>
      </c>
      <c r="G2">
        <v>0</v>
      </c>
    </row>
    <row r="3" spans="1:7" x14ac:dyDescent="0.35">
      <c r="A3" s="8">
        <v>42216</v>
      </c>
      <c r="B3">
        <v>68.40100000000001</v>
      </c>
      <c r="C3">
        <v>22.800333333333334</v>
      </c>
      <c r="D3">
        <v>20.660143640600111</v>
      </c>
      <c r="E3">
        <v>0</v>
      </c>
      <c r="F3">
        <v>19.840186118130273</v>
      </c>
      <c r="G3">
        <v>0</v>
      </c>
    </row>
    <row r="4" spans="1:7" x14ac:dyDescent="0.35">
      <c r="A4" s="8">
        <v>42217</v>
      </c>
      <c r="B4">
        <v>68.40100000000001</v>
      </c>
      <c r="C4">
        <v>22.800333333333334</v>
      </c>
      <c r="D4">
        <v>20.658833011967943</v>
      </c>
      <c r="E4">
        <v>0</v>
      </c>
      <c r="F4">
        <v>20.241080914597212</v>
      </c>
      <c r="G4">
        <v>0</v>
      </c>
    </row>
    <row r="5" spans="1:7" x14ac:dyDescent="0.35">
      <c r="A5" s="8">
        <v>42218</v>
      </c>
      <c r="B5">
        <v>68.40100000000001</v>
      </c>
      <c r="C5">
        <v>22.800333333333334</v>
      </c>
      <c r="D5">
        <v>16.834889561642395</v>
      </c>
      <c r="E5">
        <v>15.200222222222223</v>
      </c>
      <c r="F5">
        <v>17.177511805915348</v>
      </c>
      <c r="G5">
        <v>15.200222222222223</v>
      </c>
    </row>
    <row r="6" spans="1:7" x14ac:dyDescent="0.35">
      <c r="A6" s="8">
        <v>42219</v>
      </c>
      <c r="B6">
        <v>68.40100000000001</v>
      </c>
      <c r="C6">
        <v>22.800333333333334</v>
      </c>
      <c r="D6">
        <v>26.417223736729923</v>
      </c>
      <c r="E6">
        <v>0</v>
      </c>
      <c r="F6">
        <v>27.803654351404369</v>
      </c>
      <c r="G6">
        <v>0</v>
      </c>
    </row>
    <row r="7" spans="1:7" x14ac:dyDescent="0.35">
      <c r="A7" s="8">
        <v>42220</v>
      </c>
      <c r="B7">
        <v>68.40100000000001</v>
      </c>
      <c r="C7">
        <v>22.800333333333334</v>
      </c>
      <c r="D7">
        <v>31.554215627666022</v>
      </c>
      <c r="E7">
        <v>0</v>
      </c>
      <c r="F7">
        <v>33.636231266642874</v>
      </c>
      <c r="G7">
        <v>0</v>
      </c>
    </row>
    <row r="8" spans="1:7" x14ac:dyDescent="0.35">
      <c r="A8" s="8">
        <v>42221</v>
      </c>
      <c r="B8">
        <v>68.40100000000001</v>
      </c>
      <c r="C8">
        <v>22.800333333333334</v>
      </c>
      <c r="D8">
        <v>48.142806668258594</v>
      </c>
      <c r="E8">
        <v>0</v>
      </c>
      <c r="F8">
        <v>50.494366187414052</v>
      </c>
      <c r="G8">
        <v>0</v>
      </c>
    </row>
    <row r="9" spans="1:7" x14ac:dyDescent="0.35">
      <c r="A9" s="8">
        <v>42222</v>
      </c>
      <c r="B9">
        <v>68.40100000000001</v>
      </c>
      <c r="C9">
        <v>22.800333333333334</v>
      </c>
      <c r="D9">
        <v>44.604966513062799</v>
      </c>
      <c r="E9">
        <v>0</v>
      </c>
      <c r="F9">
        <v>47.608376777312344</v>
      </c>
      <c r="G9">
        <v>0</v>
      </c>
    </row>
    <row r="10" spans="1:7" x14ac:dyDescent="0.35">
      <c r="A10" s="8">
        <v>42223</v>
      </c>
      <c r="B10">
        <v>68.40100000000001</v>
      </c>
      <c r="C10">
        <v>22.800333333333334</v>
      </c>
      <c r="D10">
        <v>41.162085802509708</v>
      </c>
      <c r="E10">
        <v>0</v>
      </c>
      <c r="F10">
        <v>44.7989775135608</v>
      </c>
      <c r="G10">
        <v>0</v>
      </c>
    </row>
    <row r="11" spans="1:7" x14ac:dyDescent="0.35">
      <c r="A11" s="8">
        <v>42224</v>
      </c>
      <c r="B11">
        <v>68.40100000000001</v>
      </c>
      <c r="C11">
        <v>22.800333333333334</v>
      </c>
      <c r="D11">
        <v>38.685138648670161</v>
      </c>
      <c r="E11">
        <v>0</v>
      </c>
      <c r="F11">
        <v>42.802313293283071</v>
      </c>
      <c r="G11">
        <v>0</v>
      </c>
    </row>
    <row r="12" spans="1:7" x14ac:dyDescent="0.35">
      <c r="A12" s="8">
        <v>42225</v>
      </c>
      <c r="B12">
        <v>68.40100000000001</v>
      </c>
      <c r="C12">
        <v>22.800333333333334</v>
      </c>
      <c r="D12">
        <v>58.656724656739648</v>
      </c>
      <c r="E12">
        <v>0</v>
      </c>
      <c r="F12">
        <v>62.890060955145096</v>
      </c>
      <c r="G12">
        <v>0</v>
      </c>
    </row>
    <row r="13" spans="1:7" x14ac:dyDescent="0.35">
      <c r="A13" s="8">
        <v>42226</v>
      </c>
      <c r="B13">
        <v>68.40100000000001</v>
      </c>
      <c r="C13">
        <v>22.800333333333334</v>
      </c>
      <c r="D13">
        <v>60.772798964754301</v>
      </c>
      <c r="E13">
        <v>0</v>
      </c>
      <c r="F13">
        <v>65.212737745190012</v>
      </c>
      <c r="G13">
        <v>0</v>
      </c>
    </row>
    <row r="14" spans="1:7" x14ac:dyDescent="0.35">
      <c r="A14" s="8">
        <v>42227</v>
      </c>
      <c r="B14">
        <v>68.40100000000001</v>
      </c>
      <c r="C14">
        <v>22.800333333333334</v>
      </c>
      <c r="D14">
        <v>57.396545034365168</v>
      </c>
      <c r="E14">
        <v>0</v>
      </c>
      <c r="F14">
        <v>62.458770128569405</v>
      </c>
      <c r="G14">
        <v>0</v>
      </c>
    </row>
    <row r="15" spans="1:7" x14ac:dyDescent="0.35">
      <c r="A15" s="8">
        <v>42228</v>
      </c>
      <c r="B15">
        <v>68.40100000000001</v>
      </c>
      <c r="C15">
        <v>22.800333333333334</v>
      </c>
      <c r="D15">
        <v>53.867560967175834</v>
      </c>
      <c r="E15">
        <v>0</v>
      </c>
      <c r="F15">
        <v>59.579801107456078</v>
      </c>
      <c r="G15">
        <v>0</v>
      </c>
    </row>
    <row r="16" spans="1:7" x14ac:dyDescent="0.35">
      <c r="A16" s="8">
        <v>42229</v>
      </c>
      <c r="B16">
        <v>68.40100000000001</v>
      </c>
      <c r="C16">
        <v>22.800333333333334</v>
      </c>
      <c r="D16">
        <v>51.806079080943981</v>
      </c>
      <c r="E16">
        <v>0</v>
      </c>
      <c r="F16">
        <v>58.153061233998926</v>
      </c>
      <c r="G16">
        <v>0</v>
      </c>
    </row>
    <row r="17" spans="1:7" x14ac:dyDescent="0.35">
      <c r="A17" s="8">
        <v>42229</v>
      </c>
      <c r="B17">
        <v>68.40100000000001</v>
      </c>
      <c r="C17">
        <v>22.800333333333334</v>
      </c>
      <c r="D17">
        <v>51.806079080943981</v>
      </c>
      <c r="E17">
        <v>0</v>
      </c>
      <c r="F17">
        <v>58.153061233998926</v>
      </c>
      <c r="G17">
        <v>0</v>
      </c>
    </row>
    <row r="18" spans="1:7" x14ac:dyDescent="0.35">
      <c r="A18" s="8">
        <v>42229</v>
      </c>
      <c r="B18">
        <v>68.40100000000001</v>
      </c>
      <c r="C18">
        <v>22.800333333333334</v>
      </c>
      <c r="D18">
        <v>51.806079080943981</v>
      </c>
      <c r="E18">
        <v>0</v>
      </c>
      <c r="F18">
        <v>58.153061233998926</v>
      </c>
      <c r="G18">
        <v>0</v>
      </c>
    </row>
    <row r="19" spans="1:7" x14ac:dyDescent="0.35">
      <c r="A19" s="8">
        <v>42229</v>
      </c>
      <c r="B19">
        <v>68.40100000000001</v>
      </c>
      <c r="C19">
        <v>22.800333333333334</v>
      </c>
      <c r="D19">
        <v>51.806079080943981</v>
      </c>
      <c r="E19">
        <v>0</v>
      </c>
      <c r="F19">
        <v>58.153061233998926</v>
      </c>
      <c r="G19">
        <v>0</v>
      </c>
    </row>
    <row r="20" spans="1:7" x14ac:dyDescent="0.35">
      <c r="A20" s="8">
        <v>42229</v>
      </c>
      <c r="B20">
        <v>68.40100000000001</v>
      </c>
      <c r="C20">
        <v>22.800333333333334</v>
      </c>
      <c r="D20">
        <v>51.806079080943981</v>
      </c>
      <c r="E20">
        <v>0</v>
      </c>
      <c r="F20">
        <v>58.153061233998926</v>
      </c>
      <c r="G20">
        <v>0</v>
      </c>
    </row>
    <row r="21" spans="1:7" x14ac:dyDescent="0.35">
      <c r="A21" s="8">
        <v>42229</v>
      </c>
      <c r="B21">
        <v>68.40100000000001</v>
      </c>
      <c r="C21">
        <v>22.800333333333334</v>
      </c>
      <c r="D21">
        <v>51.806079080943981</v>
      </c>
      <c r="E21">
        <v>0</v>
      </c>
      <c r="F21">
        <v>58.153061233998926</v>
      </c>
      <c r="G21">
        <v>0</v>
      </c>
    </row>
    <row r="22" spans="1:7" x14ac:dyDescent="0.35">
      <c r="A22" s="8">
        <v>42229</v>
      </c>
      <c r="B22">
        <v>68.40100000000001</v>
      </c>
      <c r="C22">
        <v>22.800333333333334</v>
      </c>
      <c r="D22">
        <v>51.806079080943981</v>
      </c>
      <c r="E22">
        <v>0</v>
      </c>
      <c r="F22">
        <v>58.153061233998926</v>
      </c>
      <c r="G22">
        <v>0</v>
      </c>
    </row>
    <row r="23" spans="1:7" x14ac:dyDescent="0.35">
      <c r="A23" s="8">
        <v>42229</v>
      </c>
      <c r="B23">
        <v>68.40100000000001</v>
      </c>
      <c r="C23">
        <v>22.800333333333334</v>
      </c>
      <c r="D23">
        <v>51.806079080943981</v>
      </c>
      <c r="E23">
        <v>0</v>
      </c>
      <c r="F23">
        <v>58.153061233998926</v>
      </c>
      <c r="G23">
        <v>0</v>
      </c>
    </row>
    <row r="24" spans="1:7" x14ac:dyDescent="0.35">
      <c r="A24" s="8">
        <v>42229</v>
      </c>
      <c r="B24">
        <v>68.40100000000001</v>
      </c>
      <c r="C24">
        <v>22.800333333333334</v>
      </c>
      <c r="D24">
        <v>51.806079080943981</v>
      </c>
      <c r="E24">
        <v>0</v>
      </c>
      <c r="F24">
        <v>58.153061233998926</v>
      </c>
      <c r="G24">
        <v>0</v>
      </c>
    </row>
    <row r="25" spans="1:7" x14ac:dyDescent="0.35">
      <c r="A25" s="8">
        <v>42229</v>
      </c>
      <c r="B25">
        <v>68.40100000000001</v>
      </c>
      <c r="C25">
        <v>22.800333333333334</v>
      </c>
      <c r="D25">
        <v>51.806079080943981</v>
      </c>
      <c r="E25">
        <v>0</v>
      </c>
      <c r="F25">
        <v>58.153061233998926</v>
      </c>
      <c r="G25">
        <v>0</v>
      </c>
    </row>
    <row r="26" spans="1:7" x14ac:dyDescent="0.35">
      <c r="A26" s="8">
        <v>42229</v>
      </c>
      <c r="B26">
        <v>68.40100000000001</v>
      </c>
      <c r="C26">
        <v>22.800333333333334</v>
      </c>
      <c r="D26">
        <v>51.806079080943981</v>
      </c>
      <c r="E26">
        <v>0</v>
      </c>
      <c r="F26">
        <v>58.153061233998926</v>
      </c>
      <c r="G26">
        <v>0</v>
      </c>
    </row>
    <row r="27" spans="1:7" x14ac:dyDescent="0.35">
      <c r="A27" s="8">
        <v>42229</v>
      </c>
      <c r="B27">
        <v>68.40100000000001</v>
      </c>
      <c r="C27">
        <v>22.800333333333334</v>
      </c>
      <c r="D27">
        <v>51.806079080943981</v>
      </c>
      <c r="E27">
        <v>0</v>
      </c>
      <c r="F27">
        <v>58.153061233998926</v>
      </c>
      <c r="G27">
        <v>0</v>
      </c>
    </row>
    <row r="28" spans="1:7" x14ac:dyDescent="0.35">
      <c r="A28" s="8">
        <v>42229</v>
      </c>
      <c r="B28">
        <v>68.40100000000001</v>
      </c>
      <c r="C28">
        <v>22.800333333333334</v>
      </c>
      <c r="D28">
        <v>51.806079080943981</v>
      </c>
      <c r="E28">
        <v>0</v>
      </c>
      <c r="F28">
        <v>58.153061233998926</v>
      </c>
      <c r="G28">
        <v>0</v>
      </c>
    </row>
    <row r="29" spans="1:7" x14ac:dyDescent="0.35">
      <c r="A29" s="8">
        <v>42229</v>
      </c>
      <c r="B29">
        <v>68.40100000000001</v>
      </c>
      <c r="C29">
        <v>22.800333333333334</v>
      </c>
      <c r="D29">
        <v>51.806079080943981</v>
      </c>
      <c r="E29">
        <v>0</v>
      </c>
      <c r="F29">
        <v>58.153061233998926</v>
      </c>
      <c r="G29">
        <v>0</v>
      </c>
    </row>
    <row r="30" spans="1:7" x14ac:dyDescent="0.35">
      <c r="A30" s="8">
        <v>42229</v>
      </c>
      <c r="B30">
        <v>68.40100000000001</v>
      </c>
      <c r="C30">
        <v>22.800333333333334</v>
      </c>
      <c r="D30">
        <v>51.806079080943981</v>
      </c>
      <c r="E30">
        <v>0</v>
      </c>
      <c r="F30">
        <v>58.153061233998926</v>
      </c>
      <c r="G30">
        <v>0</v>
      </c>
    </row>
    <row r="31" spans="1:7" x14ac:dyDescent="0.35">
      <c r="A31" s="8">
        <v>42229</v>
      </c>
      <c r="B31">
        <v>68.40100000000001</v>
      </c>
      <c r="C31">
        <v>22.800333333333334</v>
      </c>
      <c r="D31">
        <v>51.806079080943981</v>
      </c>
      <c r="E31">
        <v>0</v>
      </c>
      <c r="F31">
        <v>58.153061233998926</v>
      </c>
      <c r="G31">
        <v>0</v>
      </c>
    </row>
    <row r="32" spans="1:7" x14ac:dyDescent="0.35">
      <c r="A32" s="8">
        <v>42229</v>
      </c>
      <c r="B32">
        <v>68.40100000000001</v>
      </c>
      <c r="C32">
        <v>22.800333333333334</v>
      </c>
      <c r="D32">
        <v>51.806079080943981</v>
      </c>
      <c r="E32">
        <v>0</v>
      </c>
      <c r="F32">
        <v>58.153061233998926</v>
      </c>
      <c r="G32">
        <v>0</v>
      </c>
    </row>
    <row r="33" spans="1:7" x14ac:dyDescent="0.35">
      <c r="A33" s="8">
        <v>42229</v>
      </c>
      <c r="B33">
        <v>68.40100000000001</v>
      </c>
      <c r="C33">
        <v>22.800333333333334</v>
      </c>
      <c r="D33">
        <v>51.806079080943981</v>
      </c>
      <c r="E33">
        <v>0</v>
      </c>
      <c r="F33">
        <v>58.153061233998926</v>
      </c>
      <c r="G33">
        <v>0</v>
      </c>
    </row>
    <row r="34" spans="1:7" x14ac:dyDescent="0.35">
      <c r="A34" s="8">
        <v>42229</v>
      </c>
      <c r="B34">
        <v>68.40100000000001</v>
      </c>
      <c r="C34">
        <v>22.800333333333334</v>
      </c>
      <c r="D34">
        <v>51.806079080943981</v>
      </c>
      <c r="E34">
        <v>0</v>
      </c>
      <c r="F34">
        <v>58.153061233998926</v>
      </c>
      <c r="G34">
        <v>0</v>
      </c>
    </row>
    <row r="35" spans="1:7" x14ac:dyDescent="0.35">
      <c r="A35" s="8">
        <v>42229</v>
      </c>
      <c r="B35">
        <v>68.40100000000001</v>
      </c>
      <c r="C35">
        <v>22.800333333333334</v>
      </c>
      <c r="D35">
        <v>51.806079080943981</v>
      </c>
      <c r="E35">
        <v>0</v>
      </c>
      <c r="F35">
        <v>58.153061233998926</v>
      </c>
      <c r="G35">
        <v>0</v>
      </c>
    </row>
    <row r="36" spans="1:7" x14ac:dyDescent="0.35">
      <c r="A36" s="8">
        <v>42229</v>
      </c>
      <c r="B36">
        <v>68.40100000000001</v>
      </c>
      <c r="C36">
        <v>22.800333333333334</v>
      </c>
      <c r="D36">
        <v>51.806079080943981</v>
      </c>
      <c r="E36">
        <v>0</v>
      </c>
      <c r="F36">
        <v>58.153061233998926</v>
      </c>
      <c r="G36">
        <v>0</v>
      </c>
    </row>
    <row r="37" spans="1:7" x14ac:dyDescent="0.35">
      <c r="A37" s="8">
        <v>42229</v>
      </c>
      <c r="B37">
        <v>68.40100000000001</v>
      </c>
      <c r="C37">
        <v>22.800333333333334</v>
      </c>
      <c r="D37">
        <v>51.806079080943981</v>
      </c>
      <c r="E37">
        <v>0</v>
      </c>
      <c r="F37">
        <v>58.153061233998926</v>
      </c>
      <c r="G37">
        <v>0</v>
      </c>
    </row>
    <row r="38" spans="1:7" x14ac:dyDescent="0.35">
      <c r="A38" s="8">
        <v>42229</v>
      </c>
      <c r="B38">
        <v>68.40100000000001</v>
      </c>
      <c r="C38">
        <v>22.800333333333334</v>
      </c>
      <c r="D38">
        <v>51.806079080943981</v>
      </c>
      <c r="E38">
        <v>0</v>
      </c>
      <c r="F38">
        <v>58.153061233998926</v>
      </c>
      <c r="G38">
        <v>0</v>
      </c>
    </row>
    <row r="39" spans="1:7" x14ac:dyDescent="0.35">
      <c r="A39" s="8">
        <v>42229</v>
      </c>
      <c r="B39">
        <v>68.40100000000001</v>
      </c>
      <c r="C39">
        <v>22.800333333333334</v>
      </c>
      <c r="D39">
        <v>51.806079080943981</v>
      </c>
      <c r="E39">
        <v>0</v>
      </c>
      <c r="F39">
        <v>58.153061233998926</v>
      </c>
      <c r="G39">
        <v>0</v>
      </c>
    </row>
    <row r="40" spans="1:7" x14ac:dyDescent="0.35">
      <c r="A40" s="8">
        <v>42229</v>
      </c>
      <c r="B40">
        <v>68.40100000000001</v>
      </c>
      <c r="C40">
        <v>22.800333333333334</v>
      </c>
      <c r="D40">
        <v>51.806079080943981</v>
      </c>
      <c r="E40">
        <v>0</v>
      </c>
      <c r="F40">
        <v>58.153061233998926</v>
      </c>
      <c r="G40">
        <v>0</v>
      </c>
    </row>
    <row r="41" spans="1:7" x14ac:dyDescent="0.35">
      <c r="A41" s="8">
        <v>42229</v>
      </c>
      <c r="B41">
        <v>68.40100000000001</v>
      </c>
      <c r="C41">
        <v>22.800333333333334</v>
      </c>
      <c r="D41">
        <v>51.806079080943981</v>
      </c>
      <c r="E41">
        <v>0</v>
      </c>
      <c r="F41">
        <v>58.153061233998926</v>
      </c>
      <c r="G41">
        <v>0</v>
      </c>
    </row>
    <row r="42" spans="1:7" x14ac:dyDescent="0.35">
      <c r="A42" s="8">
        <v>42229</v>
      </c>
      <c r="B42">
        <v>68.40100000000001</v>
      </c>
      <c r="C42">
        <v>22.800333333333334</v>
      </c>
      <c r="D42">
        <v>51.806079080943981</v>
      </c>
      <c r="E42">
        <v>0</v>
      </c>
      <c r="F42">
        <v>58.153061233998926</v>
      </c>
      <c r="G42">
        <v>0</v>
      </c>
    </row>
    <row r="43" spans="1:7" x14ac:dyDescent="0.35">
      <c r="A43" s="8">
        <v>42229</v>
      </c>
      <c r="B43">
        <v>68.40100000000001</v>
      </c>
      <c r="C43">
        <v>22.800333333333334</v>
      </c>
      <c r="D43">
        <v>51.806079080943981</v>
      </c>
      <c r="E43">
        <v>0</v>
      </c>
      <c r="F43">
        <v>58.153061233998926</v>
      </c>
      <c r="G43">
        <v>0</v>
      </c>
    </row>
    <row r="44" spans="1:7" x14ac:dyDescent="0.35">
      <c r="A44" s="8">
        <v>42229</v>
      </c>
      <c r="B44">
        <v>68.40100000000001</v>
      </c>
      <c r="C44">
        <v>22.800333333333334</v>
      </c>
      <c r="D44">
        <v>51.806079080943981</v>
      </c>
      <c r="E44">
        <v>0</v>
      </c>
      <c r="F44">
        <v>58.153061233998926</v>
      </c>
      <c r="G44">
        <v>0</v>
      </c>
    </row>
    <row r="45" spans="1:7" x14ac:dyDescent="0.35">
      <c r="A45" s="8">
        <v>42229</v>
      </c>
      <c r="B45">
        <v>68.40100000000001</v>
      </c>
      <c r="C45">
        <v>22.800333333333334</v>
      </c>
      <c r="D45">
        <v>51.806079080943981</v>
      </c>
      <c r="E45">
        <v>0</v>
      </c>
      <c r="F45">
        <v>58.153061233998926</v>
      </c>
      <c r="G45">
        <v>0</v>
      </c>
    </row>
    <row r="46" spans="1:7" x14ac:dyDescent="0.35">
      <c r="A46" s="8">
        <v>42229</v>
      </c>
      <c r="B46">
        <v>68.40100000000001</v>
      </c>
      <c r="C46">
        <v>22.800333333333334</v>
      </c>
      <c r="D46">
        <v>51.806079080943981</v>
      </c>
      <c r="E46">
        <v>0</v>
      </c>
      <c r="F46">
        <v>58.153061233998926</v>
      </c>
      <c r="G46">
        <v>0</v>
      </c>
    </row>
    <row r="47" spans="1:7" x14ac:dyDescent="0.35">
      <c r="A47" s="8">
        <v>42229</v>
      </c>
      <c r="B47">
        <v>68.40100000000001</v>
      </c>
      <c r="C47">
        <v>22.800333333333334</v>
      </c>
      <c r="D47">
        <v>51.806079080943981</v>
      </c>
      <c r="E47">
        <v>0</v>
      </c>
      <c r="F47">
        <v>58.153061233998926</v>
      </c>
      <c r="G47">
        <v>0</v>
      </c>
    </row>
    <row r="48" spans="1:7" x14ac:dyDescent="0.35">
      <c r="A48" s="8">
        <v>42229</v>
      </c>
      <c r="B48">
        <v>68.40100000000001</v>
      </c>
      <c r="C48">
        <v>22.800333333333334</v>
      </c>
      <c r="D48">
        <v>51.806079080943981</v>
      </c>
      <c r="E48">
        <v>0</v>
      </c>
      <c r="F48">
        <v>58.153061233998926</v>
      </c>
      <c r="G48">
        <v>0</v>
      </c>
    </row>
    <row r="49" spans="1:7" x14ac:dyDescent="0.35">
      <c r="A49" s="8">
        <v>42229</v>
      </c>
      <c r="B49">
        <v>68.40100000000001</v>
      </c>
      <c r="C49">
        <v>22.800333333333334</v>
      </c>
      <c r="D49">
        <v>51.806079080943981</v>
      </c>
      <c r="E49">
        <v>0</v>
      </c>
      <c r="F49">
        <v>58.153061233998926</v>
      </c>
      <c r="G49">
        <v>0</v>
      </c>
    </row>
    <row r="50" spans="1:7" x14ac:dyDescent="0.35">
      <c r="A50" s="8">
        <v>42229</v>
      </c>
      <c r="B50">
        <v>68.40100000000001</v>
      </c>
      <c r="C50">
        <v>22.800333333333334</v>
      </c>
      <c r="D50">
        <v>51.806079080943981</v>
      </c>
      <c r="E50">
        <v>0</v>
      </c>
      <c r="F50">
        <v>58.153061233998926</v>
      </c>
      <c r="G50">
        <v>0</v>
      </c>
    </row>
    <row r="51" spans="1:7" x14ac:dyDescent="0.35">
      <c r="A51" s="8">
        <v>42229</v>
      </c>
      <c r="B51">
        <v>68.40100000000001</v>
      </c>
      <c r="C51">
        <v>22.800333333333334</v>
      </c>
      <c r="D51">
        <v>51.806079080943981</v>
      </c>
      <c r="E51">
        <v>0</v>
      </c>
      <c r="F51">
        <v>58.153061233998926</v>
      </c>
      <c r="G51">
        <v>0</v>
      </c>
    </row>
    <row r="52" spans="1:7" x14ac:dyDescent="0.35">
      <c r="A52" s="8">
        <v>42229</v>
      </c>
      <c r="B52">
        <v>68.40100000000001</v>
      </c>
      <c r="C52">
        <v>22.800333333333334</v>
      </c>
      <c r="D52">
        <v>51.806079080943981</v>
      </c>
      <c r="E52">
        <v>0</v>
      </c>
      <c r="F52">
        <v>58.153061233998926</v>
      </c>
      <c r="G52">
        <v>0</v>
      </c>
    </row>
    <row r="53" spans="1:7" x14ac:dyDescent="0.35">
      <c r="A53" s="8">
        <v>42229</v>
      </c>
      <c r="B53">
        <v>68.40100000000001</v>
      </c>
      <c r="C53">
        <v>22.800333333333334</v>
      </c>
      <c r="D53">
        <v>51.806079080943981</v>
      </c>
      <c r="E53">
        <v>0</v>
      </c>
      <c r="F53">
        <v>58.153061233998926</v>
      </c>
      <c r="G53">
        <v>0</v>
      </c>
    </row>
    <row r="54" spans="1:7" x14ac:dyDescent="0.35">
      <c r="A54" s="8">
        <v>42229</v>
      </c>
      <c r="B54">
        <v>68.40100000000001</v>
      </c>
      <c r="C54">
        <v>22.800333333333334</v>
      </c>
      <c r="D54">
        <v>51.806079080943981</v>
      </c>
      <c r="E54">
        <v>0</v>
      </c>
      <c r="F54">
        <v>58.153061233998926</v>
      </c>
      <c r="G54">
        <v>0</v>
      </c>
    </row>
    <row r="55" spans="1:7" x14ac:dyDescent="0.35">
      <c r="A55" s="8">
        <v>42229</v>
      </c>
      <c r="B55">
        <v>68.40100000000001</v>
      </c>
      <c r="C55">
        <v>22.800333333333334</v>
      </c>
      <c r="D55">
        <v>51.806079080943981</v>
      </c>
      <c r="E55">
        <v>0</v>
      </c>
      <c r="F55">
        <v>58.153061233998926</v>
      </c>
      <c r="G55">
        <v>0</v>
      </c>
    </row>
    <row r="56" spans="1:7" x14ac:dyDescent="0.35">
      <c r="A56" s="8">
        <v>42229</v>
      </c>
      <c r="B56">
        <v>68.40100000000001</v>
      </c>
      <c r="C56">
        <v>22.800333333333334</v>
      </c>
      <c r="D56">
        <v>51.806079080943981</v>
      </c>
      <c r="E56">
        <v>0</v>
      </c>
      <c r="F56">
        <v>58.153061233998926</v>
      </c>
      <c r="G56">
        <v>0</v>
      </c>
    </row>
    <row r="57" spans="1:7" x14ac:dyDescent="0.35">
      <c r="A57" s="8">
        <v>42229</v>
      </c>
      <c r="B57">
        <v>68.40100000000001</v>
      </c>
      <c r="C57">
        <v>22.800333333333334</v>
      </c>
      <c r="D57">
        <v>51.806079080943981</v>
      </c>
      <c r="E57">
        <v>0</v>
      </c>
      <c r="F57">
        <v>58.153061233998926</v>
      </c>
      <c r="G57">
        <v>0</v>
      </c>
    </row>
    <row r="58" spans="1:7" x14ac:dyDescent="0.35">
      <c r="A58" s="8">
        <v>42229</v>
      </c>
      <c r="B58">
        <v>68.40100000000001</v>
      </c>
      <c r="C58">
        <v>22.800333333333334</v>
      </c>
      <c r="D58">
        <v>51.806079080943981</v>
      </c>
      <c r="E58">
        <v>0</v>
      </c>
      <c r="F58">
        <v>58.153061233998926</v>
      </c>
      <c r="G58">
        <v>0</v>
      </c>
    </row>
    <row r="59" spans="1:7" x14ac:dyDescent="0.35">
      <c r="A59" s="8">
        <v>42229</v>
      </c>
      <c r="B59">
        <v>68.40100000000001</v>
      </c>
      <c r="C59">
        <v>22.800333333333334</v>
      </c>
      <c r="D59">
        <v>51.806079080943981</v>
      </c>
      <c r="E59">
        <v>0</v>
      </c>
      <c r="F59">
        <v>58.153061233998926</v>
      </c>
      <c r="G59">
        <v>0</v>
      </c>
    </row>
    <row r="60" spans="1:7" x14ac:dyDescent="0.35">
      <c r="A60" s="8">
        <v>42229</v>
      </c>
      <c r="B60">
        <v>68.40100000000001</v>
      </c>
      <c r="C60">
        <v>22.800333333333334</v>
      </c>
      <c r="D60">
        <v>51.806079080943981</v>
      </c>
      <c r="E60">
        <v>0</v>
      </c>
      <c r="F60">
        <v>58.153061233998926</v>
      </c>
      <c r="G60">
        <v>0</v>
      </c>
    </row>
    <row r="61" spans="1:7" x14ac:dyDescent="0.35">
      <c r="A61" s="8">
        <v>42229</v>
      </c>
      <c r="B61">
        <v>68.40100000000001</v>
      </c>
      <c r="C61">
        <v>22.800333333333334</v>
      </c>
      <c r="D61">
        <v>51.806079080943981</v>
      </c>
      <c r="E61">
        <v>0</v>
      </c>
      <c r="F61">
        <v>58.153061233998926</v>
      </c>
      <c r="G61">
        <v>0</v>
      </c>
    </row>
    <row r="62" spans="1:7" x14ac:dyDescent="0.35">
      <c r="A62" s="8">
        <v>42229</v>
      </c>
      <c r="B62">
        <v>68.40100000000001</v>
      </c>
      <c r="C62">
        <v>22.800333333333334</v>
      </c>
      <c r="D62">
        <v>51.806079080943981</v>
      </c>
      <c r="E62">
        <v>0</v>
      </c>
      <c r="F62">
        <v>58.153061233998926</v>
      </c>
      <c r="G62">
        <v>0</v>
      </c>
    </row>
    <row r="63" spans="1:7" x14ac:dyDescent="0.35">
      <c r="A63" s="8">
        <v>42229</v>
      </c>
      <c r="B63">
        <v>68.40100000000001</v>
      </c>
      <c r="C63">
        <v>22.800333333333334</v>
      </c>
      <c r="D63">
        <v>51.806079080943981</v>
      </c>
      <c r="E63">
        <v>0</v>
      </c>
      <c r="F63">
        <v>58.153061233998926</v>
      </c>
      <c r="G63">
        <v>0</v>
      </c>
    </row>
    <row r="64" spans="1:7" x14ac:dyDescent="0.35">
      <c r="A64" s="8">
        <v>42229</v>
      </c>
      <c r="B64">
        <v>68.40100000000001</v>
      </c>
      <c r="C64">
        <v>22.800333333333334</v>
      </c>
      <c r="D64">
        <v>51.806079080943981</v>
      </c>
      <c r="E64">
        <v>0</v>
      </c>
      <c r="F64">
        <v>58.153061233998926</v>
      </c>
      <c r="G64">
        <v>0</v>
      </c>
    </row>
    <row r="65" spans="1:7" x14ac:dyDescent="0.35">
      <c r="A65" s="8">
        <v>42229</v>
      </c>
      <c r="B65">
        <v>68.40100000000001</v>
      </c>
      <c r="C65">
        <v>22.800333333333334</v>
      </c>
      <c r="D65">
        <v>51.806079080943981</v>
      </c>
      <c r="E65">
        <v>0</v>
      </c>
      <c r="F65">
        <v>58.153061233998926</v>
      </c>
      <c r="G65">
        <v>0</v>
      </c>
    </row>
    <row r="66" spans="1:7" x14ac:dyDescent="0.35">
      <c r="A66" s="8">
        <v>42229</v>
      </c>
      <c r="B66">
        <v>68.40100000000001</v>
      </c>
      <c r="C66">
        <v>22.800333333333334</v>
      </c>
      <c r="D66">
        <v>51.806079080943981</v>
      </c>
      <c r="E66">
        <v>0</v>
      </c>
      <c r="F66">
        <v>58.153061233998926</v>
      </c>
      <c r="G66">
        <v>0</v>
      </c>
    </row>
    <row r="67" spans="1:7" x14ac:dyDescent="0.35">
      <c r="A67" s="8">
        <v>42229</v>
      </c>
      <c r="B67">
        <v>68.40100000000001</v>
      </c>
      <c r="C67">
        <v>22.800333333333334</v>
      </c>
      <c r="D67">
        <v>51.806079080943981</v>
      </c>
      <c r="E67">
        <v>0</v>
      </c>
      <c r="F67">
        <v>58.153061233998926</v>
      </c>
      <c r="G67">
        <v>0</v>
      </c>
    </row>
    <row r="68" spans="1:7" x14ac:dyDescent="0.35">
      <c r="A68" s="8">
        <v>42229</v>
      </c>
      <c r="B68">
        <v>68.40100000000001</v>
      </c>
      <c r="C68">
        <v>22.800333333333334</v>
      </c>
      <c r="D68">
        <v>51.806079080943981</v>
      </c>
      <c r="E68">
        <v>0</v>
      </c>
      <c r="F68">
        <v>58.153061233998926</v>
      </c>
      <c r="G68">
        <v>0</v>
      </c>
    </row>
    <row r="69" spans="1:7" x14ac:dyDescent="0.35">
      <c r="A69" s="8">
        <v>42229</v>
      </c>
      <c r="B69">
        <v>68.40100000000001</v>
      </c>
      <c r="C69">
        <v>22.800333333333334</v>
      </c>
      <c r="D69">
        <v>51.806079080943981</v>
      </c>
      <c r="E69">
        <v>0</v>
      </c>
      <c r="F69">
        <v>58.153061233998926</v>
      </c>
      <c r="G69">
        <v>0</v>
      </c>
    </row>
    <row r="70" spans="1:7" x14ac:dyDescent="0.35">
      <c r="A70" s="8">
        <v>42229</v>
      </c>
      <c r="B70">
        <v>68.40100000000001</v>
      </c>
      <c r="C70">
        <v>22.800333333333334</v>
      </c>
      <c r="D70">
        <v>51.806079080943981</v>
      </c>
      <c r="E70">
        <v>0</v>
      </c>
      <c r="F70">
        <v>58.153061233998926</v>
      </c>
      <c r="G70">
        <v>0</v>
      </c>
    </row>
    <row r="71" spans="1:7" x14ac:dyDescent="0.35">
      <c r="A71" s="8">
        <v>42229</v>
      </c>
      <c r="B71">
        <v>68.40100000000001</v>
      </c>
      <c r="C71">
        <v>22.800333333333334</v>
      </c>
      <c r="D71">
        <v>51.806079080943981</v>
      </c>
      <c r="E71">
        <v>0</v>
      </c>
      <c r="F71">
        <v>58.153061233998926</v>
      </c>
      <c r="G71">
        <v>0</v>
      </c>
    </row>
    <row r="72" spans="1:7" x14ac:dyDescent="0.35">
      <c r="A72" s="8">
        <v>42229</v>
      </c>
      <c r="B72">
        <v>68.40100000000001</v>
      </c>
      <c r="C72">
        <v>22.800333333333334</v>
      </c>
      <c r="D72">
        <v>51.806079080943981</v>
      </c>
      <c r="E72">
        <v>0</v>
      </c>
      <c r="F72">
        <v>58.153061233998926</v>
      </c>
      <c r="G72">
        <v>0</v>
      </c>
    </row>
    <row r="73" spans="1:7" x14ac:dyDescent="0.35">
      <c r="A73" s="8">
        <v>42229</v>
      </c>
      <c r="B73">
        <v>68.40100000000001</v>
      </c>
      <c r="C73">
        <v>22.800333333333334</v>
      </c>
      <c r="D73">
        <v>51.806079080943981</v>
      </c>
      <c r="E73">
        <v>0</v>
      </c>
      <c r="F73">
        <v>58.153061233998926</v>
      </c>
      <c r="G73">
        <v>0</v>
      </c>
    </row>
    <row r="74" spans="1:7" x14ac:dyDescent="0.35">
      <c r="A74" s="8">
        <v>42229</v>
      </c>
      <c r="B74">
        <v>68.40100000000001</v>
      </c>
      <c r="C74">
        <v>22.800333333333334</v>
      </c>
      <c r="D74">
        <v>51.806079080943981</v>
      </c>
      <c r="E74">
        <v>0</v>
      </c>
      <c r="F74">
        <v>58.153061233998926</v>
      </c>
      <c r="G74">
        <v>0</v>
      </c>
    </row>
    <row r="75" spans="1:7" x14ac:dyDescent="0.35">
      <c r="A75" s="8">
        <v>42229</v>
      </c>
      <c r="B75">
        <v>68.40100000000001</v>
      </c>
      <c r="C75">
        <v>22.800333333333334</v>
      </c>
      <c r="D75">
        <v>51.806079080943981</v>
      </c>
      <c r="E75">
        <v>0</v>
      </c>
      <c r="F75">
        <v>58.153061233998926</v>
      </c>
      <c r="G75">
        <v>0</v>
      </c>
    </row>
    <row r="76" spans="1:7" x14ac:dyDescent="0.35">
      <c r="A76" s="8">
        <v>42229</v>
      </c>
      <c r="B76">
        <v>68.40100000000001</v>
      </c>
      <c r="C76">
        <v>22.800333333333334</v>
      </c>
      <c r="D76">
        <v>51.806079080943981</v>
      </c>
      <c r="E76">
        <v>0</v>
      </c>
      <c r="F76">
        <v>58.153061233998926</v>
      </c>
      <c r="G76">
        <v>0</v>
      </c>
    </row>
    <row r="77" spans="1:7" x14ac:dyDescent="0.35">
      <c r="A77" s="8">
        <v>42229</v>
      </c>
      <c r="B77">
        <v>68.40100000000001</v>
      </c>
      <c r="C77">
        <v>22.800333333333334</v>
      </c>
      <c r="D77">
        <v>51.806079080943981</v>
      </c>
      <c r="E77">
        <v>0</v>
      </c>
      <c r="F77">
        <v>58.153061233998926</v>
      </c>
      <c r="G77">
        <v>0</v>
      </c>
    </row>
    <row r="78" spans="1:7" x14ac:dyDescent="0.35">
      <c r="A78" s="8">
        <v>42229</v>
      </c>
      <c r="B78">
        <v>68.40100000000001</v>
      </c>
      <c r="C78">
        <v>22.800333333333334</v>
      </c>
      <c r="D78">
        <v>51.806079080943981</v>
      </c>
      <c r="E78">
        <v>0</v>
      </c>
      <c r="F78">
        <v>58.153061233998926</v>
      </c>
      <c r="G78">
        <v>0</v>
      </c>
    </row>
    <row r="79" spans="1:7" x14ac:dyDescent="0.35">
      <c r="A79" s="8">
        <v>42229</v>
      </c>
      <c r="B79">
        <v>68.40100000000001</v>
      </c>
      <c r="C79">
        <v>22.800333333333334</v>
      </c>
      <c r="D79">
        <v>51.806079080943981</v>
      </c>
      <c r="E79">
        <v>0</v>
      </c>
      <c r="F79">
        <v>58.153061233998926</v>
      </c>
      <c r="G79">
        <v>0</v>
      </c>
    </row>
    <row r="80" spans="1:7" x14ac:dyDescent="0.35">
      <c r="A80" s="8">
        <v>42229</v>
      </c>
      <c r="B80">
        <v>68.40100000000001</v>
      </c>
      <c r="C80">
        <v>22.800333333333334</v>
      </c>
      <c r="D80">
        <v>51.806079080943981</v>
      </c>
      <c r="E80">
        <v>0</v>
      </c>
      <c r="F80">
        <v>58.153061233998926</v>
      </c>
      <c r="G80">
        <v>0</v>
      </c>
    </row>
    <row r="81" spans="1:7" x14ac:dyDescent="0.35">
      <c r="A81" s="8">
        <v>42229</v>
      </c>
      <c r="B81">
        <v>68.40100000000001</v>
      </c>
      <c r="C81">
        <v>22.800333333333334</v>
      </c>
      <c r="D81">
        <v>51.806079080943981</v>
      </c>
      <c r="E81">
        <v>0</v>
      </c>
      <c r="F81">
        <v>58.153061233998926</v>
      </c>
      <c r="G81">
        <v>0</v>
      </c>
    </row>
    <row r="82" spans="1:7" x14ac:dyDescent="0.35">
      <c r="A82" s="8">
        <v>42229</v>
      </c>
      <c r="B82">
        <v>68.40100000000001</v>
      </c>
      <c r="C82">
        <v>22.800333333333334</v>
      </c>
      <c r="D82">
        <v>51.806079080943981</v>
      </c>
      <c r="E82">
        <v>0</v>
      </c>
      <c r="F82">
        <v>58.153061233998926</v>
      </c>
      <c r="G82">
        <v>0</v>
      </c>
    </row>
    <row r="83" spans="1:7" x14ac:dyDescent="0.35">
      <c r="A83" s="8">
        <v>42229</v>
      </c>
      <c r="B83">
        <v>68.40100000000001</v>
      </c>
      <c r="C83">
        <v>22.800333333333334</v>
      </c>
      <c r="D83">
        <v>51.806079080943981</v>
      </c>
      <c r="E83">
        <v>0</v>
      </c>
      <c r="F83">
        <v>58.153061233998926</v>
      </c>
      <c r="G83">
        <v>0</v>
      </c>
    </row>
    <row r="84" spans="1:7" x14ac:dyDescent="0.35">
      <c r="A84" s="8">
        <v>42229</v>
      </c>
      <c r="B84">
        <v>68.40100000000001</v>
      </c>
      <c r="C84">
        <v>22.800333333333334</v>
      </c>
      <c r="D84">
        <v>51.806079080943981</v>
      </c>
      <c r="E84">
        <v>0</v>
      </c>
      <c r="F84">
        <v>58.153061233998926</v>
      </c>
      <c r="G84">
        <v>0</v>
      </c>
    </row>
    <row r="85" spans="1:7" x14ac:dyDescent="0.35">
      <c r="A85" s="8">
        <v>42229</v>
      </c>
      <c r="B85">
        <v>68.40100000000001</v>
      </c>
      <c r="C85">
        <v>22.800333333333334</v>
      </c>
      <c r="D85">
        <v>51.806079080943981</v>
      </c>
      <c r="E85">
        <v>0</v>
      </c>
      <c r="F85">
        <v>58.153061233998926</v>
      </c>
      <c r="G85">
        <v>0</v>
      </c>
    </row>
    <row r="86" spans="1:7" x14ac:dyDescent="0.35">
      <c r="A86" s="8">
        <v>42229</v>
      </c>
      <c r="B86">
        <v>68.40100000000001</v>
      </c>
      <c r="C86">
        <v>22.800333333333334</v>
      </c>
      <c r="D86">
        <v>51.806079080943981</v>
      </c>
      <c r="E86">
        <v>0</v>
      </c>
      <c r="F86">
        <v>58.153061233998926</v>
      </c>
      <c r="G86">
        <v>0</v>
      </c>
    </row>
    <row r="87" spans="1:7" x14ac:dyDescent="0.35">
      <c r="A87" s="8">
        <v>42229</v>
      </c>
      <c r="B87">
        <v>68.40100000000001</v>
      </c>
      <c r="C87">
        <v>22.800333333333334</v>
      </c>
      <c r="D87">
        <v>51.806079080943981</v>
      </c>
      <c r="E87">
        <v>0</v>
      </c>
      <c r="F87">
        <v>58.153061233998926</v>
      </c>
      <c r="G87">
        <v>0</v>
      </c>
    </row>
    <row r="88" spans="1:7" x14ac:dyDescent="0.35">
      <c r="A88" s="8">
        <v>42229</v>
      </c>
      <c r="B88">
        <v>68.40100000000001</v>
      </c>
      <c r="C88">
        <v>22.800333333333334</v>
      </c>
      <c r="D88">
        <v>51.806079080943981</v>
      </c>
      <c r="E88">
        <v>0</v>
      </c>
      <c r="F88">
        <v>58.153061233998926</v>
      </c>
      <c r="G88">
        <v>0</v>
      </c>
    </row>
    <row r="89" spans="1:7" x14ac:dyDescent="0.35">
      <c r="A89" s="8">
        <v>42229</v>
      </c>
      <c r="B89">
        <v>68.40100000000001</v>
      </c>
      <c r="C89">
        <v>22.800333333333334</v>
      </c>
      <c r="D89">
        <v>51.806079080943981</v>
      </c>
      <c r="E89">
        <v>0</v>
      </c>
      <c r="F89">
        <v>58.153061233998926</v>
      </c>
      <c r="G89">
        <v>0</v>
      </c>
    </row>
    <row r="90" spans="1:7" x14ac:dyDescent="0.35">
      <c r="A90" s="8">
        <v>42229</v>
      </c>
      <c r="B90">
        <v>68.40100000000001</v>
      </c>
      <c r="C90">
        <v>22.800333333333334</v>
      </c>
      <c r="D90">
        <v>51.806079080943981</v>
      </c>
      <c r="E90">
        <v>0</v>
      </c>
      <c r="F90">
        <v>58.153061233998926</v>
      </c>
      <c r="G90">
        <v>0</v>
      </c>
    </row>
    <row r="91" spans="1:7" x14ac:dyDescent="0.35">
      <c r="A91" s="8">
        <v>42229</v>
      </c>
      <c r="B91">
        <v>68.40100000000001</v>
      </c>
      <c r="C91">
        <v>22.800333333333334</v>
      </c>
      <c r="D91">
        <v>51.806079080943981</v>
      </c>
      <c r="E91">
        <v>0</v>
      </c>
      <c r="F91">
        <v>58.153061233998926</v>
      </c>
      <c r="G91">
        <v>0</v>
      </c>
    </row>
    <row r="92" spans="1:7" x14ac:dyDescent="0.35">
      <c r="A92" s="8">
        <v>42229</v>
      </c>
      <c r="B92">
        <v>68.40100000000001</v>
      </c>
      <c r="C92">
        <v>22.800333333333334</v>
      </c>
      <c r="D92">
        <v>51.806079080943981</v>
      </c>
      <c r="E92">
        <v>0</v>
      </c>
      <c r="F92">
        <v>58.153061233998926</v>
      </c>
      <c r="G92">
        <v>0</v>
      </c>
    </row>
    <row r="93" spans="1:7" x14ac:dyDescent="0.35">
      <c r="A93" s="8">
        <v>42229</v>
      </c>
      <c r="B93">
        <v>68.40100000000001</v>
      </c>
      <c r="C93">
        <v>22.800333333333334</v>
      </c>
      <c r="D93">
        <v>51.806079080943981</v>
      </c>
      <c r="E93">
        <v>0</v>
      </c>
      <c r="F93">
        <v>58.153061233998926</v>
      </c>
      <c r="G93">
        <v>0</v>
      </c>
    </row>
    <row r="94" spans="1:7" x14ac:dyDescent="0.35">
      <c r="A94" s="8">
        <v>42229</v>
      </c>
      <c r="B94">
        <v>68.40100000000001</v>
      </c>
      <c r="C94">
        <v>22.800333333333334</v>
      </c>
      <c r="D94">
        <v>51.806079080943981</v>
      </c>
      <c r="E94">
        <v>0</v>
      </c>
      <c r="F94">
        <v>58.153061233998926</v>
      </c>
      <c r="G94">
        <v>0</v>
      </c>
    </row>
    <row r="95" spans="1:7" x14ac:dyDescent="0.35">
      <c r="A95" s="8">
        <v>42229</v>
      </c>
      <c r="B95">
        <v>68.40100000000001</v>
      </c>
      <c r="C95">
        <v>22.800333333333334</v>
      </c>
      <c r="D95">
        <v>51.806079080943981</v>
      </c>
      <c r="E95">
        <v>0</v>
      </c>
      <c r="F95">
        <v>58.153061233998926</v>
      </c>
      <c r="G95">
        <v>0</v>
      </c>
    </row>
    <row r="96" spans="1:7" x14ac:dyDescent="0.35">
      <c r="A96" s="8">
        <v>42229</v>
      </c>
      <c r="B96">
        <v>68.40100000000001</v>
      </c>
      <c r="C96">
        <v>22.800333333333334</v>
      </c>
      <c r="D96">
        <v>51.806079080943981</v>
      </c>
      <c r="E96">
        <v>0</v>
      </c>
      <c r="F96">
        <v>58.153061233998926</v>
      </c>
      <c r="G96">
        <v>0</v>
      </c>
    </row>
    <row r="97" spans="1:7" x14ac:dyDescent="0.35">
      <c r="A97" s="8">
        <v>42229</v>
      </c>
      <c r="B97">
        <v>68.40100000000001</v>
      </c>
      <c r="C97">
        <v>22.800333333333334</v>
      </c>
      <c r="D97">
        <v>51.806079080943981</v>
      </c>
      <c r="E97">
        <v>0</v>
      </c>
      <c r="F97">
        <v>58.153061233998926</v>
      </c>
      <c r="G97">
        <v>0</v>
      </c>
    </row>
    <row r="98" spans="1:7" x14ac:dyDescent="0.35">
      <c r="A98" s="8">
        <v>42229</v>
      </c>
      <c r="B98">
        <v>68.40100000000001</v>
      </c>
      <c r="C98">
        <v>22.800333333333334</v>
      </c>
      <c r="D98">
        <v>51.806079080943981</v>
      </c>
      <c r="E98">
        <v>0</v>
      </c>
      <c r="F98">
        <v>58.153061233998926</v>
      </c>
      <c r="G98">
        <v>0</v>
      </c>
    </row>
    <row r="99" spans="1:7" x14ac:dyDescent="0.35">
      <c r="A99" s="8">
        <v>42229</v>
      </c>
      <c r="B99">
        <v>68.40100000000001</v>
      </c>
      <c r="C99">
        <v>22.800333333333334</v>
      </c>
      <c r="D99">
        <v>51.806079080943981</v>
      </c>
      <c r="E99">
        <v>0</v>
      </c>
      <c r="F99">
        <v>58.153061233998926</v>
      </c>
      <c r="G99">
        <v>0</v>
      </c>
    </row>
    <row r="100" spans="1:7" x14ac:dyDescent="0.35">
      <c r="A100" s="8">
        <v>42229</v>
      </c>
      <c r="B100">
        <v>68.40100000000001</v>
      </c>
      <c r="C100">
        <v>22.800333333333334</v>
      </c>
      <c r="D100">
        <v>51.806079080943981</v>
      </c>
      <c r="E100">
        <v>0</v>
      </c>
      <c r="F100">
        <v>58.153061233998926</v>
      </c>
      <c r="G100">
        <v>0</v>
      </c>
    </row>
    <row r="101" spans="1:7" x14ac:dyDescent="0.35">
      <c r="A101" s="8">
        <v>42229</v>
      </c>
      <c r="B101">
        <v>68.40100000000001</v>
      </c>
      <c r="C101">
        <v>22.800333333333334</v>
      </c>
      <c r="D101">
        <v>51.806079080943981</v>
      </c>
      <c r="E101">
        <v>0</v>
      </c>
      <c r="F101">
        <v>58.153061233998926</v>
      </c>
      <c r="G101">
        <v>0</v>
      </c>
    </row>
    <row r="102" spans="1:7" x14ac:dyDescent="0.35">
      <c r="A102" s="8">
        <v>42229</v>
      </c>
      <c r="B102">
        <v>68.40100000000001</v>
      </c>
      <c r="C102">
        <v>22.800333333333334</v>
      </c>
      <c r="D102">
        <v>51.806079080943981</v>
      </c>
      <c r="E102">
        <v>0</v>
      </c>
      <c r="F102">
        <v>58.153061233998926</v>
      </c>
      <c r="G102">
        <v>0</v>
      </c>
    </row>
    <row r="103" spans="1:7" x14ac:dyDescent="0.35">
      <c r="A103" s="8">
        <v>42229</v>
      </c>
      <c r="B103">
        <v>68.40100000000001</v>
      </c>
      <c r="C103">
        <v>22.800333333333334</v>
      </c>
      <c r="D103">
        <v>51.806079080943981</v>
      </c>
      <c r="E103">
        <v>0</v>
      </c>
      <c r="F103">
        <v>58.153061233998926</v>
      </c>
      <c r="G103">
        <v>0</v>
      </c>
    </row>
    <row r="104" spans="1:7" x14ac:dyDescent="0.35">
      <c r="A104" s="8">
        <v>42229</v>
      </c>
      <c r="B104">
        <v>68.40100000000001</v>
      </c>
      <c r="C104">
        <v>22.800333333333334</v>
      </c>
      <c r="D104">
        <v>51.806079080943981</v>
      </c>
      <c r="E104">
        <v>0</v>
      </c>
      <c r="F104">
        <v>58.153061233998926</v>
      </c>
      <c r="G104">
        <v>0</v>
      </c>
    </row>
    <row r="105" spans="1:7" x14ac:dyDescent="0.35">
      <c r="A105" s="8">
        <v>42229</v>
      </c>
      <c r="B105">
        <v>68.40100000000001</v>
      </c>
      <c r="C105">
        <v>22.800333333333334</v>
      </c>
      <c r="D105">
        <v>51.806079080943981</v>
      </c>
      <c r="E105">
        <v>0</v>
      </c>
      <c r="F105">
        <v>58.153061233998926</v>
      </c>
      <c r="G105">
        <v>0</v>
      </c>
    </row>
    <row r="106" spans="1:7" x14ac:dyDescent="0.35">
      <c r="A106" s="8">
        <v>42229</v>
      </c>
      <c r="B106">
        <v>68.40100000000001</v>
      </c>
      <c r="C106">
        <v>22.800333333333334</v>
      </c>
      <c r="D106">
        <v>51.806079080943981</v>
      </c>
      <c r="E106">
        <v>0</v>
      </c>
      <c r="F106">
        <v>58.153061233998926</v>
      </c>
      <c r="G106">
        <v>0</v>
      </c>
    </row>
    <row r="107" spans="1:7" x14ac:dyDescent="0.35">
      <c r="A107" s="8">
        <v>42229</v>
      </c>
      <c r="B107">
        <v>68.40100000000001</v>
      </c>
      <c r="C107">
        <v>22.800333333333334</v>
      </c>
      <c r="D107">
        <v>51.806079080943981</v>
      </c>
      <c r="E107">
        <v>0</v>
      </c>
      <c r="F107">
        <v>58.153061233998926</v>
      </c>
      <c r="G107">
        <v>0</v>
      </c>
    </row>
    <row r="108" spans="1:7" x14ac:dyDescent="0.35">
      <c r="A108" s="8">
        <v>42229</v>
      </c>
      <c r="B108">
        <v>68.40100000000001</v>
      </c>
      <c r="C108">
        <v>22.800333333333334</v>
      </c>
      <c r="D108">
        <v>51.806079080943981</v>
      </c>
      <c r="E108">
        <v>0</v>
      </c>
      <c r="F108">
        <v>58.153061233998926</v>
      </c>
      <c r="G108">
        <v>0</v>
      </c>
    </row>
    <row r="109" spans="1:7" x14ac:dyDescent="0.35">
      <c r="A109" s="8">
        <v>42229</v>
      </c>
      <c r="B109">
        <v>68.40100000000001</v>
      </c>
      <c r="C109">
        <v>22.800333333333334</v>
      </c>
      <c r="D109">
        <v>51.806079080943981</v>
      </c>
      <c r="E109">
        <v>0</v>
      </c>
      <c r="F109">
        <v>58.153061233998926</v>
      </c>
      <c r="G109">
        <v>0</v>
      </c>
    </row>
    <row r="110" spans="1:7" x14ac:dyDescent="0.35">
      <c r="A110" s="8">
        <v>42229</v>
      </c>
      <c r="B110">
        <v>68.40100000000001</v>
      </c>
      <c r="C110">
        <v>22.800333333333334</v>
      </c>
      <c r="D110">
        <v>51.806079080943981</v>
      </c>
      <c r="E110">
        <v>0</v>
      </c>
      <c r="F110">
        <v>58.153061233998926</v>
      </c>
      <c r="G110">
        <v>0</v>
      </c>
    </row>
    <row r="111" spans="1:7" x14ac:dyDescent="0.35">
      <c r="A111" s="8">
        <v>42229</v>
      </c>
      <c r="B111">
        <v>68.40100000000001</v>
      </c>
      <c r="C111">
        <v>22.800333333333334</v>
      </c>
      <c r="D111">
        <v>51.806079080943981</v>
      </c>
      <c r="E111">
        <v>0</v>
      </c>
      <c r="F111">
        <v>58.153061233998926</v>
      </c>
      <c r="G111">
        <v>0</v>
      </c>
    </row>
    <row r="112" spans="1:7" x14ac:dyDescent="0.35">
      <c r="A112" s="8">
        <v>42229</v>
      </c>
      <c r="B112">
        <v>68.40100000000001</v>
      </c>
      <c r="C112">
        <v>22.800333333333334</v>
      </c>
      <c r="D112">
        <v>51.806079080943981</v>
      </c>
      <c r="E112">
        <v>0</v>
      </c>
      <c r="F112">
        <v>58.153061233998926</v>
      </c>
      <c r="G112">
        <v>0</v>
      </c>
    </row>
    <row r="113" spans="1:7" x14ac:dyDescent="0.35">
      <c r="A113" s="8">
        <v>42229</v>
      </c>
      <c r="B113">
        <v>68.40100000000001</v>
      </c>
      <c r="C113">
        <v>22.800333333333334</v>
      </c>
      <c r="D113">
        <v>51.806079080943981</v>
      </c>
      <c r="E113">
        <v>0</v>
      </c>
      <c r="F113">
        <v>58.153061233998926</v>
      </c>
      <c r="G113">
        <v>0</v>
      </c>
    </row>
    <row r="114" spans="1:7" x14ac:dyDescent="0.35">
      <c r="A114" s="8">
        <v>42229</v>
      </c>
      <c r="B114">
        <v>68.40100000000001</v>
      </c>
      <c r="C114">
        <v>22.800333333333334</v>
      </c>
      <c r="D114">
        <v>51.806079080943981</v>
      </c>
      <c r="E114">
        <v>0</v>
      </c>
      <c r="F114">
        <v>58.153061233998926</v>
      </c>
      <c r="G114">
        <v>0</v>
      </c>
    </row>
    <row r="115" spans="1:7" x14ac:dyDescent="0.35">
      <c r="A115" s="8">
        <v>42229</v>
      </c>
      <c r="B115">
        <v>68.40100000000001</v>
      </c>
      <c r="C115">
        <v>22.800333333333334</v>
      </c>
      <c r="D115">
        <v>51.806079080943981</v>
      </c>
      <c r="E115">
        <v>0</v>
      </c>
      <c r="F115">
        <v>58.153061233998926</v>
      </c>
      <c r="G115">
        <v>0</v>
      </c>
    </row>
    <row r="116" spans="1:7" x14ac:dyDescent="0.35">
      <c r="A116" s="8">
        <v>42229</v>
      </c>
      <c r="B116">
        <v>68.40100000000001</v>
      </c>
      <c r="C116">
        <v>22.800333333333334</v>
      </c>
      <c r="D116">
        <v>51.806079080943981</v>
      </c>
      <c r="E116">
        <v>0</v>
      </c>
      <c r="F116">
        <v>58.153061233998926</v>
      </c>
      <c r="G116">
        <v>0</v>
      </c>
    </row>
    <row r="117" spans="1:7" x14ac:dyDescent="0.35">
      <c r="A117" s="8">
        <v>42229</v>
      </c>
      <c r="B117">
        <v>68.40100000000001</v>
      </c>
      <c r="C117">
        <v>22.800333333333334</v>
      </c>
      <c r="D117">
        <v>51.806079080943981</v>
      </c>
      <c r="E117">
        <v>0</v>
      </c>
      <c r="F117">
        <v>58.153061233998926</v>
      </c>
      <c r="G117">
        <v>0</v>
      </c>
    </row>
    <row r="118" spans="1:7" x14ac:dyDescent="0.35">
      <c r="A118" s="8">
        <v>42229</v>
      </c>
      <c r="B118">
        <v>68.40100000000001</v>
      </c>
      <c r="C118">
        <v>22.800333333333334</v>
      </c>
      <c r="D118">
        <v>51.806079080943981</v>
      </c>
      <c r="E118">
        <v>0</v>
      </c>
      <c r="F118">
        <v>58.153061233998926</v>
      </c>
      <c r="G118">
        <v>0</v>
      </c>
    </row>
    <row r="119" spans="1:7" x14ac:dyDescent="0.35">
      <c r="A119" s="8">
        <v>42229</v>
      </c>
      <c r="B119">
        <v>68.40100000000001</v>
      </c>
      <c r="C119">
        <v>22.800333333333334</v>
      </c>
      <c r="D119">
        <v>51.806079080943981</v>
      </c>
      <c r="E119">
        <v>0</v>
      </c>
      <c r="F119">
        <v>58.153061233998926</v>
      </c>
      <c r="G119">
        <v>0</v>
      </c>
    </row>
    <row r="120" spans="1:7" x14ac:dyDescent="0.35">
      <c r="A120" s="8">
        <v>42229</v>
      </c>
      <c r="B120">
        <v>68.40100000000001</v>
      </c>
      <c r="C120">
        <v>22.800333333333334</v>
      </c>
      <c r="D120">
        <v>51.806079080943981</v>
      </c>
      <c r="E120">
        <v>0</v>
      </c>
      <c r="F120">
        <v>58.153061233998926</v>
      </c>
      <c r="G120">
        <v>0</v>
      </c>
    </row>
    <row r="121" spans="1:7" x14ac:dyDescent="0.35">
      <c r="A121" s="8">
        <v>42229</v>
      </c>
      <c r="B121">
        <v>68.40100000000001</v>
      </c>
      <c r="C121">
        <v>22.800333333333334</v>
      </c>
      <c r="D121">
        <v>51.806079080943981</v>
      </c>
      <c r="E121">
        <v>0</v>
      </c>
      <c r="F121">
        <v>58.153061233998926</v>
      </c>
      <c r="G121">
        <v>0</v>
      </c>
    </row>
    <row r="122" spans="1:7" x14ac:dyDescent="0.35">
      <c r="A122" s="8">
        <v>42229</v>
      </c>
      <c r="B122">
        <v>68.40100000000001</v>
      </c>
      <c r="C122">
        <v>22.800333333333334</v>
      </c>
      <c r="D122">
        <v>51.806079080943981</v>
      </c>
      <c r="E122">
        <v>0</v>
      </c>
      <c r="F122">
        <v>58.153061233998926</v>
      </c>
      <c r="G122">
        <v>0</v>
      </c>
    </row>
    <row r="123" spans="1:7" x14ac:dyDescent="0.35">
      <c r="A123" s="8">
        <v>42229</v>
      </c>
      <c r="B123">
        <v>68.40100000000001</v>
      </c>
      <c r="C123">
        <v>22.800333333333334</v>
      </c>
      <c r="D123">
        <v>51.806079080943981</v>
      </c>
      <c r="E123">
        <v>0</v>
      </c>
      <c r="F123">
        <v>58.153061233998926</v>
      </c>
      <c r="G123">
        <v>0</v>
      </c>
    </row>
    <row r="124" spans="1:7" x14ac:dyDescent="0.35">
      <c r="A124" s="8">
        <v>42229</v>
      </c>
      <c r="B124">
        <v>68.40100000000001</v>
      </c>
      <c r="C124">
        <v>22.800333333333334</v>
      </c>
      <c r="D124">
        <v>51.806079080943981</v>
      </c>
      <c r="E124">
        <v>0</v>
      </c>
      <c r="F124">
        <v>58.153061233998926</v>
      </c>
      <c r="G124">
        <v>0</v>
      </c>
    </row>
    <row r="125" spans="1:7" x14ac:dyDescent="0.35">
      <c r="A125" s="8">
        <v>42229</v>
      </c>
      <c r="B125">
        <v>68.40100000000001</v>
      </c>
      <c r="C125">
        <v>22.800333333333334</v>
      </c>
      <c r="D125">
        <v>51.806079080943981</v>
      </c>
      <c r="E125">
        <v>0</v>
      </c>
      <c r="F125">
        <v>58.153061233998926</v>
      </c>
      <c r="G125">
        <v>0</v>
      </c>
    </row>
    <row r="126" spans="1:7" x14ac:dyDescent="0.35">
      <c r="A126" s="8">
        <v>42229</v>
      </c>
      <c r="B126">
        <v>68.40100000000001</v>
      </c>
      <c r="C126">
        <v>22.800333333333334</v>
      </c>
      <c r="D126">
        <v>51.806079080943981</v>
      </c>
      <c r="E126">
        <v>0</v>
      </c>
      <c r="F126">
        <v>58.153061233998926</v>
      </c>
      <c r="G126">
        <v>0</v>
      </c>
    </row>
    <row r="127" spans="1:7" x14ac:dyDescent="0.35">
      <c r="A127" s="8">
        <v>42229</v>
      </c>
      <c r="B127">
        <v>68.40100000000001</v>
      </c>
      <c r="C127">
        <v>22.800333333333334</v>
      </c>
      <c r="D127">
        <v>51.806079080943981</v>
      </c>
      <c r="E127">
        <v>0</v>
      </c>
      <c r="F127">
        <v>58.153061233998926</v>
      </c>
      <c r="G127">
        <v>0</v>
      </c>
    </row>
    <row r="128" spans="1:7" x14ac:dyDescent="0.35">
      <c r="A128" s="8">
        <v>42229</v>
      </c>
      <c r="B128">
        <v>68.40100000000001</v>
      </c>
      <c r="C128">
        <v>22.800333333333334</v>
      </c>
      <c r="D128">
        <v>51.806079080943981</v>
      </c>
      <c r="E128">
        <v>0</v>
      </c>
      <c r="F128">
        <v>58.153061233998926</v>
      </c>
      <c r="G128">
        <v>0</v>
      </c>
    </row>
    <row r="129" spans="1:7" x14ac:dyDescent="0.35">
      <c r="A129" s="8">
        <v>42229</v>
      </c>
      <c r="B129">
        <v>68.40100000000001</v>
      </c>
      <c r="C129">
        <v>22.800333333333334</v>
      </c>
      <c r="D129">
        <v>51.806079080943981</v>
      </c>
      <c r="E129">
        <v>0</v>
      </c>
      <c r="F129">
        <v>58.153061233998926</v>
      </c>
      <c r="G129">
        <v>0</v>
      </c>
    </row>
    <row r="130" spans="1:7" x14ac:dyDescent="0.35">
      <c r="A130" s="8">
        <v>42229</v>
      </c>
      <c r="B130">
        <v>68.40100000000001</v>
      </c>
      <c r="C130">
        <v>22.800333333333334</v>
      </c>
      <c r="D130">
        <v>51.806079080943981</v>
      </c>
      <c r="E130">
        <v>0</v>
      </c>
      <c r="F130">
        <v>58.153061233998926</v>
      </c>
      <c r="G130">
        <v>0</v>
      </c>
    </row>
    <row r="131" spans="1:7" x14ac:dyDescent="0.35">
      <c r="A131" s="8">
        <v>42229</v>
      </c>
      <c r="B131">
        <v>68.40100000000001</v>
      </c>
      <c r="C131">
        <v>22.800333333333334</v>
      </c>
      <c r="D131">
        <v>51.806079080943981</v>
      </c>
      <c r="E131">
        <v>0</v>
      </c>
      <c r="F131">
        <v>58.153061233998926</v>
      </c>
      <c r="G131">
        <v>0</v>
      </c>
    </row>
    <row r="132" spans="1:7" x14ac:dyDescent="0.35">
      <c r="A132" s="8">
        <v>42229</v>
      </c>
      <c r="B132">
        <v>68.40100000000001</v>
      </c>
      <c r="C132">
        <v>22.800333333333334</v>
      </c>
      <c r="D132">
        <v>51.806079080943981</v>
      </c>
      <c r="E132">
        <v>0</v>
      </c>
      <c r="F132">
        <v>58.153061233998926</v>
      </c>
      <c r="G132">
        <v>0</v>
      </c>
    </row>
    <row r="133" spans="1:7" x14ac:dyDescent="0.35">
      <c r="A133" s="8">
        <v>42229</v>
      </c>
      <c r="B133">
        <v>68.40100000000001</v>
      </c>
      <c r="C133">
        <v>22.800333333333334</v>
      </c>
      <c r="D133">
        <v>51.806079080943981</v>
      </c>
      <c r="E133">
        <v>0</v>
      </c>
      <c r="F133">
        <v>58.153061233998926</v>
      </c>
      <c r="G133">
        <v>0</v>
      </c>
    </row>
    <row r="134" spans="1:7" x14ac:dyDescent="0.35">
      <c r="A134" s="8">
        <v>42229</v>
      </c>
      <c r="B134">
        <v>68.40100000000001</v>
      </c>
      <c r="C134">
        <v>22.800333333333334</v>
      </c>
      <c r="D134">
        <v>51.806079080943981</v>
      </c>
      <c r="E134">
        <v>0</v>
      </c>
      <c r="F134">
        <v>58.153061233998926</v>
      </c>
      <c r="G134">
        <v>0</v>
      </c>
    </row>
    <row r="135" spans="1:7" x14ac:dyDescent="0.35">
      <c r="A135" s="8">
        <v>42229</v>
      </c>
      <c r="B135">
        <v>68.40100000000001</v>
      </c>
      <c r="C135">
        <v>22.800333333333334</v>
      </c>
      <c r="D135">
        <v>51.806079080943981</v>
      </c>
      <c r="E135">
        <v>0</v>
      </c>
      <c r="F135">
        <v>58.153061233998926</v>
      </c>
      <c r="G135">
        <v>0</v>
      </c>
    </row>
    <row r="136" spans="1:7" x14ac:dyDescent="0.35">
      <c r="A136" s="8">
        <v>42229</v>
      </c>
      <c r="B136">
        <v>68.40100000000001</v>
      </c>
      <c r="C136">
        <v>22.800333333333334</v>
      </c>
      <c r="D136">
        <v>51.806079080943981</v>
      </c>
      <c r="E136">
        <v>0</v>
      </c>
      <c r="F136">
        <v>58.153061233998926</v>
      </c>
      <c r="G136">
        <v>0</v>
      </c>
    </row>
    <row r="137" spans="1:7" x14ac:dyDescent="0.35">
      <c r="A137" s="8">
        <v>42229</v>
      </c>
      <c r="B137">
        <v>68.40100000000001</v>
      </c>
      <c r="C137">
        <v>22.800333333333334</v>
      </c>
      <c r="D137">
        <v>51.806079080943981</v>
      </c>
      <c r="E137">
        <v>0</v>
      </c>
      <c r="F137">
        <v>58.153061233998926</v>
      </c>
      <c r="G137">
        <v>0</v>
      </c>
    </row>
    <row r="138" spans="1:7" x14ac:dyDescent="0.35">
      <c r="A138" s="8">
        <v>42229</v>
      </c>
      <c r="B138">
        <v>68.40100000000001</v>
      </c>
      <c r="C138">
        <v>22.800333333333334</v>
      </c>
      <c r="D138">
        <v>51.806079080943981</v>
      </c>
      <c r="E138">
        <v>0</v>
      </c>
      <c r="F138">
        <v>58.153061233998926</v>
      </c>
      <c r="G138">
        <v>0</v>
      </c>
    </row>
    <row r="139" spans="1:7" x14ac:dyDescent="0.35">
      <c r="A139" s="8">
        <v>42229</v>
      </c>
      <c r="B139">
        <v>68.40100000000001</v>
      </c>
      <c r="C139">
        <v>22.800333333333334</v>
      </c>
      <c r="D139">
        <v>51.806079080943981</v>
      </c>
      <c r="E139">
        <v>0</v>
      </c>
      <c r="F139">
        <v>58.153061233998926</v>
      </c>
      <c r="G139">
        <v>0</v>
      </c>
    </row>
    <row r="140" spans="1:7" x14ac:dyDescent="0.35">
      <c r="A140" s="8">
        <v>42229</v>
      </c>
      <c r="B140">
        <v>68.40100000000001</v>
      </c>
      <c r="C140">
        <v>22.800333333333334</v>
      </c>
      <c r="D140">
        <v>51.806079080943981</v>
      </c>
      <c r="E140">
        <v>0</v>
      </c>
      <c r="F140">
        <v>58.153061233998926</v>
      </c>
      <c r="G140">
        <v>0</v>
      </c>
    </row>
    <row r="141" spans="1:7" x14ac:dyDescent="0.35">
      <c r="A141" s="8">
        <v>42229</v>
      </c>
      <c r="B141">
        <v>68.40100000000001</v>
      </c>
      <c r="C141">
        <v>22.800333333333334</v>
      </c>
      <c r="D141">
        <v>51.806079080943981</v>
      </c>
      <c r="E141">
        <v>0</v>
      </c>
      <c r="F141">
        <v>58.153061233998926</v>
      </c>
      <c r="G141">
        <v>0</v>
      </c>
    </row>
    <row r="142" spans="1:7" x14ac:dyDescent="0.35">
      <c r="A142" s="8">
        <v>42229</v>
      </c>
      <c r="B142">
        <v>68.40100000000001</v>
      </c>
      <c r="C142">
        <v>22.800333333333334</v>
      </c>
      <c r="D142">
        <v>51.806079080943981</v>
      </c>
      <c r="E142">
        <v>0</v>
      </c>
      <c r="F142">
        <v>58.153061233998926</v>
      </c>
      <c r="G142">
        <v>0</v>
      </c>
    </row>
    <row r="143" spans="1:7" x14ac:dyDescent="0.35">
      <c r="A143" s="8">
        <v>42229</v>
      </c>
      <c r="B143">
        <v>68.40100000000001</v>
      </c>
      <c r="C143">
        <v>22.800333333333334</v>
      </c>
      <c r="D143">
        <v>51.806079080943981</v>
      </c>
      <c r="E143">
        <v>0</v>
      </c>
      <c r="F143">
        <v>58.153061233998926</v>
      </c>
      <c r="G143">
        <v>0</v>
      </c>
    </row>
    <row r="144" spans="1:7" x14ac:dyDescent="0.35">
      <c r="A144" s="8">
        <v>42229</v>
      </c>
      <c r="B144">
        <v>68.40100000000001</v>
      </c>
      <c r="C144">
        <v>22.800333333333334</v>
      </c>
      <c r="D144">
        <v>51.806079080943981</v>
      </c>
      <c r="E144">
        <v>0</v>
      </c>
      <c r="F144">
        <v>58.153061233998926</v>
      </c>
      <c r="G144">
        <v>0</v>
      </c>
    </row>
    <row r="145" spans="1:7" x14ac:dyDescent="0.35">
      <c r="A145" s="8">
        <v>42229</v>
      </c>
      <c r="B145">
        <v>68.40100000000001</v>
      </c>
      <c r="C145">
        <v>22.800333333333334</v>
      </c>
      <c r="D145">
        <v>51.806079080943981</v>
      </c>
      <c r="E145">
        <v>0</v>
      </c>
      <c r="F145">
        <v>58.153061233998926</v>
      </c>
      <c r="G145">
        <v>0</v>
      </c>
    </row>
    <row r="146" spans="1:7" x14ac:dyDescent="0.35">
      <c r="A146" s="8">
        <v>42229</v>
      </c>
      <c r="B146">
        <v>68.40100000000001</v>
      </c>
      <c r="C146">
        <v>22.800333333333334</v>
      </c>
      <c r="D146">
        <v>51.806079080943981</v>
      </c>
      <c r="E146">
        <v>0</v>
      </c>
      <c r="F146">
        <v>58.153061233998926</v>
      </c>
      <c r="G146">
        <v>0</v>
      </c>
    </row>
    <row r="147" spans="1:7" x14ac:dyDescent="0.35">
      <c r="A147" s="8">
        <v>42229</v>
      </c>
      <c r="B147">
        <v>68.40100000000001</v>
      </c>
      <c r="C147">
        <v>22.800333333333334</v>
      </c>
      <c r="D147">
        <v>51.806079080943981</v>
      </c>
      <c r="E147">
        <v>0</v>
      </c>
      <c r="F147">
        <v>58.153061233998926</v>
      </c>
      <c r="G147">
        <v>0</v>
      </c>
    </row>
    <row r="148" spans="1:7" x14ac:dyDescent="0.35">
      <c r="A148" s="8">
        <v>42229</v>
      </c>
      <c r="B148">
        <v>68.40100000000001</v>
      </c>
      <c r="C148">
        <v>22.800333333333334</v>
      </c>
      <c r="D148">
        <v>51.806079080943981</v>
      </c>
      <c r="E148">
        <v>0</v>
      </c>
      <c r="F148">
        <v>58.153061233998926</v>
      </c>
      <c r="G148">
        <v>0</v>
      </c>
    </row>
    <row r="149" spans="1:7" x14ac:dyDescent="0.35">
      <c r="A149" s="8">
        <v>42229</v>
      </c>
      <c r="B149">
        <v>68.40100000000001</v>
      </c>
      <c r="C149">
        <v>22.800333333333334</v>
      </c>
      <c r="D149">
        <v>51.806079080943981</v>
      </c>
      <c r="E149">
        <v>0</v>
      </c>
      <c r="F149">
        <v>58.153061233998926</v>
      </c>
      <c r="G149">
        <v>0</v>
      </c>
    </row>
    <row r="150" spans="1:7" x14ac:dyDescent="0.35">
      <c r="A150" s="8">
        <v>42229</v>
      </c>
      <c r="B150">
        <v>68.40100000000001</v>
      </c>
      <c r="C150">
        <v>22.800333333333334</v>
      </c>
      <c r="D150">
        <v>51.806079080943981</v>
      </c>
      <c r="E150">
        <v>0</v>
      </c>
      <c r="F150">
        <v>58.153061233998926</v>
      </c>
      <c r="G150">
        <v>0</v>
      </c>
    </row>
    <row r="151" spans="1:7" x14ac:dyDescent="0.35">
      <c r="A151" s="8">
        <v>42229</v>
      </c>
      <c r="B151">
        <v>68.40100000000001</v>
      </c>
      <c r="C151">
        <v>22.800333333333334</v>
      </c>
      <c r="D151">
        <v>51.806079080943981</v>
      </c>
      <c r="E151">
        <v>0</v>
      </c>
      <c r="F151">
        <v>58.153061233998926</v>
      </c>
      <c r="G151">
        <v>0</v>
      </c>
    </row>
    <row r="152" spans="1:7" x14ac:dyDescent="0.35">
      <c r="A152" s="8">
        <v>42229</v>
      </c>
      <c r="B152">
        <v>68.40100000000001</v>
      </c>
      <c r="C152">
        <v>22.800333333333334</v>
      </c>
      <c r="D152">
        <v>51.806079080943981</v>
      </c>
      <c r="E152">
        <v>0</v>
      </c>
      <c r="F152">
        <v>58.153061233998926</v>
      </c>
      <c r="G152">
        <v>0</v>
      </c>
    </row>
    <row r="153" spans="1:7" x14ac:dyDescent="0.35">
      <c r="A153" s="8">
        <v>42229</v>
      </c>
      <c r="B153">
        <v>68.40100000000001</v>
      </c>
      <c r="C153">
        <v>22.800333333333334</v>
      </c>
      <c r="D153">
        <v>51.806079080943981</v>
      </c>
      <c r="E153">
        <v>0</v>
      </c>
      <c r="F153">
        <v>58.153061233998926</v>
      </c>
      <c r="G153">
        <v>0</v>
      </c>
    </row>
    <row r="154" spans="1:7" x14ac:dyDescent="0.35">
      <c r="A154" s="8">
        <v>42229</v>
      </c>
      <c r="B154">
        <v>68.40100000000001</v>
      </c>
      <c r="C154">
        <v>22.800333333333334</v>
      </c>
      <c r="D154">
        <v>51.806079080943981</v>
      </c>
      <c r="E154">
        <v>0</v>
      </c>
      <c r="F154">
        <v>58.153061233998926</v>
      </c>
      <c r="G154">
        <v>0</v>
      </c>
    </row>
    <row r="155" spans="1:7" x14ac:dyDescent="0.35">
      <c r="A155" s="8">
        <v>42229</v>
      </c>
      <c r="B155">
        <v>68.40100000000001</v>
      </c>
      <c r="C155">
        <v>22.800333333333334</v>
      </c>
      <c r="D155">
        <v>51.806079080943981</v>
      </c>
      <c r="E155">
        <v>0</v>
      </c>
      <c r="F155">
        <v>58.153061233998926</v>
      </c>
      <c r="G155">
        <v>0</v>
      </c>
    </row>
    <row r="156" spans="1:7" x14ac:dyDescent="0.35">
      <c r="A156" s="8">
        <v>42229</v>
      </c>
      <c r="B156">
        <v>68.40100000000001</v>
      </c>
      <c r="C156">
        <v>22.800333333333334</v>
      </c>
      <c r="D156">
        <v>51.806079080943981</v>
      </c>
      <c r="E156">
        <v>0</v>
      </c>
      <c r="F156">
        <v>58.153061233998926</v>
      </c>
      <c r="G156">
        <v>0</v>
      </c>
    </row>
    <row r="157" spans="1:7" x14ac:dyDescent="0.35">
      <c r="A157" s="8">
        <v>42229</v>
      </c>
      <c r="B157">
        <v>68.40100000000001</v>
      </c>
      <c r="C157">
        <v>22.800333333333334</v>
      </c>
      <c r="D157">
        <v>51.806079080943981</v>
      </c>
      <c r="E157">
        <v>0</v>
      </c>
      <c r="F157">
        <v>58.153061233998926</v>
      </c>
      <c r="G157">
        <v>0</v>
      </c>
    </row>
    <row r="158" spans="1:7" x14ac:dyDescent="0.35">
      <c r="A158" s="8">
        <v>42229</v>
      </c>
      <c r="B158">
        <v>68.40100000000001</v>
      </c>
      <c r="C158">
        <v>22.800333333333334</v>
      </c>
      <c r="D158">
        <v>51.806079080943981</v>
      </c>
      <c r="E158">
        <v>0</v>
      </c>
      <c r="F158">
        <v>58.153061233998926</v>
      </c>
      <c r="G158">
        <v>0</v>
      </c>
    </row>
    <row r="159" spans="1:7" x14ac:dyDescent="0.35">
      <c r="A159" s="8">
        <v>42229</v>
      </c>
      <c r="B159">
        <v>68.40100000000001</v>
      </c>
      <c r="C159">
        <v>22.800333333333334</v>
      </c>
      <c r="D159">
        <v>51.806079080943981</v>
      </c>
      <c r="E159">
        <v>0</v>
      </c>
      <c r="F159">
        <v>58.153061233998926</v>
      </c>
      <c r="G159">
        <v>0</v>
      </c>
    </row>
    <row r="160" spans="1:7" x14ac:dyDescent="0.35">
      <c r="A160" s="8">
        <v>42229</v>
      </c>
      <c r="B160">
        <v>68.40100000000001</v>
      </c>
      <c r="C160">
        <v>22.800333333333334</v>
      </c>
      <c r="D160">
        <v>51.806079080943981</v>
      </c>
      <c r="E160">
        <v>0</v>
      </c>
      <c r="F160">
        <v>58.153061233998926</v>
      </c>
      <c r="G160">
        <v>0</v>
      </c>
    </row>
    <row r="161" spans="1:7" x14ac:dyDescent="0.35">
      <c r="A161" s="8">
        <v>42229</v>
      </c>
      <c r="B161">
        <v>68.40100000000001</v>
      </c>
      <c r="C161">
        <v>22.800333333333334</v>
      </c>
      <c r="D161">
        <v>51.806079080943981</v>
      </c>
      <c r="E161">
        <v>0</v>
      </c>
      <c r="F161">
        <v>58.153061233998926</v>
      </c>
      <c r="G161">
        <v>0</v>
      </c>
    </row>
    <row r="162" spans="1:7" x14ac:dyDescent="0.35">
      <c r="A162" s="8">
        <v>42229</v>
      </c>
      <c r="B162">
        <v>68.40100000000001</v>
      </c>
      <c r="C162">
        <v>22.800333333333334</v>
      </c>
      <c r="D162">
        <v>51.806079080943981</v>
      </c>
      <c r="E162">
        <v>0</v>
      </c>
      <c r="F162">
        <v>58.153061233998926</v>
      </c>
      <c r="G162">
        <v>0</v>
      </c>
    </row>
    <row r="163" spans="1:7" x14ac:dyDescent="0.35">
      <c r="A163" s="8">
        <v>42229</v>
      </c>
      <c r="B163">
        <v>68.40100000000001</v>
      </c>
      <c r="C163">
        <v>22.800333333333334</v>
      </c>
      <c r="D163">
        <v>51.806079080943981</v>
      </c>
      <c r="E163">
        <v>0</v>
      </c>
      <c r="F163">
        <v>58.153061233998926</v>
      </c>
      <c r="G163">
        <v>0</v>
      </c>
    </row>
    <row r="164" spans="1:7" x14ac:dyDescent="0.35">
      <c r="A164" s="8">
        <v>42229</v>
      </c>
      <c r="B164">
        <v>68.40100000000001</v>
      </c>
      <c r="C164">
        <v>22.800333333333334</v>
      </c>
      <c r="D164">
        <v>51.806079080943981</v>
      </c>
      <c r="E164">
        <v>0</v>
      </c>
      <c r="F164">
        <v>58.153061233998926</v>
      </c>
      <c r="G164">
        <v>0</v>
      </c>
    </row>
    <row r="165" spans="1:7" x14ac:dyDescent="0.35">
      <c r="A165" s="8">
        <v>42229</v>
      </c>
      <c r="B165">
        <v>68.40100000000001</v>
      </c>
      <c r="C165">
        <v>22.800333333333334</v>
      </c>
      <c r="D165">
        <v>51.806079080943981</v>
      </c>
      <c r="E165">
        <v>0</v>
      </c>
      <c r="F165">
        <v>58.153061233998926</v>
      </c>
      <c r="G165">
        <v>0</v>
      </c>
    </row>
    <row r="166" spans="1:7" x14ac:dyDescent="0.35">
      <c r="A166" s="8">
        <v>42229</v>
      </c>
      <c r="B166">
        <v>68.40100000000001</v>
      </c>
      <c r="C166">
        <v>22.800333333333334</v>
      </c>
      <c r="D166">
        <v>51.806079080943981</v>
      </c>
      <c r="E166">
        <v>0</v>
      </c>
      <c r="F166">
        <v>58.153061233998926</v>
      </c>
      <c r="G166">
        <v>0</v>
      </c>
    </row>
    <row r="167" spans="1:7" x14ac:dyDescent="0.35">
      <c r="A167" s="8">
        <v>42229</v>
      </c>
      <c r="B167">
        <v>68.40100000000001</v>
      </c>
      <c r="C167">
        <v>22.800333333333334</v>
      </c>
      <c r="D167">
        <v>51.806079080943981</v>
      </c>
      <c r="E167">
        <v>0</v>
      </c>
      <c r="F167">
        <v>58.153061233998926</v>
      </c>
      <c r="G167">
        <v>0</v>
      </c>
    </row>
    <row r="168" spans="1:7" x14ac:dyDescent="0.35">
      <c r="A168" s="8">
        <v>42229</v>
      </c>
      <c r="B168">
        <v>68.40100000000001</v>
      </c>
      <c r="C168">
        <v>22.800333333333334</v>
      </c>
      <c r="D168">
        <v>51.806079080943981</v>
      </c>
      <c r="E168">
        <v>0</v>
      </c>
      <c r="F168">
        <v>58.153061233998926</v>
      </c>
      <c r="G168">
        <v>0</v>
      </c>
    </row>
    <row r="169" spans="1:7" x14ac:dyDescent="0.35">
      <c r="A169" s="8">
        <v>42229</v>
      </c>
      <c r="B169">
        <v>68.40100000000001</v>
      </c>
      <c r="C169">
        <v>22.800333333333334</v>
      </c>
      <c r="D169">
        <v>51.806079080943981</v>
      </c>
      <c r="E169">
        <v>0</v>
      </c>
      <c r="F169">
        <v>58.153061233998926</v>
      </c>
      <c r="G169">
        <v>0</v>
      </c>
    </row>
    <row r="170" spans="1:7" x14ac:dyDescent="0.35">
      <c r="A170" s="8">
        <v>42229</v>
      </c>
      <c r="B170">
        <v>68.40100000000001</v>
      </c>
      <c r="C170">
        <v>22.800333333333334</v>
      </c>
      <c r="D170">
        <v>51.806079080943981</v>
      </c>
      <c r="E170">
        <v>0</v>
      </c>
      <c r="F170">
        <v>58.153061233998926</v>
      </c>
      <c r="G170">
        <v>0</v>
      </c>
    </row>
    <row r="171" spans="1:7" x14ac:dyDescent="0.35">
      <c r="A171" s="8">
        <v>42229</v>
      </c>
      <c r="B171">
        <v>68.40100000000001</v>
      </c>
      <c r="C171">
        <v>22.800333333333334</v>
      </c>
      <c r="D171">
        <v>51.806079080943981</v>
      </c>
      <c r="E171">
        <v>0</v>
      </c>
      <c r="F171">
        <v>58.153061233998926</v>
      </c>
      <c r="G171">
        <v>0</v>
      </c>
    </row>
    <row r="172" spans="1:7" x14ac:dyDescent="0.35">
      <c r="A172" s="8">
        <v>42229</v>
      </c>
      <c r="B172">
        <v>68.40100000000001</v>
      </c>
      <c r="C172">
        <v>22.800333333333334</v>
      </c>
      <c r="D172">
        <v>51.806079080943981</v>
      </c>
      <c r="E172">
        <v>0</v>
      </c>
      <c r="F172">
        <v>58.153061233998926</v>
      </c>
      <c r="G172">
        <v>0</v>
      </c>
    </row>
    <row r="173" spans="1:7" x14ac:dyDescent="0.35">
      <c r="A173" s="8">
        <v>42229</v>
      </c>
      <c r="B173">
        <v>68.40100000000001</v>
      </c>
      <c r="C173">
        <v>22.800333333333334</v>
      </c>
      <c r="D173">
        <v>51.806079080943981</v>
      </c>
      <c r="E173">
        <v>0</v>
      </c>
      <c r="F173">
        <v>58.153061233998926</v>
      </c>
      <c r="G173">
        <v>0</v>
      </c>
    </row>
    <row r="174" spans="1:7" x14ac:dyDescent="0.35">
      <c r="A174" s="8">
        <v>42229</v>
      </c>
      <c r="B174">
        <v>68.40100000000001</v>
      </c>
      <c r="C174">
        <v>22.800333333333334</v>
      </c>
      <c r="D174">
        <v>51.806079080943981</v>
      </c>
      <c r="E174">
        <v>0</v>
      </c>
      <c r="F174">
        <v>58.153061233998926</v>
      </c>
      <c r="G174">
        <v>0</v>
      </c>
    </row>
    <row r="175" spans="1:7" x14ac:dyDescent="0.35">
      <c r="A175" s="8">
        <v>42229</v>
      </c>
      <c r="B175">
        <v>68.40100000000001</v>
      </c>
      <c r="C175">
        <v>22.800333333333334</v>
      </c>
      <c r="D175">
        <v>51.806079080943981</v>
      </c>
      <c r="E175">
        <v>0</v>
      </c>
      <c r="F175">
        <v>58.153061233998926</v>
      </c>
      <c r="G175">
        <v>0</v>
      </c>
    </row>
    <row r="176" spans="1:7" x14ac:dyDescent="0.35">
      <c r="A176" s="8">
        <v>42229</v>
      </c>
      <c r="B176">
        <v>68.40100000000001</v>
      </c>
      <c r="C176">
        <v>22.800333333333334</v>
      </c>
      <c r="D176">
        <v>51.806079080943981</v>
      </c>
      <c r="E176">
        <v>0</v>
      </c>
      <c r="F176">
        <v>58.153061233998926</v>
      </c>
      <c r="G176">
        <v>0</v>
      </c>
    </row>
    <row r="177" spans="1:7" x14ac:dyDescent="0.35">
      <c r="A177" s="8">
        <v>42229</v>
      </c>
      <c r="B177">
        <v>68.40100000000001</v>
      </c>
      <c r="C177">
        <v>22.800333333333334</v>
      </c>
      <c r="D177">
        <v>51.806079080943981</v>
      </c>
      <c r="E177">
        <v>0</v>
      </c>
      <c r="F177">
        <v>58.153061233998926</v>
      </c>
      <c r="G177">
        <v>0</v>
      </c>
    </row>
    <row r="178" spans="1:7" x14ac:dyDescent="0.35">
      <c r="A178" s="8">
        <v>42229</v>
      </c>
      <c r="B178">
        <v>68.40100000000001</v>
      </c>
      <c r="C178">
        <v>22.800333333333334</v>
      </c>
      <c r="D178">
        <v>51.806079080943981</v>
      </c>
      <c r="E178">
        <v>0</v>
      </c>
      <c r="F178">
        <v>58.153061233998926</v>
      </c>
      <c r="G178">
        <v>0</v>
      </c>
    </row>
    <row r="179" spans="1:7" x14ac:dyDescent="0.35">
      <c r="A179" s="8">
        <v>42229</v>
      </c>
      <c r="B179">
        <v>68.40100000000001</v>
      </c>
      <c r="C179">
        <v>22.800333333333334</v>
      </c>
      <c r="D179">
        <v>51.806079080943981</v>
      </c>
      <c r="E179">
        <v>0</v>
      </c>
      <c r="F179">
        <v>58.153061233998926</v>
      </c>
      <c r="G179">
        <v>0</v>
      </c>
    </row>
    <row r="180" spans="1:7" x14ac:dyDescent="0.35">
      <c r="A180" s="8">
        <v>42229</v>
      </c>
      <c r="B180">
        <v>68.40100000000001</v>
      </c>
      <c r="C180">
        <v>22.800333333333334</v>
      </c>
      <c r="D180">
        <v>51.806079080943981</v>
      </c>
      <c r="E180">
        <v>0</v>
      </c>
      <c r="F180">
        <v>58.153061233998926</v>
      </c>
      <c r="G180">
        <v>0</v>
      </c>
    </row>
    <row r="181" spans="1:7" x14ac:dyDescent="0.35">
      <c r="A181" s="8">
        <v>42229</v>
      </c>
      <c r="B181">
        <v>68.40100000000001</v>
      </c>
      <c r="C181">
        <v>22.800333333333334</v>
      </c>
      <c r="D181">
        <v>51.806079080943981</v>
      </c>
      <c r="E181">
        <v>0</v>
      </c>
      <c r="F181">
        <v>58.153061233998926</v>
      </c>
      <c r="G181">
        <v>0</v>
      </c>
    </row>
    <row r="182" spans="1:7" x14ac:dyDescent="0.35">
      <c r="A182" s="8">
        <v>42229</v>
      </c>
      <c r="B182">
        <v>68.40100000000001</v>
      </c>
      <c r="C182">
        <v>22.800333333333334</v>
      </c>
      <c r="D182">
        <v>51.806079080943981</v>
      </c>
      <c r="E182">
        <v>0</v>
      </c>
      <c r="F182">
        <v>58.153061233998926</v>
      </c>
      <c r="G182">
        <v>0</v>
      </c>
    </row>
    <row r="183" spans="1:7" x14ac:dyDescent="0.35">
      <c r="A183" s="8">
        <v>42229</v>
      </c>
      <c r="B183">
        <v>68.40100000000001</v>
      </c>
      <c r="C183">
        <v>22.800333333333334</v>
      </c>
      <c r="D183">
        <v>51.806079080943981</v>
      </c>
      <c r="E183">
        <v>0</v>
      </c>
      <c r="F183">
        <v>58.153061233998926</v>
      </c>
      <c r="G183">
        <v>0</v>
      </c>
    </row>
    <row r="184" spans="1:7" x14ac:dyDescent="0.35">
      <c r="A184" s="8">
        <v>42229</v>
      </c>
      <c r="B184">
        <v>68.40100000000001</v>
      </c>
      <c r="C184">
        <v>22.800333333333334</v>
      </c>
      <c r="D184">
        <v>51.806079080943981</v>
      </c>
      <c r="E184">
        <v>0</v>
      </c>
      <c r="F184">
        <v>58.153061233998926</v>
      </c>
      <c r="G184">
        <v>0</v>
      </c>
    </row>
    <row r="185" spans="1:7" x14ac:dyDescent="0.35">
      <c r="A185" s="8">
        <v>42229</v>
      </c>
      <c r="B185">
        <v>68.40100000000001</v>
      </c>
      <c r="C185">
        <v>22.800333333333334</v>
      </c>
      <c r="D185">
        <v>51.806079080943981</v>
      </c>
      <c r="E185">
        <v>0</v>
      </c>
      <c r="F185">
        <v>58.153061233998926</v>
      </c>
      <c r="G185">
        <v>0</v>
      </c>
    </row>
    <row r="186" spans="1:7" x14ac:dyDescent="0.35">
      <c r="A186" s="8">
        <v>42229</v>
      </c>
      <c r="B186">
        <v>68.40100000000001</v>
      </c>
      <c r="C186">
        <v>22.800333333333334</v>
      </c>
      <c r="D186">
        <v>51.806079080943981</v>
      </c>
      <c r="E186">
        <v>0</v>
      </c>
      <c r="F186">
        <v>58.153061233998926</v>
      </c>
      <c r="G186">
        <v>0</v>
      </c>
    </row>
    <row r="187" spans="1:7" x14ac:dyDescent="0.35">
      <c r="A187" s="8">
        <v>42229</v>
      </c>
      <c r="B187">
        <v>68.40100000000001</v>
      </c>
      <c r="C187">
        <v>22.800333333333334</v>
      </c>
      <c r="D187">
        <v>51.806079080943981</v>
      </c>
      <c r="E187">
        <v>0</v>
      </c>
      <c r="F187">
        <v>58.153061233998926</v>
      </c>
      <c r="G187">
        <v>0</v>
      </c>
    </row>
    <row r="188" spans="1:7" x14ac:dyDescent="0.35">
      <c r="A188" s="8">
        <v>42229</v>
      </c>
      <c r="B188">
        <v>68.40100000000001</v>
      </c>
      <c r="C188">
        <v>22.800333333333334</v>
      </c>
      <c r="D188">
        <v>51.806079080943981</v>
      </c>
      <c r="E188">
        <v>0</v>
      </c>
      <c r="F188">
        <v>58.153061233998926</v>
      </c>
      <c r="G188">
        <v>0</v>
      </c>
    </row>
    <row r="189" spans="1:7" x14ac:dyDescent="0.35">
      <c r="A189" s="8">
        <v>42229</v>
      </c>
      <c r="B189">
        <v>68.40100000000001</v>
      </c>
      <c r="C189">
        <v>22.800333333333334</v>
      </c>
      <c r="D189">
        <v>51.806079080943981</v>
      </c>
      <c r="E189">
        <v>0</v>
      </c>
      <c r="F189">
        <v>58.153061233998926</v>
      </c>
      <c r="G189">
        <v>0</v>
      </c>
    </row>
    <row r="190" spans="1:7" x14ac:dyDescent="0.35">
      <c r="A190" s="8">
        <v>42229</v>
      </c>
      <c r="B190">
        <v>68.40100000000001</v>
      </c>
      <c r="C190">
        <v>22.800333333333334</v>
      </c>
      <c r="D190">
        <v>51.806079080943981</v>
      </c>
      <c r="E190">
        <v>0</v>
      </c>
      <c r="F190">
        <v>58.153061233998926</v>
      </c>
      <c r="G190">
        <v>0</v>
      </c>
    </row>
    <row r="191" spans="1:7" x14ac:dyDescent="0.35">
      <c r="A191" s="8">
        <v>42229</v>
      </c>
      <c r="B191">
        <v>68.40100000000001</v>
      </c>
      <c r="C191">
        <v>22.800333333333334</v>
      </c>
      <c r="D191">
        <v>51.806079080943981</v>
      </c>
      <c r="E191">
        <v>0</v>
      </c>
      <c r="F191">
        <v>58.153061233998926</v>
      </c>
      <c r="G191">
        <v>0</v>
      </c>
    </row>
    <row r="192" spans="1:7" x14ac:dyDescent="0.35">
      <c r="A192" s="8">
        <v>42229</v>
      </c>
      <c r="B192">
        <v>68.40100000000001</v>
      </c>
      <c r="C192">
        <v>22.800333333333334</v>
      </c>
      <c r="D192">
        <v>51.806079080943981</v>
      </c>
      <c r="E192">
        <v>0</v>
      </c>
      <c r="F192">
        <v>58.153061233998926</v>
      </c>
      <c r="G192">
        <v>0</v>
      </c>
    </row>
    <row r="193" spans="1:7" x14ac:dyDescent="0.35">
      <c r="A193" s="8">
        <v>42229</v>
      </c>
      <c r="B193">
        <v>68.40100000000001</v>
      </c>
      <c r="C193">
        <v>22.800333333333334</v>
      </c>
      <c r="D193">
        <v>51.806079080943981</v>
      </c>
      <c r="E193">
        <v>0</v>
      </c>
      <c r="F193">
        <v>58.153061233998926</v>
      </c>
      <c r="G193">
        <v>0</v>
      </c>
    </row>
    <row r="194" spans="1:7" x14ac:dyDescent="0.35">
      <c r="A194" s="8">
        <v>42229</v>
      </c>
      <c r="B194">
        <v>68.40100000000001</v>
      </c>
      <c r="C194">
        <v>22.800333333333334</v>
      </c>
      <c r="D194">
        <v>51.806079080943981</v>
      </c>
      <c r="E194">
        <v>0</v>
      </c>
      <c r="F194">
        <v>58.153061233998926</v>
      </c>
      <c r="G194">
        <v>0</v>
      </c>
    </row>
    <row r="195" spans="1:7" x14ac:dyDescent="0.35">
      <c r="A195" s="8">
        <v>42229</v>
      </c>
      <c r="B195">
        <v>68.40100000000001</v>
      </c>
      <c r="C195">
        <v>22.800333333333334</v>
      </c>
      <c r="D195">
        <v>51.806079080943981</v>
      </c>
      <c r="E195">
        <v>0</v>
      </c>
      <c r="F195">
        <v>58.153061233998926</v>
      </c>
      <c r="G195">
        <v>0</v>
      </c>
    </row>
    <row r="196" spans="1:7" x14ac:dyDescent="0.35">
      <c r="A196" s="8">
        <v>42229</v>
      </c>
      <c r="B196">
        <v>68.40100000000001</v>
      </c>
      <c r="C196">
        <v>22.800333333333334</v>
      </c>
      <c r="D196">
        <v>51.806079080943981</v>
      </c>
      <c r="E196">
        <v>0</v>
      </c>
      <c r="F196">
        <v>58.153061233998926</v>
      </c>
      <c r="G196">
        <v>0</v>
      </c>
    </row>
    <row r="197" spans="1:7" x14ac:dyDescent="0.35">
      <c r="A197" s="8">
        <v>42229</v>
      </c>
      <c r="B197">
        <v>68.40100000000001</v>
      </c>
      <c r="C197">
        <v>22.800333333333334</v>
      </c>
      <c r="D197">
        <v>51.806079080943981</v>
      </c>
      <c r="E197">
        <v>0</v>
      </c>
      <c r="F197">
        <v>58.153061233998926</v>
      </c>
      <c r="G197">
        <v>0</v>
      </c>
    </row>
    <row r="198" spans="1:7" x14ac:dyDescent="0.35">
      <c r="A198" s="8">
        <v>42229</v>
      </c>
      <c r="B198">
        <v>68.40100000000001</v>
      </c>
      <c r="C198">
        <v>22.800333333333334</v>
      </c>
      <c r="D198">
        <v>51.806079080943981</v>
      </c>
      <c r="E198">
        <v>0</v>
      </c>
      <c r="F198">
        <v>58.153061233998926</v>
      </c>
      <c r="G198">
        <v>0</v>
      </c>
    </row>
    <row r="199" spans="1:7" x14ac:dyDescent="0.35">
      <c r="A199" s="8">
        <v>42229</v>
      </c>
      <c r="B199">
        <v>68.40100000000001</v>
      </c>
      <c r="C199">
        <v>22.800333333333334</v>
      </c>
      <c r="D199">
        <v>51.806079080943981</v>
      </c>
      <c r="E199">
        <v>0</v>
      </c>
      <c r="F199">
        <v>58.153061233998926</v>
      </c>
      <c r="G199">
        <v>0</v>
      </c>
    </row>
    <row r="200" spans="1:7" x14ac:dyDescent="0.35">
      <c r="A200" s="8">
        <v>42229</v>
      </c>
      <c r="B200">
        <v>68.40100000000001</v>
      </c>
      <c r="C200">
        <v>22.800333333333334</v>
      </c>
      <c r="D200">
        <v>51.806079080943981</v>
      </c>
      <c r="E200">
        <v>0</v>
      </c>
      <c r="F200">
        <v>58.153061233998926</v>
      </c>
      <c r="G200">
        <v>0</v>
      </c>
    </row>
    <row r="201" spans="1:7" x14ac:dyDescent="0.35">
      <c r="A201" s="8">
        <v>42229</v>
      </c>
      <c r="B201">
        <v>68.40100000000001</v>
      </c>
      <c r="C201">
        <v>22.800333333333334</v>
      </c>
      <c r="D201">
        <v>51.806079080943981</v>
      </c>
      <c r="E201">
        <v>0</v>
      </c>
      <c r="F201">
        <v>58.153061233998926</v>
      </c>
      <c r="G201">
        <v>0</v>
      </c>
    </row>
    <row r="202" spans="1:7" x14ac:dyDescent="0.35">
      <c r="A202" s="8">
        <v>42229</v>
      </c>
      <c r="B202">
        <v>68.40100000000001</v>
      </c>
      <c r="C202">
        <v>22.800333333333334</v>
      </c>
      <c r="D202">
        <v>51.806079080943981</v>
      </c>
      <c r="E202">
        <v>0</v>
      </c>
      <c r="F202">
        <v>58.153061233998926</v>
      </c>
      <c r="G202">
        <v>0</v>
      </c>
    </row>
    <row r="203" spans="1:7" x14ac:dyDescent="0.35">
      <c r="A203" s="8">
        <v>42229</v>
      </c>
      <c r="B203">
        <v>68.40100000000001</v>
      </c>
      <c r="C203">
        <v>22.800333333333334</v>
      </c>
      <c r="D203">
        <v>51.806079080943981</v>
      </c>
      <c r="E203">
        <v>0</v>
      </c>
      <c r="F203">
        <v>58.153061233998926</v>
      </c>
      <c r="G203">
        <v>0</v>
      </c>
    </row>
    <row r="204" spans="1:7" x14ac:dyDescent="0.35">
      <c r="A204" s="8">
        <v>42229</v>
      </c>
      <c r="B204">
        <v>68.40100000000001</v>
      </c>
      <c r="C204">
        <v>22.800333333333334</v>
      </c>
      <c r="D204">
        <v>51.806079080943981</v>
      </c>
      <c r="E204">
        <v>0</v>
      </c>
      <c r="F204">
        <v>58.153061233998926</v>
      </c>
      <c r="G204">
        <v>0</v>
      </c>
    </row>
    <row r="205" spans="1:7" x14ac:dyDescent="0.35">
      <c r="A205" s="8">
        <v>42229</v>
      </c>
      <c r="B205">
        <v>68.40100000000001</v>
      </c>
      <c r="C205">
        <v>22.800333333333334</v>
      </c>
      <c r="D205">
        <v>51.806079080943981</v>
      </c>
      <c r="E205">
        <v>0</v>
      </c>
      <c r="F205">
        <v>58.153061233998926</v>
      </c>
      <c r="G205">
        <v>0</v>
      </c>
    </row>
    <row r="206" spans="1:7" x14ac:dyDescent="0.35">
      <c r="A206" s="8">
        <v>42229</v>
      </c>
      <c r="B206">
        <v>68.40100000000001</v>
      </c>
      <c r="C206">
        <v>22.800333333333334</v>
      </c>
      <c r="D206">
        <v>51.806079080943981</v>
      </c>
      <c r="E206">
        <v>0</v>
      </c>
      <c r="F206">
        <v>58.153061233998926</v>
      </c>
      <c r="G206">
        <v>0</v>
      </c>
    </row>
    <row r="207" spans="1:7" x14ac:dyDescent="0.35">
      <c r="A207" s="8">
        <v>42229</v>
      </c>
      <c r="B207">
        <v>68.40100000000001</v>
      </c>
      <c r="C207">
        <v>22.800333333333334</v>
      </c>
      <c r="D207">
        <v>51.806079080943981</v>
      </c>
      <c r="E207">
        <v>0</v>
      </c>
      <c r="F207">
        <v>58.153061233998926</v>
      </c>
      <c r="G207">
        <v>0</v>
      </c>
    </row>
    <row r="208" spans="1:7" x14ac:dyDescent="0.35">
      <c r="A208" s="8">
        <v>42229</v>
      </c>
      <c r="B208">
        <v>68.40100000000001</v>
      </c>
      <c r="C208">
        <v>22.800333333333334</v>
      </c>
      <c r="D208">
        <v>51.806079080943981</v>
      </c>
      <c r="E208">
        <v>0</v>
      </c>
      <c r="F208">
        <v>58.153061233998926</v>
      </c>
      <c r="G208">
        <v>0</v>
      </c>
    </row>
    <row r="209" spans="1:7" x14ac:dyDescent="0.35">
      <c r="A209" s="8">
        <v>42229</v>
      </c>
      <c r="B209">
        <v>68.40100000000001</v>
      </c>
      <c r="C209">
        <v>22.800333333333334</v>
      </c>
      <c r="D209">
        <v>51.806079080943981</v>
      </c>
      <c r="E209">
        <v>0</v>
      </c>
      <c r="F209">
        <v>58.153061233998926</v>
      </c>
      <c r="G209">
        <v>0</v>
      </c>
    </row>
    <row r="210" spans="1:7" x14ac:dyDescent="0.35">
      <c r="A210" s="8">
        <v>42229</v>
      </c>
      <c r="B210">
        <v>68.40100000000001</v>
      </c>
      <c r="C210">
        <v>22.800333333333334</v>
      </c>
      <c r="D210">
        <v>51.806079080943981</v>
      </c>
      <c r="E210">
        <v>0</v>
      </c>
      <c r="F210">
        <v>58.153061233998926</v>
      </c>
      <c r="G210">
        <v>0</v>
      </c>
    </row>
    <row r="211" spans="1:7" x14ac:dyDescent="0.35">
      <c r="A211" s="8">
        <v>42229</v>
      </c>
      <c r="B211">
        <v>68.40100000000001</v>
      </c>
      <c r="C211">
        <v>22.800333333333334</v>
      </c>
      <c r="D211">
        <v>51.806079080943981</v>
      </c>
      <c r="E211">
        <v>0</v>
      </c>
      <c r="F211">
        <v>58.153061233998926</v>
      </c>
      <c r="G211">
        <v>0</v>
      </c>
    </row>
    <row r="212" spans="1:7" x14ac:dyDescent="0.35">
      <c r="A212" s="8">
        <v>42229</v>
      </c>
      <c r="B212">
        <v>68.40100000000001</v>
      </c>
      <c r="C212">
        <v>22.800333333333334</v>
      </c>
      <c r="D212">
        <v>51.806079080943981</v>
      </c>
      <c r="E212">
        <v>0</v>
      </c>
      <c r="F212">
        <v>58.153061233998926</v>
      </c>
      <c r="G212">
        <v>0</v>
      </c>
    </row>
    <row r="213" spans="1:7" x14ac:dyDescent="0.35">
      <c r="A213" s="8">
        <v>42229</v>
      </c>
      <c r="B213">
        <v>68.40100000000001</v>
      </c>
      <c r="C213">
        <v>22.800333333333334</v>
      </c>
      <c r="D213">
        <v>51.806079080943981</v>
      </c>
      <c r="E213">
        <v>0</v>
      </c>
      <c r="F213">
        <v>58.153061233998926</v>
      </c>
      <c r="G213">
        <v>0</v>
      </c>
    </row>
    <row r="214" spans="1:7" x14ac:dyDescent="0.35">
      <c r="A214" s="8">
        <v>42229</v>
      </c>
      <c r="B214">
        <v>68.40100000000001</v>
      </c>
      <c r="C214">
        <v>22.800333333333334</v>
      </c>
      <c r="D214">
        <v>51.806079080943981</v>
      </c>
      <c r="E214">
        <v>0</v>
      </c>
      <c r="F214">
        <v>58.153061233998926</v>
      </c>
      <c r="G214">
        <v>0</v>
      </c>
    </row>
    <row r="215" spans="1:7" x14ac:dyDescent="0.35">
      <c r="A215" s="8">
        <v>42229</v>
      </c>
      <c r="B215">
        <v>68.40100000000001</v>
      </c>
      <c r="C215">
        <v>22.800333333333334</v>
      </c>
      <c r="D215">
        <v>51.806079080943981</v>
      </c>
      <c r="E215">
        <v>0</v>
      </c>
      <c r="F215">
        <v>58.153061233998926</v>
      </c>
      <c r="G215">
        <v>0</v>
      </c>
    </row>
    <row r="216" spans="1:7" x14ac:dyDescent="0.35">
      <c r="A216" s="8">
        <v>42229</v>
      </c>
      <c r="B216">
        <v>68.40100000000001</v>
      </c>
      <c r="C216">
        <v>22.800333333333334</v>
      </c>
      <c r="D216">
        <v>51.806079080943981</v>
      </c>
      <c r="E216">
        <v>0</v>
      </c>
      <c r="F216">
        <v>58.153061233998926</v>
      </c>
      <c r="G216">
        <v>0</v>
      </c>
    </row>
    <row r="217" spans="1:7" x14ac:dyDescent="0.35">
      <c r="A217" s="8">
        <v>42229</v>
      </c>
      <c r="B217">
        <v>68.40100000000001</v>
      </c>
      <c r="C217">
        <v>22.800333333333334</v>
      </c>
      <c r="D217">
        <v>51.806079080943981</v>
      </c>
      <c r="E217">
        <v>0</v>
      </c>
      <c r="F217">
        <v>58.153061233998926</v>
      </c>
      <c r="G217">
        <v>0</v>
      </c>
    </row>
    <row r="218" spans="1:7" x14ac:dyDescent="0.35">
      <c r="A218" s="8">
        <v>42229</v>
      </c>
      <c r="B218">
        <v>68.40100000000001</v>
      </c>
      <c r="C218">
        <v>22.800333333333334</v>
      </c>
      <c r="D218">
        <v>51.806079080943981</v>
      </c>
      <c r="E218">
        <v>0</v>
      </c>
      <c r="F218">
        <v>58.153061233998926</v>
      </c>
      <c r="G218">
        <v>0</v>
      </c>
    </row>
    <row r="219" spans="1:7" x14ac:dyDescent="0.35">
      <c r="A219" s="8">
        <v>42229</v>
      </c>
      <c r="B219">
        <v>68.40100000000001</v>
      </c>
      <c r="C219">
        <v>22.800333333333334</v>
      </c>
      <c r="D219">
        <v>51.806079080943981</v>
      </c>
      <c r="E219">
        <v>0</v>
      </c>
      <c r="F219">
        <v>58.153061233998926</v>
      </c>
      <c r="G219">
        <v>0</v>
      </c>
    </row>
    <row r="220" spans="1:7" x14ac:dyDescent="0.35">
      <c r="A220" s="8">
        <v>42229</v>
      </c>
      <c r="B220">
        <v>68.40100000000001</v>
      </c>
      <c r="C220">
        <v>22.800333333333334</v>
      </c>
      <c r="D220">
        <v>51.806079080943981</v>
      </c>
      <c r="E220">
        <v>0</v>
      </c>
      <c r="F220">
        <v>58.153061233998926</v>
      </c>
      <c r="G220">
        <v>0</v>
      </c>
    </row>
    <row r="221" spans="1:7" x14ac:dyDescent="0.35">
      <c r="A221" s="8">
        <v>42229</v>
      </c>
      <c r="B221">
        <v>68.40100000000001</v>
      </c>
      <c r="C221">
        <v>22.800333333333334</v>
      </c>
      <c r="D221">
        <v>51.806079080943981</v>
      </c>
      <c r="E221">
        <v>0</v>
      </c>
      <c r="F221">
        <v>58.153061233998926</v>
      </c>
      <c r="G221">
        <v>0</v>
      </c>
    </row>
    <row r="222" spans="1:7" x14ac:dyDescent="0.35">
      <c r="A222" s="8">
        <v>42229</v>
      </c>
      <c r="B222">
        <v>68.40100000000001</v>
      </c>
      <c r="C222">
        <v>22.800333333333334</v>
      </c>
      <c r="D222">
        <v>51.806079080943981</v>
      </c>
      <c r="E222">
        <v>0</v>
      </c>
      <c r="F222">
        <v>58.153061233998926</v>
      </c>
      <c r="G222">
        <v>0</v>
      </c>
    </row>
    <row r="223" spans="1:7" x14ac:dyDescent="0.35">
      <c r="A223" s="8">
        <v>42229</v>
      </c>
      <c r="B223">
        <v>68.40100000000001</v>
      </c>
      <c r="C223">
        <v>22.800333333333334</v>
      </c>
      <c r="D223">
        <v>51.806079080943981</v>
      </c>
      <c r="E223">
        <v>0</v>
      </c>
      <c r="F223">
        <v>58.153061233998926</v>
      </c>
      <c r="G223">
        <v>0</v>
      </c>
    </row>
    <row r="224" spans="1:7" x14ac:dyDescent="0.35">
      <c r="A224" s="8">
        <v>42229</v>
      </c>
      <c r="B224">
        <v>68.40100000000001</v>
      </c>
      <c r="C224">
        <v>22.800333333333334</v>
      </c>
      <c r="D224">
        <v>51.806079080943981</v>
      </c>
      <c r="E224">
        <v>0</v>
      </c>
      <c r="F224">
        <v>58.153061233998926</v>
      </c>
      <c r="G224">
        <v>0</v>
      </c>
    </row>
    <row r="225" spans="1:7" x14ac:dyDescent="0.35">
      <c r="A225" s="8">
        <v>42229</v>
      </c>
      <c r="B225">
        <v>68.40100000000001</v>
      </c>
      <c r="C225">
        <v>22.800333333333334</v>
      </c>
      <c r="D225">
        <v>51.806079080943981</v>
      </c>
      <c r="E225">
        <v>0</v>
      </c>
      <c r="F225">
        <v>58.153061233998926</v>
      </c>
      <c r="G225">
        <v>0</v>
      </c>
    </row>
    <row r="226" spans="1:7" x14ac:dyDescent="0.35">
      <c r="A226" s="8">
        <v>42229</v>
      </c>
      <c r="B226">
        <v>68.40100000000001</v>
      </c>
      <c r="C226">
        <v>22.800333333333334</v>
      </c>
      <c r="D226">
        <v>51.806079080943981</v>
      </c>
      <c r="E226">
        <v>0</v>
      </c>
      <c r="F226">
        <v>58.153061233998926</v>
      </c>
      <c r="G226">
        <v>0</v>
      </c>
    </row>
    <row r="227" spans="1:7" x14ac:dyDescent="0.35">
      <c r="A227" s="8">
        <v>42229</v>
      </c>
      <c r="B227">
        <v>68.40100000000001</v>
      </c>
      <c r="C227">
        <v>22.800333333333334</v>
      </c>
      <c r="D227">
        <v>51.806079080943981</v>
      </c>
      <c r="E227">
        <v>0</v>
      </c>
      <c r="F227">
        <v>58.153061233998926</v>
      </c>
      <c r="G227">
        <v>0</v>
      </c>
    </row>
    <row r="228" spans="1:7" x14ac:dyDescent="0.35">
      <c r="A228" s="8">
        <v>42229</v>
      </c>
      <c r="B228">
        <v>68.40100000000001</v>
      </c>
      <c r="C228">
        <v>22.800333333333334</v>
      </c>
      <c r="D228">
        <v>51.806079080943981</v>
      </c>
      <c r="E228">
        <v>0</v>
      </c>
      <c r="F228">
        <v>58.153061233998926</v>
      </c>
      <c r="G228">
        <v>0</v>
      </c>
    </row>
    <row r="229" spans="1:7" x14ac:dyDescent="0.35">
      <c r="A229" s="8">
        <v>42229</v>
      </c>
      <c r="B229">
        <v>68.40100000000001</v>
      </c>
      <c r="C229">
        <v>22.800333333333334</v>
      </c>
      <c r="D229">
        <v>51.806079080943981</v>
      </c>
      <c r="E229">
        <v>0</v>
      </c>
      <c r="F229">
        <v>58.153061233998926</v>
      </c>
      <c r="G229">
        <v>0</v>
      </c>
    </row>
    <row r="230" spans="1:7" x14ac:dyDescent="0.35">
      <c r="A230" s="8">
        <v>42229</v>
      </c>
      <c r="B230">
        <v>68.40100000000001</v>
      </c>
      <c r="C230">
        <v>22.800333333333334</v>
      </c>
      <c r="D230">
        <v>51.806079080943981</v>
      </c>
      <c r="E230">
        <v>0</v>
      </c>
      <c r="F230">
        <v>58.153061233998926</v>
      </c>
      <c r="G230">
        <v>0</v>
      </c>
    </row>
    <row r="231" spans="1:7" x14ac:dyDescent="0.35">
      <c r="A231" s="8">
        <v>42229</v>
      </c>
      <c r="B231">
        <v>68.40100000000001</v>
      </c>
      <c r="C231">
        <v>22.800333333333334</v>
      </c>
      <c r="D231">
        <v>51.806079080943981</v>
      </c>
      <c r="E231">
        <v>0</v>
      </c>
      <c r="F231">
        <v>58.153061233998926</v>
      </c>
      <c r="G231">
        <v>0</v>
      </c>
    </row>
    <row r="232" spans="1:7" x14ac:dyDescent="0.35">
      <c r="A232" s="8">
        <v>42229</v>
      </c>
      <c r="B232">
        <v>68.40100000000001</v>
      </c>
      <c r="C232">
        <v>22.800333333333334</v>
      </c>
      <c r="D232">
        <v>51.806079080943981</v>
      </c>
      <c r="E232">
        <v>0</v>
      </c>
      <c r="F232">
        <v>58.153061233998926</v>
      </c>
      <c r="G232">
        <v>0</v>
      </c>
    </row>
    <row r="233" spans="1:7" x14ac:dyDescent="0.35">
      <c r="A233" s="8">
        <v>42229</v>
      </c>
      <c r="B233">
        <v>68.40100000000001</v>
      </c>
      <c r="C233">
        <v>22.800333333333334</v>
      </c>
      <c r="D233">
        <v>51.806079080943981</v>
      </c>
      <c r="E233">
        <v>0</v>
      </c>
      <c r="F233">
        <v>58.153061233998926</v>
      </c>
      <c r="G233">
        <v>0</v>
      </c>
    </row>
    <row r="234" spans="1:7" x14ac:dyDescent="0.35">
      <c r="A234" s="8">
        <v>42229</v>
      </c>
      <c r="B234">
        <v>68.40100000000001</v>
      </c>
      <c r="C234">
        <v>22.800333333333334</v>
      </c>
      <c r="D234">
        <v>51.806079080943981</v>
      </c>
      <c r="E234">
        <v>0</v>
      </c>
      <c r="F234">
        <v>58.153061233998926</v>
      </c>
      <c r="G234">
        <v>0</v>
      </c>
    </row>
    <row r="235" spans="1:7" x14ac:dyDescent="0.35">
      <c r="A235" s="8">
        <v>42229</v>
      </c>
      <c r="B235">
        <v>68.40100000000001</v>
      </c>
      <c r="C235">
        <v>22.800333333333334</v>
      </c>
      <c r="D235">
        <v>51.806079080943981</v>
      </c>
      <c r="E235">
        <v>0</v>
      </c>
      <c r="F235">
        <v>58.153061233998926</v>
      </c>
      <c r="G235">
        <v>0</v>
      </c>
    </row>
    <row r="236" spans="1:7" x14ac:dyDescent="0.35">
      <c r="A236" s="8">
        <v>42229</v>
      </c>
      <c r="B236">
        <v>68.40100000000001</v>
      </c>
      <c r="C236">
        <v>22.800333333333334</v>
      </c>
      <c r="D236">
        <v>51.806079080943981</v>
      </c>
      <c r="E236">
        <v>0</v>
      </c>
      <c r="F236">
        <v>58.153061233998926</v>
      </c>
      <c r="G236">
        <v>0</v>
      </c>
    </row>
    <row r="237" spans="1:7" x14ac:dyDescent="0.35">
      <c r="A237" s="8">
        <v>42229</v>
      </c>
      <c r="B237">
        <v>68.40100000000001</v>
      </c>
      <c r="C237">
        <v>22.800333333333334</v>
      </c>
      <c r="D237">
        <v>51.806079080943981</v>
      </c>
      <c r="E237">
        <v>0</v>
      </c>
      <c r="F237">
        <v>58.153061233998926</v>
      </c>
      <c r="G237">
        <v>0</v>
      </c>
    </row>
    <row r="238" spans="1:7" x14ac:dyDescent="0.35">
      <c r="A238" s="8">
        <v>42229</v>
      </c>
      <c r="B238">
        <v>68.40100000000001</v>
      </c>
      <c r="C238">
        <v>22.800333333333334</v>
      </c>
      <c r="D238">
        <v>51.806079080943981</v>
      </c>
      <c r="E238">
        <v>0</v>
      </c>
      <c r="F238">
        <v>58.153061233998926</v>
      </c>
      <c r="G238">
        <v>0</v>
      </c>
    </row>
    <row r="239" spans="1:7" x14ac:dyDescent="0.35">
      <c r="A239" s="8">
        <v>42229</v>
      </c>
      <c r="B239">
        <v>68.40100000000001</v>
      </c>
      <c r="C239">
        <v>22.800333333333334</v>
      </c>
      <c r="D239">
        <v>51.806079080943981</v>
      </c>
      <c r="E239">
        <v>0</v>
      </c>
      <c r="F239">
        <v>58.153061233998926</v>
      </c>
      <c r="G239">
        <v>0</v>
      </c>
    </row>
    <row r="240" spans="1:7" x14ac:dyDescent="0.35">
      <c r="A240" s="8">
        <v>42229</v>
      </c>
      <c r="B240">
        <v>68.40100000000001</v>
      </c>
      <c r="C240">
        <v>22.800333333333334</v>
      </c>
      <c r="D240">
        <v>51.806079080943981</v>
      </c>
      <c r="E240">
        <v>0</v>
      </c>
      <c r="F240">
        <v>58.153061233998926</v>
      </c>
      <c r="G240">
        <v>0</v>
      </c>
    </row>
    <row r="241" spans="1:7" x14ac:dyDescent="0.35">
      <c r="A241" s="8">
        <v>42229</v>
      </c>
      <c r="B241">
        <v>68.40100000000001</v>
      </c>
      <c r="C241">
        <v>22.800333333333334</v>
      </c>
      <c r="D241">
        <v>51.806079080943981</v>
      </c>
      <c r="E241">
        <v>0</v>
      </c>
      <c r="F241">
        <v>58.153061233998926</v>
      </c>
      <c r="G241">
        <v>0</v>
      </c>
    </row>
    <row r="242" spans="1:7" x14ac:dyDescent="0.35">
      <c r="A242" s="8">
        <v>42229</v>
      </c>
      <c r="B242">
        <v>68.40100000000001</v>
      </c>
      <c r="C242">
        <v>22.800333333333334</v>
      </c>
      <c r="D242">
        <v>51.806079080943981</v>
      </c>
      <c r="E242">
        <v>0</v>
      </c>
      <c r="F242">
        <v>58.153061233998926</v>
      </c>
      <c r="G242">
        <v>0</v>
      </c>
    </row>
    <row r="243" spans="1:7" x14ac:dyDescent="0.35">
      <c r="A243" s="8">
        <v>42229</v>
      </c>
      <c r="B243">
        <v>68.40100000000001</v>
      </c>
      <c r="C243">
        <v>22.800333333333334</v>
      </c>
      <c r="D243">
        <v>51.806079080943981</v>
      </c>
      <c r="E243">
        <v>0</v>
      </c>
      <c r="F243">
        <v>58.153061233998926</v>
      </c>
      <c r="G243">
        <v>0</v>
      </c>
    </row>
    <row r="244" spans="1:7" x14ac:dyDescent="0.35">
      <c r="A244" s="8">
        <v>42229</v>
      </c>
      <c r="B244">
        <v>68.40100000000001</v>
      </c>
      <c r="C244">
        <v>22.800333333333334</v>
      </c>
      <c r="D244">
        <v>51.806079080943981</v>
      </c>
      <c r="E244">
        <v>0</v>
      </c>
      <c r="F244">
        <v>58.153061233998926</v>
      </c>
      <c r="G244">
        <v>0</v>
      </c>
    </row>
    <row r="245" spans="1:7" x14ac:dyDescent="0.35">
      <c r="A245" s="8">
        <v>42229</v>
      </c>
      <c r="B245">
        <v>68.40100000000001</v>
      </c>
      <c r="C245">
        <v>22.800333333333334</v>
      </c>
      <c r="D245">
        <v>51.806079080943981</v>
      </c>
      <c r="E245">
        <v>0</v>
      </c>
      <c r="F245">
        <v>58.153061233998926</v>
      </c>
      <c r="G245">
        <v>0</v>
      </c>
    </row>
    <row r="246" spans="1:7" x14ac:dyDescent="0.35">
      <c r="A246" s="8">
        <v>42229</v>
      </c>
      <c r="B246">
        <v>68.40100000000001</v>
      </c>
      <c r="C246">
        <v>22.800333333333334</v>
      </c>
      <c r="D246">
        <v>51.806079080943981</v>
      </c>
      <c r="E246">
        <v>0</v>
      </c>
      <c r="F246">
        <v>58.153061233998926</v>
      </c>
      <c r="G246">
        <v>0</v>
      </c>
    </row>
    <row r="247" spans="1:7" x14ac:dyDescent="0.35">
      <c r="A247" s="8">
        <v>42229</v>
      </c>
      <c r="B247">
        <v>68.40100000000001</v>
      </c>
      <c r="C247">
        <v>22.800333333333334</v>
      </c>
      <c r="D247">
        <v>51.806079080943981</v>
      </c>
      <c r="E247">
        <v>0</v>
      </c>
      <c r="F247">
        <v>58.153061233998926</v>
      </c>
      <c r="G247">
        <v>0</v>
      </c>
    </row>
    <row r="248" spans="1:7" x14ac:dyDescent="0.35">
      <c r="A248" s="8">
        <v>42229</v>
      </c>
      <c r="B248">
        <v>68.40100000000001</v>
      </c>
      <c r="C248">
        <v>22.800333333333334</v>
      </c>
      <c r="D248">
        <v>51.806079080943981</v>
      </c>
      <c r="E248">
        <v>0</v>
      </c>
      <c r="F248">
        <v>58.153061233998926</v>
      </c>
      <c r="G248">
        <v>0</v>
      </c>
    </row>
    <row r="249" spans="1:7" x14ac:dyDescent="0.35">
      <c r="A249" s="8">
        <v>42229</v>
      </c>
      <c r="B249">
        <v>68.40100000000001</v>
      </c>
      <c r="C249">
        <v>22.800333333333334</v>
      </c>
      <c r="D249">
        <v>51.806079080943981</v>
      </c>
      <c r="E249">
        <v>0</v>
      </c>
      <c r="F249">
        <v>58.153061233998926</v>
      </c>
      <c r="G249">
        <v>0</v>
      </c>
    </row>
    <row r="250" spans="1:7" x14ac:dyDescent="0.35">
      <c r="A250" s="8">
        <v>42229</v>
      </c>
      <c r="B250">
        <v>68.40100000000001</v>
      </c>
      <c r="C250">
        <v>22.800333333333334</v>
      </c>
      <c r="D250">
        <v>51.806079080943981</v>
      </c>
      <c r="E250">
        <v>0</v>
      </c>
      <c r="F250">
        <v>58.153061233998926</v>
      </c>
      <c r="G250">
        <v>0</v>
      </c>
    </row>
    <row r="251" spans="1:7" x14ac:dyDescent="0.35">
      <c r="A251" s="8">
        <v>42229</v>
      </c>
      <c r="B251">
        <v>68.40100000000001</v>
      </c>
      <c r="C251">
        <v>22.800333333333334</v>
      </c>
      <c r="D251">
        <v>51.806079080943981</v>
      </c>
      <c r="E251">
        <v>0</v>
      </c>
      <c r="F251">
        <v>58.153061233998926</v>
      </c>
      <c r="G251">
        <v>0</v>
      </c>
    </row>
    <row r="252" spans="1:7" x14ac:dyDescent="0.35">
      <c r="A252" s="8">
        <v>42229</v>
      </c>
      <c r="B252">
        <v>68.40100000000001</v>
      </c>
      <c r="C252">
        <v>22.800333333333334</v>
      </c>
      <c r="D252">
        <v>51.806079080943981</v>
      </c>
      <c r="E252">
        <v>0</v>
      </c>
      <c r="F252">
        <v>58.153061233998926</v>
      </c>
      <c r="G252">
        <v>0</v>
      </c>
    </row>
    <row r="253" spans="1:7" x14ac:dyDescent="0.35">
      <c r="A253" s="8">
        <v>42229</v>
      </c>
      <c r="B253">
        <v>68.40100000000001</v>
      </c>
      <c r="C253">
        <v>22.800333333333334</v>
      </c>
      <c r="D253">
        <v>51.806079080943981</v>
      </c>
      <c r="E253">
        <v>0</v>
      </c>
      <c r="F253">
        <v>58.153061233998926</v>
      </c>
      <c r="G253">
        <v>0</v>
      </c>
    </row>
    <row r="254" spans="1:7" x14ac:dyDescent="0.35">
      <c r="A254" s="8">
        <v>42229</v>
      </c>
      <c r="B254">
        <v>68.40100000000001</v>
      </c>
      <c r="C254">
        <v>22.800333333333334</v>
      </c>
      <c r="D254">
        <v>51.806079080943981</v>
      </c>
      <c r="E254">
        <v>0</v>
      </c>
      <c r="F254">
        <v>58.153061233998926</v>
      </c>
      <c r="G254">
        <v>0</v>
      </c>
    </row>
    <row r="255" spans="1:7" x14ac:dyDescent="0.35">
      <c r="A255" s="8">
        <v>42229</v>
      </c>
      <c r="B255">
        <v>68.40100000000001</v>
      </c>
      <c r="C255">
        <v>22.800333333333334</v>
      </c>
      <c r="D255">
        <v>51.806079080943981</v>
      </c>
      <c r="E255">
        <v>0</v>
      </c>
      <c r="F255">
        <v>58.153061233998926</v>
      </c>
      <c r="G255">
        <v>0</v>
      </c>
    </row>
    <row r="256" spans="1:7" x14ac:dyDescent="0.35">
      <c r="A256" s="8">
        <v>42229</v>
      </c>
      <c r="B256">
        <v>68.40100000000001</v>
      </c>
      <c r="C256">
        <v>22.800333333333334</v>
      </c>
      <c r="D256">
        <v>51.806079080943981</v>
      </c>
      <c r="E256">
        <v>0</v>
      </c>
      <c r="F256">
        <v>58.153061233998926</v>
      </c>
      <c r="G256">
        <v>0</v>
      </c>
    </row>
    <row r="257" spans="1:7" x14ac:dyDescent="0.35">
      <c r="A257" s="8">
        <v>42229</v>
      </c>
      <c r="B257">
        <v>68.40100000000001</v>
      </c>
      <c r="C257">
        <v>22.800333333333334</v>
      </c>
      <c r="D257">
        <v>51.806079080943981</v>
      </c>
      <c r="E257">
        <v>0</v>
      </c>
      <c r="F257">
        <v>58.153061233998926</v>
      </c>
      <c r="G257">
        <v>0</v>
      </c>
    </row>
    <row r="258" spans="1:7" x14ac:dyDescent="0.35">
      <c r="A258" s="8">
        <v>42229</v>
      </c>
      <c r="B258">
        <v>68.40100000000001</v>
      </c>
      <c r="C258">
        <v>22.800333333333334</v>
      </c>
      <c r="D258">
        <v>51.806079080943981</v>
      </c>
      <c r="E258">
        <v>0</v>
      </c>
      <c r="F258">
        <v>58.153061233998926</v>
      </c>
      <c r="G258">
        <v>0</v>
      </c>
    </row>
    <row r="259" spans="1:7" x14ac:dyDescent="0.35">
      <c r="A259" s="8">
        <v>42229</v>
      </c>
      <c r="B259">
        <v>68.40100000000001</v>
      </c>
      <c r="C259">
        <v>22.800333333333334</v>
      </c>
      <c r="D259">
        <v>51.806079080943981</v>
      </c>
      <c r="E259">
        <v>0</v>
      </c>
      <c r="F259">
        <v>58.153061233998926</v>
      </c>
      <c r="G259">
        <v>0</v>
      </c>
    </row>
    <row r="260" spans="1:7" x14ac:dyDescent="0.35">
      <c r="A260" s="8">
        <v>42229</v>
      </c>
      <c r="B260">
        <v>68.40100000000001</v>
      </c>
      <c r="C260">
        <v>22.800333333333334</v>
      </c>
      <c r="D260">
        <v>51.806079080943981</v>
      </c>
      <c r="E260">
        <v>0</v>
      </c>
      <c r="F260">
        <v>58.153061233998926</v>
      </c>
      <c r="G260">
        <v>0</v>
      </c>
    </row>
    <row r="261" spans="1:7" x14ac:dyDescent="0.35">
      <c r="A261" s="8">
        <v>42229</v>
      </c>
      <c r="B261">
        <v>68.40100000000001</v>
      </c>
      <c r="C261">
        <v>22.800333333333334</v>
      </c>
      <c r="D261">
        <v>51.806079080943981</v>
      </c>
      <c r="E261">
        <v>0</v>
      </c>
      <c r="F261">
        <v>58.153061233998926</v>
      </c>
      <c r="G261">
        <v>0</v>
      </c>
    </row>
    <row r="262" spans="1:7" x14ac:dyDescent="0.35">
      <c r="A262" s="8">
        <v>42229</v>
      </c>
      <c r="B262">
        <v>68.40100000000001</v>
      </c>
      <c r="C262">
        <v>22.800333333333334</v>
      </c>
      <c r="D262">
        <v>51.806079080943981</v>
      </c>
      <c r="E262">
        <v>0</v>
      </c>
      <c r="F262">
        <v>58.153061233998926</v>
      </c>
      <c r="G262">
        <v>0</v>
      </c>
    </row>
    <row r="263" spans="1:7" x14ac:dyDescent="0.35">
      <c r="A263" s="8">
        <v>42229</v>
      </c>
      <c r="B263">
        <v>68.40100000000001</v>
      </c>
      <c r="C263">
        <v>22.800333333333334</v>
      </c>
      <c r="D263">
        <v>51.806079080943981</v>
      </c>
      <c r="E263">
        <v>0</v>
      </c>
      <c r="F263">
        <v>58.153061233998926</v>
      </c>
      <c r="G263">
        <v>0</v>
      </c>
    </row>
    <row r="264" spans="1:7" x14ac:dyDescent="0.35">
      <c r="A264" s="8">
        <v>42229</v>
      </c>
      <c r="B264">
        <v>68.40100000000001</v>
      </c>
      <c r="C264">
        <v>22.800333333333334</v>
      </c>
      <c r="D264">
        <v>51.806079080943981</v>
      </c>
      <c r="E264">
        <v>0</v>
      </c>
      <c r="F264">
        <v>58.153061233998926</v>
      </c>
      <c r="G264">
        <v>0</v>
      </c>
    </row>
    <row r="265" spans="1:7" x14ac:dyDescent="0.35">
      <c r="A265" s="8">
        <v>42229</v>
      </c>
      <c r="B265">
        <v>68.40100000000001</v>
      </c>
      <c r="C265">
        <v>22.800333333333334</v>
      </c>
      <c r="D265">
        <v>51.806079080943981</v>
      </c>
      <c r="E265">
        <v>0</v>
      </c>
      <c r="F265">
        <v>58.153061233998926</v>
      </c>
      <c r="G265">
        <v>0</v>
      </c>
    </row>
    <row r="266" spans="1:7" x14ac:dyDescent="0.35">
      <c r="A266" s="8">
        <v>42229</v>
      </c>
      <c r="B266">
        <v>68.40100000000001</v>
      </c>
      <c r="C266">
        <v>22.800333333333334</v>
      </c>
      <c r="D266">
        <v>51.806079080943981</v>
      </c>
      <c r="E266">
        <v>0</v>
      </c>
      <c r="F266">
        <v>58.153061233998926</v>
      </c>
      <c r="G266">
        <v>0</v>
      </c>
    </row>
    <row r="267" spans="1:7" x14ac:dyDescent="0.35">
      <c r="A267" s="8">
        <v>42229</v>
      </c>
      <c r="B267">
        <v>68.40100000000001</v>
      </c>
      <c r="C267">
        <v>22.800333333333334</v>
      </c>
      <c r="D267">
        <v>51.806079080943981</v>
      </c>
      <c r="E267">
        <v>0</v>
      </c>
      <c r="F267">
        <v>58.153061233998926</v>
      </c>
      <c r="G267">
        <v>0</v>
      </c>
    </row>
    <row r="268" spans="1:7" x14ac:dyDescent="0.35">
      <c r="A268" s="8">
        <v>42229</v>
      </c>
      <c r="B268">
        <v>68.40100000000001</v>
      </c>
      <c r="C268">
        <v>22.800333333333334</v>
      </c>
      <c r="D268">
        <v>51.806079080943981</v>
      </c>
      <c r="E268">
        <v>0</v>
      </c>
      <c r="F268">
        <v>58.153061233998926</v>
      </c>
      <c r="G268">
        <v>0</v>
      </c>
    </row>
    <row r="269" spans="1:7" x14ac:dyDescent="0.35">
      <c r="A269" s="8">
        <v>42229</v>
      </c>
      <c r="B269">
        <v>68.40100000000001</v>
      </c>
      <c r="C269">
        <v>22.800333333333334</v>
      </c>
      <c r="D269">
        <v>51.806079080943981</v>
      </c>
      <c r="E269">
        <v>0</v>
      </c>
      <c r="F269">
        <v>58.153061233998926</v>
      </c>
      <c r="G269">
        <v>0</v>
      </c>
    </row>
    <row r="270" spans="1:7" x14ac:dyDescent="0.35">
      <c r="A270" s="8">
        <v>42229</v>
      </c>
      <c r="B270">
        <v>68.40100000000001</v>
      </c>
      <c r="C270">
        <v>22.800333333333334</v>
      </c>
      <c r="D270">
        <v>51.806079080943981</v>
      </c>
      <c r="E270">
        <v>0</v>
      </c>
      <c r="F270">
        <v>58.153061233998926</v>
      </c>
      <c r="G270">
        <v>0</v>
      </c>
    </row>
    <row r="271" spans="1:7" x14ac:dyDescent="0.35">
      <c r="A271" s="8">
        <v>42229</v>
      </c>
      <c r="B271">
        <v>68.40100000000001</v>
      </c>
      <c r="C271">
        <v>22.800333333333334</v>
      </c>
      <c r="D271">
        <v>51.806079080943981</v>
      </c>
      <c r="E271">
        <v>0</v>
      </c>
      <c r="F271">
        <v>58.153061233998926</v>
      </c>
      <c r="G271">
        <v>0</v>
      </c>
    </row>
    <row r="272" spans="1:7" x14ac:dyDescent="0.35">
      <c r="A272" s="8">
        <v>42229</v>
      </c>
      <c r="B272">
        <v>68.40100000000001</v>
      </c>
      <c r="C272">
        <v>22.800333333333334</v>
      </c>
      <c r="D272">
        <v>51.806079080943981</v>
      </c>
      <c r="E272">
        <v>0</v>
      </c>
      <c r="F272">
        <v>58.153061233998926</v>
      </c>
      <c r="G272">
        <v>0</v>
      </c>
    </row>
    <row r="273" spans="1:7" x14ac:dyDescent="0.35">
      <c r="A273" s="8">
        <v>42229</v>
      </c>
      <c r="B273">
        <v>68.40100000000001</v>
      </c>
      <c r="C273">
        <v>22.800333333333334</v>
      </c>
      <c r="D273">
        <v>51.806079080943981</v>
      </c>
      <c r="E273">
        <v>0</v>
      </c>
      <c r="F273">
        <v>58.153061233998926</v>
      </c>
      <c r="G273">
        <v>0</v>
      </c>
    </row>
    <row r="274" spans="1:7" x14ac:dyDescent="0.35">
      <c r="A274" s="8">
        <v>42229</v>
      </c>
      <c r="B274">
        <v>68.40100000000001</v>
      </c>
      <c r="C274">
        <v>22.800333333333334</v>
      </c>
      <c r="D274">
        <v>51.806079080943981</v>
      </c>
      <c r="E274">
        <v>0</v>
      </c>
      <c r="F274">
        <v>58.153061233998926</v>
      </c>
      <c r="G274">
        <v>0</v>
      </c>
    </row>
    <row r="275" spans="1:7" x14ac:dyDescent="0.35">
      <c r="A275" s="8">
        <v>42229</v>
      </c>
      <c r="B275">
        <v>68.40100000000001</v>
      </c>
      <c r="C275">
        <v>22.800333333333334</v>
      </c>
      <c r="D275">
        <v>51.806079080943981</v>
      </c>
      <c r="E275">
        <v>0</v>
      </c>
      <c r="F275">
        <v>58.153061233998926</v>
      </c>
      <c r="G275">
        <v>0</v>
      </c>
    </row>
    <row r="276" spans="1:7" x14ac:dyDescent="0.35">
      <c r="A276" s="8">
        <v>42229</v>
      </c>
      <c r="B276">
        <v>68.40100000000001</v>
      </c>
      <c r="C276">
        <v>22.800333333333334</v>
      </c>
      <c r="D276">
        <v>51.806079080943981</v>
      </c>
      <c r="E276">
        <v>0</v>
      </c>
      <c r="F276">
        <v>58.153061233998926</v>
      </c>
      <c r="G276">
        <v>0</v>
      </c>
    </row>
    <row r="277" spans="1:7" x14ac:dyDescent="0.35">
      <c r="A277" s="8">
        <v>42229</v>
      </c>
      <c r="B277">
        <v>68.40100000000001</v>
      </c>
      <c r="C277">
        <v>22.800333333333334</v>
      </c>
      <c r="D277">
        <v>51.806079080943981</v>
      </c>
      <c r="E277">
        <v>0</v>
      </c>
      <c r="F277">
        <v>58.153061233998926</v>
      </c>
      <c r="G277">
        <v>0</v>
      </c>
    </row>
    <row r="278" spans="1:7" x14ac:dyDescent="0.35">
      <c r="A278" s="8">
        <v>42229</v>
      </c>
      <c r="B278">
        <v>68.40100000000001</v>
      </c>
      <c r="C278">
        <v>22.800333333333334</v>
      </c>
      <c r="D278">
        <v>51.806079080943981</v>
      </c>
      <c r="E278">
        <v>0</v>
      </c>
      <c r="F278">
        <v>58.153061233998926</v>
      </c>
      <c r="G278">
        <v>0</v>
      </c>
    </row>
    <row r="279" spans="1:7" x14ac:dyDescent="0.35">
      <c r="A279" s="8">
        <v>42229</v>
      </c>
      <c r="B279">
        <v>68.40100000000001</v>
      </c>
      <c r="C279">
        <v>22.800333333333334</v>
      </c>
      <c r="D279">
        <v>51.806079080943981</v>
      </c>
      <c r="E279">
        <v>0</v>
      </c>
      <c r="F279">
        <v>58.153061233998926</v>
      </c>
      <c r="G279">
        <v>0</v>
      </c>
    </row>
    <row r="280" spans="1:7" x14ac:dyDescent="0.35">
      <c r="A280" s="8">
        <v>42229</v>
      </c>
      <c r="B280">
        <v>68.40100000000001</v>
      </c>
      <c r="C280">
        <v>22.800333333333334</v>
      </c>
      <c r="D280">
        <v>51.806079080943981</v>
      </c>
      <c r="E280">
        <v>0</v>
      </c>
      <c r="F280">
        <v>58.153061233998926</v>
      </c>
      <c r="G280">
        <v>0</v>
      </c>
    </row>
    <row r="281" spans="1:7" x14ac:dyDescent="0.35">
      <c r="A281" s="8">
        <v>42229</v>
      </c>
      <c r="B281">
        <v>68.40100000000001</v>
      </c>
      <c r="C281">
        <v>22.800333333333334</v>
      </c>
      <c r="D281">
        <v>51.806079080943981</v>
      </c>
      <c r="E281">
        <v>0</v>
      </c>
      <c r="F281">
        <v>58.153061233998926</v>
      </c>
      <c r="G281">
        <v>0</v>
      </c>
    </row>
    <row r="282" spans="1:7" x14ac:dyDescent="0.35">
      <c r="A282" s="8">
        <v>42229</v>
      </c>
      <c r="B282">
        <v>68.40100000000001</v>
      </c>
      <c r="C282">
        <v>22.800333333333334</v>
      </c>
      <c r="D282">
        <v>51.806079080943981</v>
      </c>
      <c r="E282">
        <v>0</v>
      </c>
      <c r="F282">
        <v>58.153061233998926</v>
      </c>
      <c r="G282">
        <v>0</v>
      </c>
    </row>
    <row r="283" spans="1:7" x14ac:dyDescent="0.35">
      <c r="A283" s="8">
        <v>42229</v>
      </c>
      <c r="B283">
        <v>68.40100000000001</v>
      </c>
      <c r="C283">
        <v>22.800333333333334</v>
      </c>
      <c r="D283">
        <v>51.806079080943981</v>
      </c>
      <c r="E283">
        <v>0</v>
      </c>
      <c r="F283">
        <v>58.153061233998926</v>
      </c>
      <c r="G283">
        <v>0</v>
      </c>
    </row>
    <row r="284" spans="1:7" x14ac:dyDescent="0.35">
      <c r="A284" s="8">
        <v>42229</v>
      </c>
      <c r="B284">
        <v>68.40100000000001</v>
      </c>
      <c r="C284">
        <v>22.800333333333334</v>
      </c>
      <c r="D284">
        <v>51.806079080943981</v>
      </c>
      <c r="E284">
        <v>0</v>
      </c>
      <c r="F284">
        <v>58.153061233998926</v>
      </c>
      <c r="G284">
        <v>0</v>
      </c>
    </row>
    <row r="285" spans="1:7" x14ac:dyDescent="0.35">
      <c r="A285" s="8">
        <v>42229</v>
      </c>
      <c r="B285">
        <v>68.40100000000001</v>
      </c>
      <c r="C285">
        <v>22.800333333333334</v>
      </c>
      <c r="D285">
        <v>51.806079080943981</v>
      </c>
      <c r="E285">
        <v>0</v>
      </c>
      <c r="F285">
        <v>58.153061233998926</v>
      </c>
      <c r="G285">
        <v>0</v>
      </c>
    </row>
    <row r="286" spans="1:7" x14ac:dyDescent="0.35">
      <c r="A286" s="8">
        <v>42229</v>
      </c>
      <c r="B286">
        <v>68.40100000000001</v>
      </c>
      <c r="C286">
        <v>22.800333333333334</v>
      </c>
      <c r="D286">
        <v>51.806079080943981</v>
      </c>
      <c r="E286">
        <v>0</v>
      </c>
      <c r="F286">
        <v>58.153061233998926</v>
      </c>
      <c r="G286">
        <v>0</v>
      </c>
    </row>
    <row r="287" spans="1:7" x14ac:dyDescent="0.35">
      <c r="A287" s="8">
        <v>42229</v>
      </c>
      <c r="B287">
        <v>68.40100000000001</v>
      </c>
      <c r="C287">
        <v>22.800333333333334</v>
      </c>
      <c r="D287">
        <v>51.806079080943981</v>
      </c>
      <c r="E287">
        <v>0</v>
      </c>
      <c r="F287">
        <v>58.153061233998926</v>
      </c>
      <c r="G287">
        <v>0</v>
      </c>
    </row>
    <row r="288" spans="1:7" x14ac:dyDescent="0.35">
      <c r="A288" s="8">
        <v>42229</v>
      </c>
      <c r="B288">
        <v>68.40100000000001</v>
      </c>
      <c r="C288">
        <v>22.800333333333334</v>
      </c>
      <c r="D288">
        <v>51.806079080943981</v>
      </c>
      <c r="E288">
        <v>0</v>
      </c>
      <c r="F288">
        <v>58.153061233998926</v>
      </c>
      <c r="G288">
        <v>0</v>
      </c>
    </row>
    <row r="289" spans="1:7" x14ac:dyDescent="0.35">
      <c r="A289" s="8">
        <v>42229</v>
      </c>
      <c r="B289">
        <v>68.40100000000001</v>
      </c>
      <c r="C289">
        <v>22.800333333333334</v>
      </c>
      <c r="D289">
        <v>51.806079080943981</v>
      </c>
      <c r="E289">
        <v>0</v>
      </c>
      <c r="F289">
        <v>58.153061233998926</v>
      </c>
      <c r="G289">
        <v>0</v>
      </c>
    </row>
    <row r="290" spans="1:7" x14ac:dyDescent="0.35">
      <c r="A290" s="8">
        <v>42229</v>
      </c>
      <c r="B290">
        <v>68.40100000000001</v>
      </c>
      <c r="C290">
        <v>22.800333333333334</v>
      </c>
      <c r="D290">
        <v>51.806079080943981</v>
      </c>
      <c r="E290">
        <v>0</v>
      </c>
      <c r="F290">
        <v>58.153061233998926</v>
      </c>
      <c r="G290">
        <v>0</v>
      </c>
    </row>
    <row r="291" spans="1:7" x14ac:dyDescent="0.35">
      <c r="A291" s="8">
        <v>42229</v>
      </c>
      <c r="B291">
        <v>68.40100000000001</v>
      </c>
      <c r="C291">
        <v>22.800333333333334</v>
      </c>
      <c r="D291">
        <v>51.806079080943981</v>
      </c>
      <c r="E291">
        <v>0</v>
      </c>
      <c r="F291">
        <v>58.153061233998926</v>
      </c>
      <c r="G291">
        <v>0</v>
      </c>
    </row>
    <row r="292" spans="1:7" x14ac:dyDescent="0.35">
      <c r="A292" s="8">
        <v>42229</v>
      </c>
      <c r="B292">
        <v>68.40100000000001</v>
      </c>
      <c r="C292">
        <v>22.800333333333334</v>
      </c>
      <c r="D292">
        <v>51.806079080943981</v>
      </c>
      <c r="E292">
        <v>0</v>
      </c>
      <c r="F292">
        <v>58.153061233998926</v>
      </c>
      <c r="G292">
        <v>0</v>
      </c>
    </row>
    <row r="293" spans="1:7" x14ac:dyDescent="0.35">
      <c r="A293" s="8">
        <v>42229</v>
      </c>
      <c r="B293">
        <v>68.40100000000001</v>
      </c>
      <c r="C293">
        <v>22.800333333333334</v>
      </c>
      <c r="D293">
        <v>51.806079080943981</v>
      </c>
      <c r="E293">
        <v>0</v>
      </c>
      <c r="F293">
        <v>58.153061233998926</v>
      </c>
      <c r="G293">
        <v>0</v>
      </c>
    </row>
    <row r="294" spans="1:7" x14ac:dyDescent="0.35">
      <c r="A294" s="8">
        <v>42229</v>
      </c>
      <c r="B294">
        <v>68.40100000000001</v>
      </c>
      <c r="C294">
        <v>22.800333333333334</v>
      </c>
      <c r="D294">
        <v>51.806079080943981</v>
      </c>
      <c r="E294">
        <v>0</v>
      </c>
      <c r="F294">
        <v>58.153061233998926</v>
      </c>
      <c r="G294">
        <v>0</v>
      </c>
    </row>
    <row r="295" spans="1:7" x14ac:dyDescent="0.35">
      <c r="A295" s="8">
        <v>42229</v>
      </c>
      <c r="B295">
        <v>68.40100000000001</v>
      </c>
      <c r="C295">
        <v>22.800333333333334</v>
      </c>
      <c r="D295">
        <v>51.806079080943981</v>
      </c>
      <c r="E295">
        <v>0</v>
      </c>
      <c r="F295">
        <v>58.153061233998926</v>
      </c>
      <c r="G295">
        <v>0</v>
      </c>
    </row>
    <row r="296" spans="1:7" x14ac:dyDescent="0.35">
      <c r="A296" s="8">
        <v>42229</v>
      </c>
      <c r="B296">
        <v>68.40100000000001</v>
      </c>
      <c r="C296">
        <v>22.800333333333334</v>
      </c>
      <c r="D296">
        <v>51.806079080943981</v>
      </c>
      <c r="E296">
        <v>0</v>
      </c>
      <c r="F296">
        <v>58.153061233998926</v>
      </c>
      <c r="G296">
        <v>0</v>
      </c>
    </row>
    <row r="297" spans="1:7" x14ac:dyDescent="0.35">
      <c r="A297" s="8">
        <v>42229</v>
      </c>
      <c r="B297">
        <v>68.40100000000001</v>
      </c>
      <c r="C297">
        <v>22.800333333333334</v>
      </c>
      <c r="D297">
        <v>51.806079080943981</v>
      </c>
      <c r="E297">
        <v>0</v>
      </c>
      <c r="F297">
        <v>58.153061233998926</v>
      </c>
      <c r="G297">
        <v>0</v>
      </c>
    </row>
    <row r="298" spans="1:7" x14ac:dyDescent="0.35">
      <c r="A298" s="8">
        <v>42229</v>
      </c>
      <c r="B298">
        <v>68.40100000000001</v>
      </c>
      <c r="C298">
        <v>22.800333333333334</v>
      </c>
      <c r="D298">
        <v>51.806079080943981</v>
      </c>
      <c r="E298">
        <v>0</v>
      </c>
      <c r="F298">
        <v>58.153061233998926</v>
      </c>
      <c r="G298">
        <v>0</v>
      </c>
    </row>
    <row r="299" spans="1:7" x14ac:dyDescent="0.35">
      <c r="A299" s="8">
        <v>42229</v>
      </c>
      <c r="B299">
        <v>68.40100000000001</v>
      </c>
      <c r="C299">
        <v>22.800333333333334</v>
      </c>
      <c r="D299">
        <v>51.806079080943981</v>
      </c>
      <c r="E299">
        <v>0</v>
      </c>
      <c r="F299">
        <v>58.153061233998926</v>
      </c>
      <c r="G299">
        <v>0</v>
      </c>
    </row>
    <row r="300" spans="1:7" x14ac:dyDescent="0.35">
      <c r="A300" s="8">
        <v>42229</v>
      </c>
      <c r="B300">
        <v>68.40100000000001</v>
      </c>
      <c r="C300">
        <v>22.800333333333334</v>
      </c>
      <c r="D300">
        <v>51.806079080943981</v>
      </c>
      <c r="E300">
        <v>0</v>
      </c>
      <c r="F300">
        <v>58.153061233998926</v>
      </c>
      <c r="G300">
        <v>0</v>
      </c>
    </row>
    <row r="301" spans="1:7" x14ac:dyDescent="0.35">
      <c r="A301" s="8">
        <v>42229</v>
      </c>
      <c r="B301">
        <v>68.40100000000001</v>
      </c>
      <c r="C301">
        <v>22.800333333333334</v>
      </c>
      <c r="D301">
        <v>51.806079080943981</v>
      </c>
      <c r="E301">
        <v>0</v>
      </c>
      <c r="F301">
        <v>58.153061233998926</v>
      </c>
      <c r="G301">
        <v>0</v>
      </c>
    </row>
    <row r="302" spans="1:7" x14ac:dyDescent="0.35">
      <c r="A302" s="8">
        <v>42229</v>
      </c>
      <c r="B302">
        <v>68.40100000000001</v>
      </c>
      <c r="C302">
        <v>22.800333333333334</v>
      </c>
      <c r="D302">
        <v>51.806079080943981</v>
      </c>
      <c r="E302">
        <v>0</v>
      </c>
      <c r="F302">
        <v>58.153061233998926</v>
      </c>
      <c r="G302">
        <v>0</v>
      </c>
    </row>
    <row r="303" spans="1:7" x14ac:dyDescent="0.35">
      <c r="A303" s="8">
        <v>42229</v>
      </c>
      <c r="B303">
        <v>68.40100000000001</v>
      </c>
      <c r="C303">
        <v>22.800333333333334</v>
      </c>
      <c r="D303">
        <v>51.806079080943981</v>
      </c>
      <c r="E303">
        <v>0</v>
      </c>
      <c r="F303">
        <v>58.153061233998926</v>
      </c>
      <c r="G303">
        <v>0</v>
      </c>
    </row>
    <row r="304" spans="1:7" x14ac:dyDescent="0.35">
      <c r="A304" s="8">
        <v>42229</v>
      </c>
      <c r="B304">
        <v>68.40100000000001</v>
      </c>
      <c r="C304">
        <v>22.800333333333334</v>
      </c>
      <c r="D304">
        <v>51.806079080943981</v>
      </c>
      <c r="E304">
        <v>0</v>
      </c>
      <c r="F304">
        <v>58.153061233998926</v>
      </c>
      <c r="G304">
        <v>0</v>
      </c>
    </row>
    <row r="305" spans="1:7" x14ac:dyDescent="0.35">
      <c r="A305" s="8">
        <v>42229</v>
      </c>
      <c r="B305">
        <v>68.40100000000001</v>
      </c>
      <c r="C305">
        <v>22.800333333333334</v>
      </c>
      <c r="D305">
        <v>51.806079080943981</v>
      </c>
      <c r="E305">
        <v>0</v>
      </c>
      <c r="F305">
        <v>58.153061233998926</v>
      </c>
      <c r="G305">
        <v>0</v>
      </c>
    </row>
    <row r="306" spans="1:7" x14ac:dyDescent="0.35">
      <c r="A306" s="8">
        <v>42229</v>
      </c>
      <c r="B306">
        <v>68.40100000000001</v>
      </c>
      <c r="C306">
        <v>22.800333333333334</v>
      </c>
      <c r="D306">
        <v>51.806079080943981</v>
      </c>
      <c r="E306">
        <v>0</v>
      </c>
      <c r="F306">
        <v>58.153061233998926</v>
      </c>
      <c r="G306">
        <v>0</v>
      </c>
    </row>
    <row r="307" spans="1:7" x14ac:dyDescent="0.35">
      <c r="A307" s="8">
        <v>42229</v>
      </c>
      <c r="B307">
        <v>68.40100000000001</v>
      </c>
      <c r="C307">
        <v>22.800333333333334</v>
      </c>
      <c r="D307">
        <v>51.806079080943981</v>
      </c>
      <c r="E307">
        <v>0</v>
      </c>
      <c r="F307">
        <v>58.153061233998926</v>
      </c>
      <c r="G307">
        <v>0</v>
      </c>
    </row>
    <row r="308" spans="1:7" x14ac:dyDescent="0.35">
      <c r="A308" s="8">
        <v>42229</v>
      </c>
      <c r="B308">
        <v>68.40100000000001</v>
      </c>
      <c r="C308">
        <v>22.800333333333334</v>
      </c>
      <c r="D308">
        <v>51.806079080943981</v>
      </c>
      <c r="E308">
        <v>0</v>
      </c>
      <c r="F308">
        <v>58.153061233998926</v>
      </c>
      <c r="G308">
        <v>0</v>
      </c>
    </row>
    <row r="309" spans="1:7" x14ac:dyDescent="0.35">
      <c r="A309" s="8">
        <v>42229</v>
      </c>
      <c r="B309">
        <v>68.40100000000001</v>
      </c>
      <c r="C309">
        <v>22.800333333333334</v>
      </c>
      <c r="D309">
        <v>51.806079080943981</v>
      </c>
      <c r="E309">
        <v>0</v>
      </c>
      <c r="F309">
        <v>58.153061233998926</v>
      </c>
      <c r="G309">
        <v>0</v>
      </c>
    </row>
    <row r="310" spans="1:7" x14ac:dyDescent="0.35">
      <c r="A310" s="8">
        <v>42229</v>
      </c>
      <c r="B310">
        <v>68.40100000000001</v>
      </c>
      <c r="C310">
        <v>22.800333333333334</v>
      </c>
      <c r="D310">
        <v>51.806079080943981</v>
      </c>
      <c r="E310">
        <v>0</v>
      </c>
      <c r="F310">
        <v>58.153061233998926</v>
      </c>
      <c r="G310">
        <v>0</v>
      </c>
    </row>
    <row r="311" spans="1:7" x14ac:dyDescent="0.35">
      <c r="A311" s="8">
        <v>42229</v>
      </c>
      <c r="B311">
        <v>68.40100000000001</v>
      </c>
      <c r="C311">
        <v>22.800333333333334</v>
      </c>
      <c r="D311">
        <v>51.806079080943981</v>
      </c>
      <c r="E311">
        <v>0</v>
      </c>
      <c r="F311">
        <v>58.153061233998926</v>
      </c>
      <c r="G311">
        <v>0</v>
      </c>
    </row>
    <row r="312" spans="1:7" x14ac:dyDescent="0.35">
      <c r="A312" s="8">
        <v>42229</v>
      </c>
      <c r="B312">
        <v>68.40100000000001</v>
      </c>
      <c r="C312">
        <v>22.800333333333334</v>
      </c>
      <c r="D312">
        <v>51.806079080943981</v>
      </c>
      <c r="E312">
        <v>0</v>
      </c>
      <c r="F312">
        <v>58.153061233998926</v>
      </c>
      <c r="G312">
        <v>0</v>
      </c>
    </row>
    <row r="313" spans="1:7" x14ac:dyDescent="0.35">
      <c r="A313" s="8">
        <v>42229</v>
      </c>
      <c r="B313">
        <v>68.40100000000001</v>
      </c>
      <c r="C313">
        <v>22.800333333333334</v>
      </c>
      <c r="D313">
        <v>51.806079080943981</v>
      </c>
      <c r="E313">
        <v>0</v>
      </c>
      <c r="F313">
        <v>58.153061233998926</v>
      </c>
      <c r="G313">
        <v>0</v>
      </c>
    </row>
    <row r="314" spans="1:7" x14ac:dyDescent="0.35">
      <c r="A314" s="8">
        <v>42229</v>
      </c>
      <c r="B314">
        <v>68.40100000000001</v>
      </c>
      <c r="C314">
        <v>22.800333333333334</v>
      </c>
      <c r="D314">
        <v>51.806079080943981</v>
      </c>
      <c r="E314">
        <v>0</v>
      </c>
      <c r="F314">
        <v>58.153061233998926</v>
      </c>
      <c r="G314">
        <v>0</v>
      </c>
    </row>
    <row r="315" spans="1:7" x14ac:dyDescent="0.35">
      <c r="A315" s="8">
        <v>42229</v>
      </c>
      <c r="B315">
        <v>68.40100000000001</v>
      </c>
      <c r="C315">
        <v>22.800333333333334</v>
      </c>
      <c r="D315">
        <v>51.806079080943981</v>
      </c>
      <c r="E315">
        <v>0</v>
      </c>
      <c r="F315">
        <v>58.153061233998926</v>
      </c>
      <c r="G315">
        <v>0</v>
      </c>
    </row>
    <row r="316" spans="1:7" x14ac:dyDescent="0.35">
      <c r="A316" s="8">
        <v>42229</v>
      </c>
      <c r="B316">
        <v>68.40100000000001</v>
      </c>
      <c r="C316">
        <v>22.800333333333334</v>
      </c>
      <c r="D316">
        <v>51.806079080943981</v>
      </c>
      <c r="E316">
        <v>0</v>
      </c>
      <c r="F316">
        <v>58.153061233998926</v>
      </c>
      <c r="G316">
        <v>0</v>
      </c>
    </row>
    <row r="317" spans="1:7" x14ac:dyDescent="0.35">
      <c r="A317" s="8">
        <v>42229</v>
      </c>
      <c r="B317">
        <v>68.40100000000001</v>
      </c>
      <c r="C317">
        <v>22.800333333333334</v>
      </c>
      <c r="D317">
        <v>51.806079080943981</v>
      </c>
      <c r="E317">
        <v>0</v>
      </c>
      <c r="F317">
        <v>58.153061233998926</v>
      </c>
      <c r="G317">
        <v>0</v>
      </c>
    </row>
    <row r="318" spans="1:7" x14ac:dyDescent="0.35">
      <c r="A318" s="8">
        <v>42229</v>
      </c>
      <c r="B318">
        <v>68.40100000000001</v>
      </c>
      <c r="C318">
        <v>22.800333333333334</v>
      </c>
      <c r="D318">
        <v>51.806079080943981</v>
      </c>
      <c r="E318">
        <v>0</v>
      </c>
      <c r="F318">
        <v>58.153061233998926</v>
      </c>
      <c r="G318">
        <v>0</v>
      </c>
    </row>
    <row r="319" spans="1:7" x14ac:dyDescent="0.35">
      <c r="A319" s="8">
        <v>42229</v>
      </c>
      <c r="B319">
        <v>68.40100000000001</v>
      </c>
      <c r="C319">
        <v>22.800333333333334</v>
      </c>
      <c r="D319">
        <v>51.806079080943981</v>
      </c>
      <c r="E319">
        <v>0</v>
      </c>
      <c r="F319">
        <v>58.153061233998926</v>
      </c>
      <c r="G319">
        <v>0</v>
      </c>
    </row>
    <row r="320" spans="1:7" x14ac:dyDescent="0.35">
      <c r="A320" s="8">
        <v>42229</v>
      </c>
      <c r="B320">
        <v>68.40100000000001</v>
      </c>
      <c r="C320">
        <v>22.800333333333334</v>
      </c>
      <c r="D320">
        <v>51.806079080943981</v>
      </c>
      <c r="E320">
        <v>0</v>
      </c>
      <c r="F320">
        <v>58.153061233998926</v>
      </c>
      <c r="G320">
        <v>0</v>
      </c>
    </row>
    <row r="321" spans="1:7" x14ac:dyDescent="0.35">
      <c r="A321" s="8">
        <v>42229</v>
      </c>
      <c r="B321">
        <v>68.40100000000001</v>
      </c>
      <c r="C321">
        <v>22.800333333333334</v>
      </c>
      <c r="D321">
        <v>51.806079080943981</v>
      </c>
      <c r="E321">
        <v>0</v>
      </c>
      <c r="F321">
        <v>58.153061233998926</v>
      </c>
      <c r="G321">
        <v>0</v>
      </c>
    </row>
    <row r="322" spans="1:7" x14ac:dyDescent="0.35">
      <c r="A322" s="8">
        <v>42229</v>
      </c>
      <c r="B322">
        <v>68.40100000000001</v>
      </c>
      <c r="C322">
        <v>22.800333333333334</v>
      </c>
      <c r="D322">
        <v>51.806079080943981</v>
      </c>
      <c r="E322">
        <v>0</v>
      </c>
      <c r="F322">
        <v>58.153061233998926</v>
      </c>
      <c r="G322">
        <v>0</v>
      </c>
    </row>
    <row r="323" spans="1:7" x14ac:dyDescent="0.35">
      <c r="A323" s="8">
        <v>42229</v>
      </c>
      <c r="B323">
        <v>68.40100000000001</v>
      </c>
      <c r="C323">
        <v>22.800333333333334</v>
      </c>
      <c r="D323">
        <v>51.806079080943981</v>
      </c>
      <c r="E323">
        <v>0</v>
      </c>
      <c r="F323">
        <v>58.153061233998926</v>
      </c>
      <c r="G323">
        <v>0</v>
      </c>
    </row>
    <row r="324" spans="1:7" x14ac:dyDescent="0.35">
      <c r="A324" s="8">
        <v>42229</v>
      </c>
      <c r="B324">
        <v>68.40100000000001</v>
      </c>
      <c r="C324">
        <v>22.800333333333334</v>
      </c>
      <c r="D324">
        <v>51.806079080943981</v>
      </c>
      <c r="E324">
        <v>0</v>
      </c>
      <c r="F324">
        <v>58.153061233998926</v>
      </c>
      <c r="G324">
        <v>0</v>
      </c>
    </row>
    <row r="325" spans="1:7" x14ac:dyDescent="0.35">
      <c r="A325" s="8">
        <v>42229</v>
      </c>
      <c r="B325">
        <v>68.40100000000001</v>
      </c>
      <c r="C325">
        <v>22.800333333333334</v>
      </c>
      <c r="D325">
        <v>51.806079080943981</v>
      </c>
      <c r="E325">
        <v>0</v>
      </c>
      <c r="F325">
        <v>58.153061233998926</v>
      </c>
      <c r="G325">
        <v>0</v>
      </c>
    </row>
    <row r="326" spans="1:7" x14ac:dyDescent="0.35">
      <c r="A326" s="8">
        <v>42229</v>
      </c>
      <c r="B326">
        <v>68.40100000000001</v>
      </c>
      <c r="C326">
        <v>22.800333333333334</v>
      </c>
      <c r="D326">
        <v>51.806079080943981</v>
      </c>
      <c r="E326">
        <v>0</v>
      </c>
      <c r="F326">
        <v>58.153061233998926</v>
      </c>
      <c r="G326">
        <v>0</v>
      </c>
    </row>
    <row r="327" spans="1:7" x14ac:dyDescent="0.35">
      <c r="A327" s="8">
        <v>42229</v>
      </c>
      <c r="B327">
        <v>68.40100000000001</v>
      </c>
      <c r="C327">
        <v>22.800333333333334</v>
      </c>
      <c r="D327">
        <v>51.806079080943981</v>
      </c>
      <c r="E327">
        <v>0</v>
      </c>
      <c r="F327">
        <v>58.153061233998926</v>
      </c>
      <c r="G327">
        <v>0</v>
      </c>
    </row>
    <row r="328" spans="1:7" x14ac:dyDescent="0.35">
      <c r="A328" s="8">
        <v>42229</v>
      </c>
      <c r="B328">
        <v>68.40100000000001</v>
      </c>
      <c r="C328">
        <v>22.800333333333334</v>
      </c>
      <c r="D328">
        <v>51.806079080943981</v>
      </c>
      <c r="E328">
        <v>0</v>
      </c>
      <c r="F328">
        <v>58.153061233998926</v>
      </c>
      <c r="G328">
        <v>0</v>
      </c>
    </row>
    <row r="329" spans="1:7" x14ac:dyDescent="0.35">
      <c r="A329" s="8">
        <v>42229</v>
      </c>
      <c r="B329">
        <v>68.40100000000001</v>
      </c>
      <c r="C329">
        <v>22.800333333333334</v>
      </c>
      <c r="D329">
        <v>51.806079080943981</v>
      </c>
      <c r="E329">
        <v>0</v>
      </c>
      <c r="F329">
        <v>58.153061233998926</v>
      </c>
      <c r="G329">
        <v>0</v>
      </c>
    </row>
    <row r="330" spans="1:7" x14ac:dyDescent="0.35">
      <c r="A330" s="8">
        <v>42229</v>
      </c>
      <c r="B330">
        <v>68.40100000000001</v>
      </c>
      <c r="C330">
        <v>22.800333333333334</v>
      </c>
      <c r="D330">
        <v>51.806079080943981</v>
      </c>
      <c r="E330">
        <v>0</v>
      </c>
      <c r="F330">
        <v>58.153061233998926</v>
      </c>
      <c r="G330">
        <v>0</v>
      </c>
    </row>
    <row r="331" spans="1:7" x14ac:dyDescent="0.35">
      <c r="A331" s="8">
        <v>42229</v>
      </c>
      <c r="B331">
        <v>68.40100000000001</v>
      </c>
      <c r="C331">
        <v>22.800333333333334</v>
      </c>
      <c r="D331">
        <v>51.806079080943981</v>
      </c>
      <c r="E331">
        <v>0</v>
      </c>
      <c r="F331">
        <v>58.153061233998926</v>
      </c>
      <c r="G331">
        <v>0</v>
      </c>
    </row>
    <row r="332" spans="1:7" x14ac:dyDescent="0.35">
      <c r="A332" s="8">
        <v>42229</v>
      </c>
      <c r="B332">
        <v>68.40100000000001</v>
      </c>
      <c r="C332">
        <v>22.800333333333334</v>
      </c>
      <c r="D332">
        <v>51.806079080943981</v>
      </c>
      <c r="E332">
        <v>0</v>
      </c>
      <c r="F332">
        <v>58.153061233998926</v>
      </c>
      <c r="G332">
        <v>0</v>
      </c>
    </row>
    <row r="333" spans="1:7" x14ac:dyDescent="0.35">
      <c r="A333" s="8">
        <v>42229</v>
      </c>
      <c r="B333">
        <v>68.40100000000001</v>
      </c>
      <c r="C333">
        <v>22.800333333333334</v>
      </c>
      <c r="D333">
        <v>51.806079080943981</v>
      </c>
      <c r="E333">
        <v>0</v>
      </c>
      <c r="F333">
        <v>58.153061233998926</v>
      </c>
      <c r="G333">
        <v>0</v>
      </c>
    </row>
    <row r="334" spans="1:7" x14ac:dyDescent="0.35">
      <c r="A334" s="8">
        <v>42229</v>
      </c>
      <c r="B334">
        <v>68.40100000000001</v>
      </c>
      <c r="C334">
        <v>22.800333333333334</v>
      </c>
      <c r="D334">
        <v>51.806079080943981</v>
      </c>
      <c r="E334">
        <v>0</v>
      </c>
      <c r="F334">
        <v>58.153061233998926</v>
      </c>
      <c r="G334">
        <v>0</v>
      </c>
    </row>
    <row r="335" spans="1:7" x14ac:dyDescent="0.35">
      <c r="A335" s="8">
        <v>42229</v>
      </c>
      <c r="B335">
        <v>68.40100000000001</v>
      </c>
      <c r="C335">
        <v>22.800333333333334</v>
      </c>
      <c r="D335">
        <v>51.806079080943981</v>
      </c>
      <c r="E335">
        <v>0</v>
      </c>
      <c r="F335">
        <v>58.153061233998926</v>
      </c>
      <c r="G335">
        <v>0</v>
      </c>
    </row>
    <row r="336" spans="1:7" x14ac:dyDescent="0.35">
      <c r="A336" s="8">
        <v>42229</v>
      </c>
      <c r="B336">
        <v>68.40100000000001</v>
      </c>
      <c r="C336">
        <v>22.800333333333334</v>
      </c>
      <c r="D336">
        <v>51.806079080943981</v>
      </c>
      <c r="E336">
        <v>0</v>
      </c>
      <c r="F336">
        <v>58.153061233998926</v>
      </c>
      <c r="G336">
        <v>0</v>
      </c>
    </row>
    <row r="337" spans="1:7" x14ac:dyDescent="0.35">
      <c r="A337" s="8">
        <v>42229</v>
      </c>
      <c r="B337">
        <v>68.40100000000001</v>
      </c>
      <c r="C337">
        <v>22.800333333333334</v>
      </c>
      <c r="D337">
        <v>51.806079080943981</v>
      </c>
      <c r="E337">
        <v>0</v>
      </c>
      <c r="F337">
        <v>58.153061233998926</v>
      </c>
      <c r="G337">
        <v>0</v>
      </c>
    </row>
    <row r="338" spans="1:7" x14ac:dyDescent="0.35">
      <c r="A338" s="8">
        <v>42229</v>
      </c>
      <c r="B338">
        <v>68.40100000000001</v>
      </c>
      <c r="C338">
        <v>22.800333333333334</v>
      </c>
      <c r="D338">
        <v>51.806079080943981</v>
      </c>
      <c r="E338">
        <v>0</v>
      </c>
      <c r="F338">
        <v>58.153061233998926</v>
      </c>
      <c r="G338">
        <v>0</v>
      </c>
    </row>
    <row r="339" spans="1:7" x14ac:dyDescent="0.35">
      <c r="A339" s="8">
        <v>42229</v>
      </c>
      <c r="B339">
        <v>68.40100000000001</v>
      </c>
      <c r="C339">
        <v>22.800333333333334</v>
      </c>
      <c r="D339">
        <v>51.806079080943981</v>
      </c>
      <c r="E339">
        <v>0</v>
      </c>
      <c r="F339">
        <v>58.153061233998926</v>
      </c>
      <c r="G339">
        <v>0</v>
      </c>
    </row>
    <row r="340" spans="1:7" x14ac:dyDescent="0.35">
      <c r="A340" s="8">
        <v>42229</v>
      </c>
      <c r="B340">
        <v>68.40100000000001</v>
      </c>
      <c r="C340">
        <v>22.800333333333334</v>
      </c>
      <c r="D340">
        <v>51.806079080943981</v>
      </c>
      <c r="E340">
        <v>0</v>
      </c>
      <c r="F340">
        <v>58.153061233998926</v>
      </c>
      <c r="G340">
        <v>0</v>
      </c>
    </row>
    <row r="341" spans="1:7" x14ac:dyDescent="0.35">
      <c r="A341" s="8">
        <v>42229</v>
      </c>
      <c r="B341">
        <v>68.40100000000001</v>
      </c>
      <c r="C341">
        <v>22.800333333333334</v>
      </c>
      <c r="D341">
        <v>51.806079080943981</v>
      </c>
      <c r="E341">
        <v>0</v>
      </c>
      <c r="F341">
        <v>58.153061233998926</v>
      </c>
      <c r="G341">
        <v>0</v>
      </c>
    </row>
    <row r="342" spans="1:7" x14ac:dyDescent="0.35">
      <c r="A342" s="8">
        <v>42229</v>
      </c>
      <c r="B342">
        <v>68.40100000000001</v>
      </c>
      <c r="C342">
        <v>22.800333333333334</v>
      </c>
      <c r="D342">
        <v>51.806079080943981</v>
      </c>
      <c r="E342">
        <v>0</v>
      </c>
      <c r="F342">
        <v>58.153061233998926</v>
      </c>
      <c r="G342">
        <v>0</v>
      </c>
    </row>
    <row r="343" spans="1:7" x14ac:dyDescent="0.35">
      <c r="A343" s="8">
        <v>42229</v>
      </c>
      <c r="B343">
        <v>68.40100000000001</v>
      </c>
      <c r="C343">
        <v>22.800333333333334</v>
      </c>
      <c r="D343">
        <v>51.806079080943981</v>
      </c>
      <c r="E343">
        <v>0</v>
      </c>
      <c r="F343">
        <v>58.153061233998926</v>
      </c>
      <c r="G343">
        <v>0</v>
      </c>
    </row>
    <row r="344" spans="1:7" x14ac:dyDescent="0.35">
      <c r="A344" s="8">
        <v>42229</v>
      </c>
      <c r="B344">
        <v>68.40100000000001</v>
      </c>
      <c r="C344">
        <v>22.800333333333334</v>
      </c>
      <c r="D344">
        <v>51.806079080943981</v>
      </c>
      <c r="E344">
        <v>0</v>
      </c>
      <c r="F344">
        <v>58.153061233998926</v>
      </c>
      <c r="G344">
        <v>0</v>
      </c>
    </row>
    <row r="345" spans="1:7" x14ac:dyDescent="0.35">
      <c r="A345" s="8">
        <v>42229</v>
      </c>
      <c r="B345">
        <v>68.40100000000001</v>
      </c>
      <c r="C345">
        <v>22.800333333333334</v>
      </c>
      <c r="D345">
        <v>51.806079080943981</v>
      </c>
      <c r="E345">
        <v>0</v>
      </c>
      <c r="F345">
        <v>58.153061233998926</v>
      </c>
      <c r="G345">
        <v>0</v>
      </c>
    </row>
    <row r="346" spans="1:7" x14ac:dyDescent="0.35">
      <c r="A346" s="8">
        <v>42229</v>
      </c>
      <c r="B346">
        <v>68.40100000000001</v>
      </c>
      <c r="C346">
        <v>22.800333333333334</v>
      </c>
      <c r="D346">
        <v>51.806079080943981</v>
      </c>
      <c r="E346">
        <v>0</v>
      </c>
      <c r="F346">
        <v>58.153061233998926</v>
      </c>
      <c r="G346">
        <v>0</v>
      </c>
    </row>
    <row r="347" spans="1:7" x14ac:dyDescent="0.35">
      <c r="A347" s="8">
        <v>42229</v>
      </c>
      <c r="B347">
        <v>68.40100000000001</v>
      </c>
      <c r="C347">
        <v>22.800333333333334</v>
      </c>
      <c r="D347">
        <v>51.806079080943981</v>
      </c>
      <c r="E347">
        <v>0</v>
      </c>
      <c r="F347">
        <v>58.153061233998926</v>
      </c>
      <c r="G347">
        <v>0</v>
      </c>
    </row>
    <row r="348" spans="1:7" x14ac:dyDescent="0.35">
      <c r="A348" s="8">
        <v>42229</v>
      </c>
      <c r="B348">
        <v>68.40100000000001</v>
      </c>
      <c r="C348">
        <v>22.800333333333334</v>
      </c>
      <c r="D348">
        <v>51.806079080943981</v>
      </c>
      <c r="E348">
        <v>0</v>
      </c>
      <c r="F348">
        <v>58.153061233998926</v>
      </c>
      <c r="G348">
        <v>0</v>
      </c>
    </row>
    <row r="349" spans="1:7" x14ac:dyDescent="0.35">
      <c r="A349" s="8">
        <v>42229</v>
      </c>
      <c r="B349">
        <v>68.40100000000001</v>
      </c>
      <c r="C349">
        <v>22.800333333333334</v>
      </c>
      <c r="D349">
        <v>51.806079080943981</v>
      </c>
      <c r="E349">
        <v>0</v>
      </c>
      <c r="F349">
        <v>58.153061233998926</v>
      </c>
      <c r="G349">
        <v>0</v>
      </c>
    </row>
    <row r="350" spans="1:7" x14ac:dyDescent="0.35">
      <c r="A350" s="8">
        <v>42229</v>
      </c>
      <c r="B350">
        <v>68.40100000000001</v>
      </c>
      <c r="C350">
        <v>22.800333333333334</v>
      </c>
      <c r="D350">
        <v>51.806079080943981</v>
      </c>
      <c r="E350">
        <v>0</v>
      </c>
      <c r="F350">
        <v>58.153061233998926</v>
      </c>
      <c r="G350">
        <v>0</v>
      </c>
    </row>
    <row r="351" spans="1:7" x14ac:dyDescent="0.35">
      <c r="A351" s="8">
        <v>42229</v>
      </c>
      <c r="B351">
        <v>68.40100000000001</v>
      </c>
      <c r="C351">
        <v>22.800333333333334</v>
      </c>
      <c r="D351">
        <v>51.806079080943981</v>
      </c>
      <c r="E351">
        <v>0</v>
      </c>
      <c r="F351">
        <v>58.153061233998926</v>
      </c>
      <c r="G351">
        <v>0</v>
      </c>
    </row>
    <row r="352" spans="1:7" x14ac:dyDescent="0.35">
      <c r="A352" s="8">
        <v>42229</v>
      </c>
      <c r="B352">
        <v>68.40100000000001</v>
      </c>
      <c r="C352">
        <v>22.800333333333334</v>
      </c>
      <c r="D352">
        <v>51.806079080943981</v>
      </c>
      <c r="E352">
        <v>0</v>
      </c>
      <c r="F352">
        <v>58.153061233998926</v>
      </c>
      <c r="G352">
        <v>0</v>
      </c>
    </row>
    <row r="353" spans="1:7" x14ac:dyDescent="0.35">
      <c r="A353" s="8">
        <v>42229</v>
      </c>
      <c r="B353">
        <v>68.40100000000001</v>
      </c>
      <c r="C353">
        <v>22.800333333333334</v>
      </c>
      <c r="D353">
        <v>51.806079080943981</v>
      </c>
      <c r="E353">
        <v>0</v>
      </c>
      <c r="F353">
        <v>58.153061233998926</v>
      </c>
      <c r="G353">
        <v>0</v>
      </c>
    </row>
    <row r="354" spans="1:7" x14ac:dyDescent="0.35">
      <c r="A354" s="8">
        <v>42229</v>
      </c>
      <c r="B354">
        <v>68.40100000000001</v>
      </c>
      <c r="C354">
        <v>22.800333333333334</v>
      </c>
      <c r="D354">
        <v>51.806079080943981</v>
      </c>
      <c r="E354">
        <v>0</v>
      </c>
      <c r="F354">
        <v>58.153061233998926</v>
      </c>
      <c r="G354">
        <v>0</v>
      </c>
    </row>
    <row r="355" spans="1:7" x14ac:dyDescent="0.35">
      <c r="A355" s="8">
        <v>42229</v>
      </c>
      <c r="B355">
        <v>68.40100000000001</v>
      </c>
      <c r="C355">
        <v>22.800333333333334</v>
      </c>
      <c r="D355">
        <v>51.806079080943981</v>
      </c>
      <c r="E355">
        <v>0</v>
      </c>
      <c r="F355">
        <v>58.153061233998926</v>
      </c>
      <c r="G355">
        <v>0</v>
      </c>
    </row>
    <row r="356" spans="1:7" x14ac:dyDescent="0.35">
      <c r="A356" s="8">
        <v>42229</v>
      </c>
      <c r="B356">
        <v>68.40100000000001</v>
      </c>
      <c r="C356">
        <v>22.800333333333334</v>
      </c>
      <c r="D356">
        <v>51.806079080943981</v>
      </c>
      <c r="E356">
        <v>0</v>
      </c>
      <c r="F356">
        <v>58.153061233998926</v>
      </c>
      <c r="G356">
        <v>0</v>
      </c>
    </row>
    <row r="357" spans="1:7" x14ac:dyDescent="0.35">
      <c r="A357" s="8">
        <v>42229</v>
      </c>
      <c r="B357">
        <v>68.40100000000001</v>
      </c>
      <c r="C357">
        <v>22.800333333333334</v>
      </c>
      <c r="D357">
        <v>51.806079080943981</v>
      </c>
      <c r="E357">
        <v>0</v>
      </c>
      <c r="F357">
        <v>58.153061233998926</v>
      </c>
      <c r="G357">
        <v>0</v>
      </c>
    </row>
    <row r="358" spans="1:7" x14ac:dyDescent="0.35">
      <c r="A358" s="8">
        <v>42229</v>
      </c>
      <c r="B358">
        <v>68.40100000000001</v>
      </c>
      <c r="C358">
        <v>22.800333333333334</v>
      </c>
      <c r="D358">
        <v>51.806079080943981</v>
      </c>
      <c r="E358">
        <v>0</v>
      </c>
      <c r="F358">
        <v>58.153061233998926</v>
      </c>
      <c r="G358">
        <v>0</v>
      </c>
    </row>
    <row r="359" spans="1:7" x14ac:dyDescent="0.35">
      <c r="A359" s="8">
        <v>42229</v>
      </c>
      <c r="B359">
        <v>68.40100000000001</v>
      </c>
      <c r="C359">
        <v>22.800333333333334</v>
      </c>
      <c r="D359">
        <v>51.806079080943981</v>
      </c>
      <c r="E359">
        <v>0</v>
      </c>
      <c r="F359">
        <v>58.153061233998926</v>
      </c>
      <c r="G359">
        <v>0</v>
      </c>
    </row>
    <row r="360" spans="1:7" x14ac:dyDescent="0.35">
      <c r="A360" s="8">
        <v>42229</v>
      </c>
      <c r="B360">
        <v>68.40100000000001</v>
      </c>
      <c r="C360">
        <v>22.800333333333334</v>
      </c>
      <c r="D360">
        <v>51.806079080943981</v>
      </c>
      <c r="E360">
        <v>0</v>
      </c>
      <c r="F360">
        <v>58.153061233998926</v>
      </c>
      <c r="G360">
        <v>0</v>
      </c>
    </row>
    <row r="361" spans="1:7" x14ac:dyDescent="0.35">
      <c r="A361" s="8">
        <v>42229</v>
      </c>
      <c r="B361">
        <v>68.40100000000001</v>
      </c>
      <c r="C361">
        <v>22.800333333333334</v>
      </c>
      <c r="D361">
        <v>51.806079080943981</v>
      </c>
      <c r="E361">
        <v>0</v>
      </c>
      <c r="F361">
        <v>58.153061233998926</v>
      </c>
      <c r="G361">
        <v>0</v>
      </c>
    </row>
    <row r="362" spans="1:7" x14ac:dyDescent="0.35">
      <c r="A362" s="8">
        <v>42229</v>
      </c>
      <c r="B362">
        <v>68.40100000000001</v>
      </c>
      <c r="C362">
        <v>22.800333333333334</v>
      </c>
      <c r="D362">
        <v>51.806079080943981</v>
      </c>
      <c r="E362">
        <v>0</v>
      </c>
      <c r="F362">
        <v>58.153061233998926</v>
      </c>
      <c r="G362">
        <v>0</v>
      </c>
    </row>
    <row r="363" spans="1:7" x14ac:dyDescent="0.35">
      <c r="A363" s="8">
        <v>42229</v>
      </c>
      <c r="B363">
        <v>68.40100000000001</v>
      </c>
      <c r="C363">
        <v>22.800333333333334</v>
      </c>
      <c r="D363">
        <v>51.806079080943981</v>
      </c>
      <c r="E363">
        <v>0</v>
      </c>
      <c r="F363">
        <v>58.153061233998926</v>
      </c>
      <c r="G363">
        <v>0</v>
      </c>
    </row>
    <row r="364" spans="1:7" x14ac:dyDescent="0.35">
      <c r="A364" s="8">
        <v>42229</v>
      </c>
      <c r="B364">
        <v>68.40100000000001</v>
      </c>
      <c r="C364">
        <v>22.800333333333334</v>
      </c>
      <c r="D364">
        <v>51.806079080943981</v>
      </c>
      <c r="E364">
        <v>0</v>
      </c>
      <c r="F364">
        <v>58.153061233998926</v>
      </c>
      <c r="G364">
        <v>0</v>
      </c>
    </row>
    <row r="365" spans="1:7" x14ac:dyDescent="0.35">
      <c r="A365" s="8">
        <v>42229</v>
      </c>
      <c r="B365">
        <v>68.40100000000001</v>
      </c>
      <c r="C365">
        <v>22.800333333333334</v>
      </c>
      <c r="D365">
        <v>51.806079080943981</v>
      </c>
      <c r="E365">
        <v>0</v>
      </c>
      <c r="F365">
        <v>58.153061233998926</v>
      </c>
      <c r="G365">
        <v>0</v>
      </c>
    </row>
    <row r="366" spans="1:7" x14ac:dyDescent="0.35">
      <c r="A366" s="8">
        <v>42229</v>
      </c>
      <c r="B366">
        <v>68.40100000000001</v>
      </c>
      <c r="C366">
        <v>22.800333333333334</v>
      </c>
      <c r="D366">
        <v>51.806079080943981</v>
      </c>
      <c r="E366">
        <v>0</v>
      </c>
      <c r="F366">
        <v>58.153061233998926</v>
      </c>
      <c r="G366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7b644e1-4e2e-40b8-bf16-43c9c345c565" xsi:nil="true"/>
    <lcf76f155ced4ddcb4097134ff3c332f xmlns="beb39790-1a4d-4443-ba77-b87c105a1f1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DFFEBB8A7F5A44DA00C67E4558670D6" ma:contentTypeVersion="16" ma:contentTypeDescription="Crée un document." ma:contentTypeScope="" ma:versionID="d1e76593f2201dd5da31cc7d8a279258">
  <xsd:schema xmlns:xsd="http://www.w3.org/2001/XMLSchema" xmlns:xs="http://www.w3.org/2001/XMLSchema" xmlns:p="http://schemas.microsoft.com/office/2006/metadata/properties" xmlns:ns2="beb39790-1a4d-4443-ba77-b87c105a1f16" xmlns:ns3="e7b644e1-4e2e-40b8-bf16-43c9c345c565" targetNamespace="http://schemas.microsoft.com/office/2006/metadata/properties" ma:root="true" ma:fieldsID="df8da4cf88ecd2aa248f17ea0a52b0c6" ns2:_="" ns3:_="">
    <xsd:import namespace="beb39790-1a4d-4443-ba77-b87c105a1f16"/>
    <xsd:import namespace="e7b644e1-4e2e-40b8-bf16-43c9c345c5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b39790-1a4d-4443-ba77-b87c105a1f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Balises d’images" ma:readOnly="false" ma:fieldId="{5cf76f15-5ced-4ddc-b409-7134ff3c332f}" ma:taxonomyMulti="true" ma:sspId="09118329-da38-47be-acaa-a4cb92b8943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b644e1-4e2e-40b8-bf16-43c9c345c56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46284544-fe99-41c2-9dff-5e654479895b}" ma:internalName="TaxCatchAll" ma:showField="CatchAllData" ma:web="e7b644e1-4e2e-40b8-bf16-43c9c345c5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43FB96-2A3B-4BE1-B999-F4FBA6BE61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4B04212-385C-4FD3-A86A-1FE1C0B9EC0C}">
  <ds:schemaRefs>
    <ds:schemaRef ds:uri="http://schemas.microsoft.com/office/2006/metadata/properties"/>
    <ds:schemaRef ds:uri="http://schemas.microsoft.com/office/infopath/2007/PartnerControls"/>
    <ds:schemaRef ds:uri="e7b644e1-4e2e-40b8-bf16-43c9c345c565"/>
    <ds:schemaRef ds:uri="beb39790-1a4d-4443-ba77-b87c105a1f16"/>
  </ds:schemaRefs>
</ds:datastoreItem>
</file>

<file path=customXml/itemProps3.xml><?xml version="1.0" encoding="utf-8"?>
<ds:datastoreItem xmlns:ds="http://schemas.openxmlformats.org/officeDocument/2006/customXml" ds:itemID="{8FBFC859-615A-46E7-844E-CF35C53E09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b39790-1a4d-4443-ba77-b87c105a1f16"/>
    <ds:schemaRef ds:uri="e7b644e1-4e2e-40b8-bf16-43c9c345c5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Notice</vt:lpstr>
      <vt:lpstr>Initialisation</vt:lpstr>
      <vt:lpstr>Resultat</vt:lpstr>
      <vt:lpstr>TeneurSol</vt:lpstr>
      <vt:lpstr>BdD_Kc</vt:lpstr>
      <vt:lpstr>Meteo</vt:lpstr>
      <vt:lpstr>MeteoJ</vt:lpstr>
      <vt:lpstr>ETR</vt:lpstr>
      <vt:lpstr>Bilan_hydrique</vt:lpstr>
      <vt:lpstr>BH_Mois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Loic Guillot</dc:creator>
  <cp:keywords/>
  <dc:description/>
  <cp:lastModifiedBy>Loic Guillot</cp:lastModifiedBy>
  <cp:revision/>
  <dcterms:created xsi:type="dcterms:W3CDTF">2023-06-08T08:49:32Z</dcterms:created>
  <dcterms:modified xsi:type="dcterms:W3CDTF">2023-07-24T07:12:09Z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0x0101006DFFEBB8A7F5A44DA00C67E4558670D6</vt:lpwstr>
  </property>
  <property fmtid="{D5CDD505-2E9C-101B-9397-08002B2CF9AE}" pid="3" name="MediaServiceImageTags">
    <vt:lpwstr/>
  </property>
</Properties>
</file>